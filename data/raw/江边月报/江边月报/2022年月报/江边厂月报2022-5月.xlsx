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3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<sst xmlns="http://schemas.openxmlformats.org/spreadsheetml/2006/main" count="966" uniqueCount="320">
  <si>
    <t>常州市深水江边污水处理有限公司污水处理运行月报表</t>
  </si>
  <si>
    <t>2022年 5月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</si>
  <si>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</si>
  <si>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</si>
  <si>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</si>
  <si>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</si>
  <si>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</si>
  <si>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</si>
  <si>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</si>
  <si>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</si>
  <si>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</si>
  <si>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</si>
  <si>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</si>
  <si>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</si>
  <si>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</si>
  <si>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</si>
  <si>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</si>
  <si>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</si>
  <si>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</si>
  <si>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</si>
  <si>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</si>
  <si>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</si>
  <si>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</si>
  <si>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</si>
  <si>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</si>
  <si>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</si>
  <si>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</si>
  <si>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</si>
  <si>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</si>
  <si>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</si>
  <si>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</si>
  <si>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</si>
  <si>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</si>
  <si>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</si>
  <si>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</si>
  <si>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</si>
  <si>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</si>
  <si>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</si>
  <si>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</si>
  <si>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</si>
  <si>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</si>
  <si>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</si>
  <si>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</si>
  <si>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</si>
  <si>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</si>
  <si>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</si>
  <si>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</si>
  <si>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</si>
  <si>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</si>
  <si>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</si>
  <si>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</si>
  <si>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阴</t>
  </si>
  <si>
    <t>总药剂</t>
  </si>
  <si>
    <t>除磷药剂</t>
  </si>
  <si>
    <t>总泥量</t>
  </si>
  <si>
    <t>英科（吨）</t>
  </si>
  <si>
    <t>国电（吨）</t>
  </si>
  <si>
    <t>外运（吨）</t>
  </si>
  <si>
    <t>雨</t>
  </si>
  <si>
    <t>江边费用</t>
  </si>
  <si>
    <t>排水承担</t>
  </si>
  <si>
    <t>总运费</t>
  </si>
  <si>
    <t>总单价</t>
  </si>
  <si>
    <t>核对</t>
  </si>
  <si>
    <t>多云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</si>
  <si>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</si>
  <si>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</si>
  <si>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</si>
  <si>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</si>
  <si>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</si>
  <si>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</si>
  <si>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</si>
  <si>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</si>
  <si>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</si>
  <si>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</si>
  <si>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</si>
  <si>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</si>
  <si>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</si>
  <si>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</si>
  <si>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</si>
  <si>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</si>
  <si>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</si>
  <si>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</si>
  <si>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</si>
  <si>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</si>
  <si>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</si>
  <si>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</si>
  <si>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</si>
  <si>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</si>
  <si>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</si>
  <si>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</si>
  <si>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</si>
  <si>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</si>
  <si>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</si>
  <si>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</si>
  <si>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</si>
  <si>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</si>
  <si>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</si>
  <si>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</si>
  <si>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</si>
  <si>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</si>
  <si>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</si>
  <si>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</si>
  <si>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</si>
  <si>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</si>
  <si>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</si>
  <si>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</si>
  <si>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</si>
  <si>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</si>
  <si>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</si>
  <si>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</si>
  <si>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</si>
  <si>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</si>
  <si>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</si>
  <si>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</si>
  <si>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</si>
  <si>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</si>
  <si>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</si>
  <si>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</si>
  <si>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</si>
  <si>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</si>
  <si>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</si>
  <si>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</si>
  <si>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</si>
  <si>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</si>
  <si>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</si>
  <si>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</si>
  <si>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</si>
  <si>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</si>
  <si>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</si>
  <si>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</si>
  <si>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</si>
  <si>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</si>
  <si>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</si>
  <si>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本月产生泥饼6544.67吨，其中运往常州市英科环境科技有限公司2217.98吨，国电常州发电有限公司4311.69吨，外运接种15.00吨：天合光能股份有限公司硅片分公司15.00吨。</t>
  </si>
  <si>
    <t>审核：                                               制表：                               制表日期：2022/6/6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</si>
  <si>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</si>
  <si>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</si>
  <si>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</si>
  <si>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</si>
  <si>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</si>
  <si>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</si>
  <si>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</si>
  <si>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</si>
  <si>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</si>
  <si>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</si>
  <si>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</si>
  <si>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</si>
  <si>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</si>
  <si>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</si>
  <si>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制表时间：2022/6/6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</si>
  <si>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</si>
  <si>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</si>
  <si>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</si>
  <si>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</si>
  <si>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</si>
  <si>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</si>
  <si>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</si>
  <si>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</si>
  <si>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</si>
  <si>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</si>
  <si>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&lt;2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</si>
  <si>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</si>
  <si>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</si>
  <si>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</si>
  <si>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</si>
  <si>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</si>
  <si>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</si>
  <si>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</si>
  <si>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</si>
  <si>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</si>
  <si>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</si>
  <si>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</si>
  <si>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</si>
  <si>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</si>
  <si>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</si>
  <si>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</si>
  <si>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</si>
  <si>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</si>
  <si>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</si>
  <si>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</si>
  <si>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</si>
  <si>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</si>
  <si>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</si>
  <si>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</si>
  <si>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</si>
  <si>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</si>
  <si>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</si>
  <si>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</si>
  <si>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</si>
  <si>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</si>
  <si>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10日保养</t>
  </si>
  <si>
    <t>6#</t>
  </si>
  <si>
    <t>搅拌机</t>
  </si>
  <si>
    <t>砂水分离机</t>
  </si>
  <si>
    <t>高压鼓风机</t>
  </si>
  <si>
    <t>1日更换止回阀</t>
  </si>
  <si>
    <t>27日加油</t>
  </si>
  <si>
    <t>27日油杯清洗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</si>
  <si>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</si>
  <si>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</si>
  <si>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</si>
  <si>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</si>
  <si>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</si>
  <si>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</si>
  <si>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</si>
  <si>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</si>
  <si>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</si>
  <si>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</si>
  <si>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</si>
  <si>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</si>
  <si>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</si>
  <si>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</si>
  <si>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</si>
  <si>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</si>
  <si>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</si>
  <si>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</si>
  <si>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</si>
  <si>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</si>
  <si>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</si>
  <si>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</si>
  <si>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</si>
  <si>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</si>
  <si>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</si>
  <si>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</si>
  <si>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</si>
  <si>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</si>
  <si>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</si>
  <si>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</si>
  <si>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</si>
  <si>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</si>
  <si>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</si>
  <si>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</si>
  <si>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</si>
  <si>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19日保养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</si>
  <si>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</si>
  <si>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</si>
  <si>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</si>
  <si>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</si>
  <si>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</si>
  <si>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</si>
  <si>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剩余
污泥泵</t>
  </si>
  <si>
    <t>外回
流泵</t>
  </si>
  <si>
    <t>内回
流泵</t>
  </si>
  <si>
    <t>二
期
二
级
处
理</t>
  </si>
  <si>
    <t>二
期
厌
、
缺
、
好
氧
区
搅
拌
器</t>
  </si>
  <si>
    <t>吊出维修</t>
  </si>
  <si>
    <t>17日更换备用泵</t>
  </si>
  <si>
    <t>深
度
处
理</t>
  </si>
  <si>
    <t>三次
提升泵</t>
  </si>
  <si>
    <t>高沉
刮泥机</t>
  </si>
  <si>
    <t>18日保养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</si>
  <si>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</si>
  <si>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</si>
  <si>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</si>
  <si>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</si>
  <si>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</si>
  <si>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</si>
  <si>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11日保养</t>
  </si>
  <si>
    <t>V型滤池
（南）</t>
  </si>
  <si>
    <t>V型滤池
（北）</t>
  </si>
  <si>
    <t>反冲洗泵</t>
  </si>
  <si>
    <t>反冲洗风机</t>
  </si>
  <si>
    <t>二
氧
化
氯
发
生
器
房</t>
  </si>
  <si>
    <t>欧泰华
二氧化氯
发生器</t>
  </si>
  <si>
    <t>山大华特
二氧化氯
发生器</t>
  </si>
  <si>
    <t>增压水泵</t>
  </si>
  <si>
    <t>脱
水
机
房</t>
  </si>
  <si>
    <t>浓缩池刮泥机</t>
  </si>
  <si>
    <t>17日保养</t>
  </si>
  <si>
    <t>进泥泵</t>
  </si>
  <si>
    <t>脱水离心机</t>
  </si>
  <si>
    <t>31日保养</t>
  </si>
  <si>
    <t>12-13日转鼓更换、31日保养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</si>
  <si>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</si>
  <si>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</si>
  <si>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</si>
  <si>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</si>
  <si>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</si>
  <si>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</si>
  <si>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</si>
  <si>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</si>
  <si>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</si>
  <si>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</si>
  <si>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</si>
  <si>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2022-05-05 2022-05-12 2022-05-19 2022-05-26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</si>
  <si>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</si>
  <si>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</si>
  <si>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</si>
  <si>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</si>
  <si>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</si>
  <si>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</si>
  <si>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</si>
  <si>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</si>
  <si>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</si>
  <si>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</si>
  <si>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</si>
  <si>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</si>
  <si>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</si>
  <si>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</si>
  <si>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制表日期：2022/6/6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</si>
  <si>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</si>
  <si>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</si>
  <si>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</si>
  <si>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采样地点：一期南</t>
  </si>
  <si>
    <t>采样时间：2022-5-27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</si>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</sst>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_);[Red]\(0.000\)"/>
    <numFmt numFmtId="178" formatCode="0.0_);\(0.0\)"/>
    <numFmt numFmtId="179" formatCode="0_);[Red]\(0\)"/>
    <numFmt numFmtId="180" formatCode="0.00;_ﰀ"/>
    <numFmt numFmtId="181" formatCode="0.0_);[Red]\(0.0\)"/>
    <numFmt numFmtId="182" formatCode="0.0_ "/>
    <numFmt numFmtId="183" formatCode="0.00_);[Red]\(0.00\)"/>
    <numFmt numFmtId="184" formatCode="0_ "/>
    <numFmt numFmtId="185" formatCode="#,##0.00_ "/>
    <numFmt numFmtId="186" formatCode="yyyy&quot;年&quot;m&quot;月&quot;;@"/>
    <numFmt numFmtId="187" formatCode="0;[Red]0"/>
    <numFmt numFmtId="188" formatCode="0.00;[Red]0.00"/>
    <numFmt numFmtId="189" formatCode="0.0;[Red]0.0"/>
    <numFmt numFmtId="190" formatCode="0.00_ "/>
    <numFmt numFmtId="191" formatCode="0.000_ "/>
    <numFmt numFmtId="192" formatCode="0;_䠀"/>
    <numFmt numFmtId="193" formatCode="0;_鰀"/>
    <numFmt numFmtId="194" formatCode="0.00;_鰀"/>
    <numFmt numFmtId="195" formatCode="0;_ﰀ"/>
    <numFmt numFmtId="196" formatCode="0.0000_);[Red]\(0.0000\)"/>
    <numFmt numFmtId="197" formatCode="0.000;_鰀"/>
    <numFmt numFmtId="198" formatCode="yyyy/m/d;@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20">
    <xf numFmtId="0" fontId="0" fillId="0" borderId="0"/>
    <xf numFmtId="42" fontId="0" fillId="0" borderId="0" applyFont="0" applyFill="0" applyBorder="0" applyAlignment="0" applyProtection="0"/>
    <xf numFmtId="0" fontId="34" fillId="4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36" fillId="11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6" fillId="12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34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15" borderId="21" applyNumberFormat="0" applyFont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4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8" fillId="9" borderId="25" applyNumberFormat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8" fillId="9" borderId="25" applyNumberFormat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48" fillId="9" borderId="25" applyNumberFormat="0" applyAlignment="0" applyProtection="0">
      <alignment vertical="center"/>
    </xf>
    <xf numFmtId="0" fontId="34" fillId="0" borderId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16" borderId="0" applyNumberFormat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7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0" fillId="0" borderId="0"/>
    <xf numFmtId="0" fontId="34" fillId="16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>
      <alignment vertical="top"/>
      <protection locked="0"/>
    </xf>
    <xf numFmtId="0" fontId="34" fillId="24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0" fillId="0" borderId="0"/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8" borderId="0">
      <alignment vertical="top"/>
      <protection locked="0"/>
    </xf>
    <xf numFmtId="0" fontId="36" fillId="1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4" fillId="0" borderId="0">
      <alignment vertical="center"/>
    </xf>
    <xf numFmtId="0" fontId="52" fillId="5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4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40" fillId="1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2" fillId="5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15" borderId="21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6" fillId="21" borderId="0" applyNumberFormat="0" applyBorder="0" applyAlignment="0" applyProtection="0">
      <alignment vertical="center"/>
    </xf>
    <xf numFmtId="0" fontId="0" fillId="0" borderId="0"/>
    <xf numFmtId="0" fontId="36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0" fillId="0" borderId="27" applyNumberFormat="0" applyFill="0" applyAlignment="0" applyProtection="0">
      <alignment vertical="center"/>
    </xf>
    <xf numFmtId="0" fontId="0" fillId="0" borderId="0"/>
    <xf numFmtId="0" fontId="34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6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7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7" fillId="7" borderId="20" applyNumberFormat="0" applyAlignment="0" applyProtection="0">
      <alignment vertical="center"/>
    </xf>
    <xf numFmtId="0" fontId="0" fillId="0" borderId="0"/>
    <xf numFmtId="0" fontId="37" fillId="7" borderId="20" applyNumberFormat="0" applyAlignment="0" applyProtection="0">
      <alignment vertical="center"/>
    </xf>
    <xf numFmtId="0" fontId="0" fillId="0" borderId="0"/>
    <xf numFmtId="0" fontId="0" fillId="0" borderId="0"/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9" fillId="9" borderId="20" applyNumberFormat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48" fillId="9" borderId="25" applyNumberFormat="0" applyAlignment="0" applyProtection="0">
      <alignment vertical="center"/>
    </xf>
    <xf numFmtId="0" fontId="48" fillId="9" borderId="25" applyNumberFormat="0" applyAlignment="0" applyProtection="0">
      <alignment vertical="center"/>
    </xf>
    <xf numFmtId="0" fontId="48" fillId="9" borderId="25" applyNumberFormat="0" applyAlignment="0" applyProtection="0">
      <alignment vertical="center"/>
    </xf>
    <xf numFmtId="0" fontId="48" fillId="9" borderId="25" applyNumberFormat="0" applyAlignment="0" applyProtection="0">
      <alignment vertical="center"/>
    </xf>
    <xf numFmtId="0" fontId="48" fillId="9" borderId="25" applyNumberFormat="0" applyAlignment="0" applyProtection="0">
      <alignment vertical="center"/>
    </xf>
    <xf numFmtId="0" fontId="48" fillId="9" borderId="25" applyNumberFormat="0" applyAlignment="0" applyProtection="0">
      <alignment vertical="center"/>
    </xf>
    <xf numFmtId="0" fontId="48" fillId="9" borderId="25" applyNumberFormat="0" applyAlignment="0" applyProtection="0">
      <alignment vertical="center"/>
    </xf>
    <xf numFmtId="0" fontId="48" fillId="9" borderId="25" applyNumberFormat="0" applyAlignment="0" applyProtection="0">
      <alignment vertical="center"/>
    </xf>
    <xf numFmtId="0" fontId="48" fillId="9" borderId="25" applyNumberFormat="0" applyAlignment="0" applyProtection="0">
      <alignment vertical="center"/>
    </xf>
    <xf numFmtId="0" fontId="48" fillId="9" borderId="25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0" borderId="0">
      <alignment vertical="center"/>
    </xf>
    <xf numFmtId="0" fontId="34" fillId="10" borderId="0" applyNumberFormat="0" applyBorder="0" applyAlignment="0" applyProtection="0">
      <alignment vertical="center"/>
    </xf>
  </cellStyleXfs>
  <cellXfs count="32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9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9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4" fontId="5" fillId="0" borderId="0" xfId="0" applyNumberFormat="1" applyFont="1"/>
    <xf numFmtId="185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2" applyFont="1" applyAlignment="1">
      <alignment horizontal="center" vertical="center"/>
    </xf>
    <xf numFmtId="0" fontId="7" fillId="0" borderId="0" xfId="492" applyFont="1" applyAlignment="1">
      <alignment horizontal="center" vertical="center"/>
    </xf>
    <xf numFmtId="0" fontId="8" fillId="0" borderId="0" xfId="492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184" fontId="1" fillId="0" borderId="4" xfId="0" applyNumberFormat="1" applyFont="1" applyFill="1" applyBorder="1" applyAlignment="1">
      <alignment vertical="center"/>
    </xf>
    <xf numFmtId="186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9" fontId="1" fillId="0" borderId="2" xfId="0" applyNumberFormat="1" applyFont="1" applyFill="1" applyBorder="1" applyAlignment="1">
      <alignment horizontal="center" vertical="center" wrapText="1"/>
    </xf>
    <xf numFmtId="184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9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184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79" fontId="1" fillId="0" borderId="1" xfId="10" applyNumberFormat="1" applyFont="1" applyBorder="1" applyAlignment="1">
      <alignment horizontal="center" vertical="center" wrapText="1"/>
    </xf>
    <xf numFmtId="187" fontId="1" fillId="0" borderId="1" xfId="0" applyNumberFormat="1" applyFont="1" applyFill="1" applyBorder="1" applyAlignment="1">
      <alignment horizontal="center" vertical="center" wrapText="1"/>
    </xf>
    <xf numFmtId="189" fontId="1" fillId="0" borderId="1" xfId="0" applyNumberFormat="1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184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7" fontId="17" fillId="0" borderId="4" xfId="0" applyNumberFormat="1" applyFont="1" applyBorder="1" applyAlignment="1">
      <alignment vertical="center"/>
    </xf>
    <xf numFmtId="179" fontId="17" fillId="0" borderId="4" xfId="0" applyNumberFormat="1" applyFont="1" applyBorder="1" applyAlignment="1">
      <alignment vertical="center"/>
    </xf>
    <xf numFmtId="190" fontId="17" fillId="0" borderId="4" xfId="0" applyNumberFormat="1" applyFont="1" applyBorder="1" applyAlignment="1">
      <alignment vertical="center"/>
    </xf>
    <xf numFmtId="189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7" fontId="17" fillId="0" borderId="0" xfId="0" applyNumberFormat="1" applyFont="1" applyBorder="1" applyAlignment="1">
      <alignment vertical="center"/>
    </xf>
    <xf numFmtId="187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vertical="center"/>
    </xf>
    <xf numFmtId="190" fontId="17" fillId="0" borderId="0" xfId="0" applyNumberFormat="1" applyFont="1" applyAlignment="1">
      <alignment vertical="center"/>
    </xf>
    <xf numFmtId="189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2" fontId="19" fillId="0" borderId="4" xfId="0" applyNumberFormat="1" applyFont="1" applyFill="1" applyBorder="1" applyAlignment="1">
      <alignment horizontal="center" vertical="center"/>
    </xf>
    <xf numFmtId="182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2" fontId="19" fillId="0" borderId="0" xfId="0" applyNumberFormat="1" applyFont="1" applyFill="1" applyAlignment="1">
      <alignment horizontal="center" vertical="center"/>
    </xf>
    <xf numFmtId="184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4" fontId="19" fillId="0" borderId="0" xfId="0" applyNumberFormat="1" applyFont="1" applyFill="1" applyAlignment="1">
      <alignment horizontal="center" vertical="center"/>
    </xf>
    <xf numFmtId="182" fontId="20" fillId="0" borderId="0" xfId="0" applyNumberFormat="1" applyFont="1" applyFill="1" applyAlignment="1">
      <alignment horizontal="center" vertical="center"/>
    </xf>
    <xf numFmtId="190" fontId="19" fillId="0" borderId="0" xfId="0" applyNumberFormat="1" applyFont="1" applyFill="1" applyAlignment="1">
      <alignment horizontal="center" vertical="center"/>
    </xf>
    <xf numFmtId="190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2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90" fontId="19" fillId="0" borderId="11" xfId="0" applyNumberFormat="1" applyFont="1" applyFill="1" applyBorder="1" applyAlignment="1">
      <alignment horizontal="center" vertical="center"/>
    </xf>
    <xf numFmtId="190" fontId="20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188" fontId="1" fillId="0" borderId="1" xfId="10" applyNumberFormat="1" applyFont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88" fontId="1" fillId="2" borderId="1" xfId="0" applyNumberFormat="1" applyFont="1" applyFill="1" applyBorder="1" applyAlignment="1">
      <alignment horizontal="center" vertical="center" wrapText="1"/>
    </xf>
    <xf numFmtId="187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76" fontId="20" fillId="0" borderId="5" xfId="20" applyNumberFormat="1" applyFont="1" applyFill="1" applyBorder="1" applyAlignment="1">
      <alignment horizontal="center" vertical="center"/>
    </xf>
    <xf numFmtId="191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76" fontId="20" fillId="0" borderId="8" xfId="20" applyNumberFormat="1" applyFont="1" applyFill="1" applyBorder="1" applyAlignment="1">
      <alignment horizontal="center" vertical="center"/>
    </xf>
    <xf numFmtId="190" fontId="20" fillId="0" borderId="8" xfId="0" applyNumberFormat="1" applyFont="1" applyFill="1" applyBorder="1" applyAlignment="1">
      <alignment horizontal="center" vertical="center"/>
    </xf>
    <xf numFmtId="182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76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7" fontId="0" fillId="0" borderId="0" xfId="0" applyNumberFormat="1"/>
    <xf numFmtId="176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2" fontId="0" fillId="0" borderId="0" xfId="0" applyNumberFormat="1"/>
    <xf numFmtId="0" fontId="1" fillId="0" borderId="0" xfId="0" applyFont="1" applyAlignment="1">
      <alignment horizontal="center" vertical="center" wrapText="1"/>
    </xf>
    <xf numFmtId="0" fontId="26" fillId="0" borderId="0" xfId="492" applyFont="1" applyAlignment="1">
      <alignment horizontal="center" vertical="center"/>
    </xf>
    <xf numFmtId="57" fontId="9" fillId="0" borderId="11" xfId="492" applyNumberFormat="1" applyFont="1" applyBorder="1" applyAlignment="1">
      <alignment horizontal="center" vertical="center"/>
    </xf>
    <xf numFmtId="0" fontId="9" fillId="0" borderId="1" xfId="492" applyFont="1" applyBorder="1" applyAlignment="1">
      <alignment horizontal="center" vertical="center" wrapText="1"/>
    </xf>
    <xf numFmtId="0" fontId="9" fillId="0" borderId="1" xfId="492" applyFont="1" applyBorder="1" applyAlignment="1">
      <alignment horizontal="center" vertical="center"/>
    </xf>
    <xf numFmtId="192" fontId="9" fillId="0" borderId="1" xfId="0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 wrapText="1"/>
    </xf>
    <xf numFmtId="190" fontId="9" fillId="0" borderId="1" xfId="0" applyNumberFormat="1" applyFont="1" applyBorder="1" applyAlignment="1">
      <alignment horizontal="center" vertical="center" wrapText="1"/>
    </xf>
    <xf numFmtId="184" fontId="9" fillId="0" borderId="2" xfId="0" applyNumberFormat="1" applyFont="1" applyBorder="1" applyAlignment="1">
      <alignment horizontal="center" vertical="center" wrapText="1"/>
    </xf>
    <xf numFmtId="0" fontId="9" fillId="0" borderId="6" xfId="492" applyFont="1" applyBorder="1" applyAlignment="1">
      <alignment horizontal="center" vertical="center" wrapText="1"/>
    </xf>
    <xf numFmtId="184" fontId="9" fillId="0" borderId="1" xfId="0" applyNumberFormat="1" applyFont="1" applyBorder="1" applyAlignment="1">
      <alignment horizontal="center" vertical="center" wrapText="1"/>
    </xf>
    <xf numFmtId="184" fontId="9" fillId="0" borderId="9" xfId="0" applyNumberFormat="1" applyFont="1" applyBorder="1" applyAlignment="1">
      <alignment horizontal="center" vertical="center" wrapText="1"/>
    </xf>
    <xf numFmtId="182" fontId="9" fillId="0" borderId="9" xfId="0" applyNumberFormat="1" applyFont="1" applyBorder="1" applyAlignment="1">
      <alignment horizontal="center" vertical="center" wrapText="1"/>
    </xf>
    <xf numFmtId="193" fontId="9" fillId="0" borderId="1" xfId="508" applyNumberFormat="1" applyFont="1" applyBorder="1" applyAlignment="1">
      <alignment horizontal="center" vertical="center" wrapText="1"/>
    </xf>
    <xf numFmtId="0" fontId="9" fillId="0" borderId="9" xfId="492" applyFont="1" applyBorder="1" applyAlignment="1">
      <alignment horizontal="center" vertical="center" wrapText="1"/>
    </xf>
    <xf numFmtId="184" fontId="9" fillId="0" borderId="1" xfId="492" applyNumberFormat="1" applyFont="1" applyBorder="1" applyAlignment="1">
      <alignment horizontal="center" vertical="center" wrapText="1"/>
    </xf>
    <xf numFmtId="190" fontId="9" fillId="0" borderId="1" xfId="492" applyNumberFormat="1" applyFont="1" applyBorder="1" applyAlignment="1">
      <alignment horizontal="center" vertical="center" wrapText="1"/>
    </xf>
    <xf numFmtId="0" fontId="9" fillId="0" borderId="1" xfId="492" applyFont="1" applyFill="1" applyBorder="1" applyAlignment="1">
      <alignment horizontal="center" vertical="center" wrapText="1"/>
    </xf>
    <xf numFmtId="182" fontId="9" fillId="0" borderId="1" xfId="492" applyNumberFormat="1" applyFont="1" applyBorder="1" applyAlignment="1">
      <alignment horizontal="center" vertical="center" wrapText="1"/>
    </xf>
    <xf numFmtId="0" fontId="9" fillId="0" borderId="2" xfId="49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2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2" applyFont="1" applyFill="1" applyBorder="1" applyAlignment="1">
      <alignment horizontal="center" vertical="center"/>
    </xf>
    <xf numFmtId="182" fontId="9" fillId="0" borderId="13" xfId="0" applyNumberFormat="1" applyFont="1" applyBorder="1" applyAlignment="1">
      <alignment horizontal="center" vertical="center" wrapText="1"/>
    </xf>
    <xf numFmtId="182" fontId="9" fillId="0" borderId="14" xfId="0" applyNumberFormat="1" applyFont="1" applyBorder="1" applyAlignment="1">
      <alignment horizontal="center" vertical="center" wrapText="1"/>
    </xf>
    <xf numFmtId="190" fontId="9" fillId="0" borderId="13" xfId="0" applyNumberFormat="1" applyFont="1" applyBorder="1" applyAlignment="1">
      <alignment horizontal="center" vertical="center" wrapText="1"/>
    </xf>
    <xf numFmtId="190" fontId="9" fillId="0" borderId="14" xfId="0" applyNumberFormat="1" applyFont="1" applyBorder="1" applyAlignment="1">
      <alignment horizontal="center" vertical="center" wrapText="1"/>
    </xf>
    <xf numFmtId="182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4" fontId="9" fillId="0" borderId="13" xfId="0" applyNumberFormat="1" applyFont="1" applyBorder="1" applyAlignment="1">
      <alignment horizontal="center" vertical="center" wrapText="1"/>
    </xf>
    <xf numFmtId="184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4" fontId="0" fillId="0" borderId="0" xfId="0" applyNumberFormat="1" applyFont="1"/>
    <xf numFmtId="191" fontId="9" fillId="0" borderId="1" xfId="492" applyNumberFormat="1" applyFont="1" applyBorder="1" applyAlignment="1">
      <alignment horizontal="center" vertical="center" wrapText="1"/>
    </xf>
    <xf numFmtId="190" fontId="9" fillId="0" borderId="2" xfId="492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90" fontId="9" fillId="0" borderId="9" xfId="492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/>
    </xf>
    <xf numFmtId="0" fontId="9" fillId="0" borderId="2" xfId="492" applyFont="1" applyFill="1" applyBorder="1" applyAlignment="1">
      <alignment horizontal="center" vertical="center" wrapText="1"/>
    </xf>
    <xf numFmtId="183" fontId="9" fillId="0" borderId="1" xfId="492" applyNumberFormat="1" applyFont="1" applyFill="1" applyBorder="1" applyAlignment="1">
      <alignment horizontal="center" vertical="center" wrapText="1"/>
    </xf>
    <xf numFmtId="185" fontId="9" fillId="0" borderId="0" xfId="0" applyNumberFormat="1" applyFont="1"/>
    <xf numFmtId="190" fontId="9" fillId="0" borderId="1" xfId="0" applyNumberFormat="1" applyFont="1" applyBorder="1" applyAlignment="1">
      <alignment horizontal="center" vertical="center"/>
    </xf>
    <xf numFmtId="184" fontId="27" fillId="0" borderId="0" xfId="0" applyNumberFormat="1" applyFont="1"/>
    <xf numFmtId="0" fontId="9" fillId="0" borderId="0" xfId="492" applyFont="1" applyFill="1" applyBorder="1" applyAlignment="1">
      <alignment horizontal="center" vertical="center"/>
    </xf>
    <xf numFmtId="0" fontId="9" fillId="0" borderId="13" xfId="492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92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4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3" fontId="1" fillId="0" borderId="1" xfId="343" applyNumberFormat="1" applyFont="1" applyFill="1" applyBorder="1" applyAlignment="1">
      <alignment horizontal="center" vertical="center" wrapText="1"/>
    </xf>
    <xf numFmtId="194" fontId="1" fillId="0" borderId="1" xfId="343" applyNumberFormat="1" applyFont="1" applyFill="1" applyBorder="1" applyAlignment="1">
      <alignment horizontal="center" vertical="center" wrapText="1"/>
    </xf>
    <xf numFmtId="0" fontId="1" fillId="0" borderId="1" xfId="343" applyFont="1" applyFill="1" applyBorder="1" applyAlignment="1">
      <alignment horizontal="center" vertical="center" wrapText="1"/>
    </xf>
    <xf numFmtId="195" fontId="1" fillId="0" borderId="1" xfId="0" applyNumberFormat="1" applyFont="1" applyFill="1" applyBorder="1" applyAlignment="1">
      <alignment horizontal="center" vertical="center" wrapText="1"/>
    </xf>
    <xf numFmtId="193" fontId="1" fillId="0" borderId="1" xfId="481" applyNumberFormat="1" applyFont="1" applyFill="1" applyBorder="1" applyAlignment="1">
      <alignment horizontal="center" vertical="center" wrapText="1"/>
    </xf>
    <xf numFmtId="194" fontId="1" fillId="0" borderId="1" xfId="481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3" applyFont="1" applyFill="1" applyBorder="1" applyAlignment="1">
      <alignment horizontal="center" vertical="center" wrapText="1"/>
    </xf>
    <xf numFmtId="184" fontId="12" fillId="0" borderId="1" xfId="343" applyNumberFormat="1" applyFont="1" applyFill="1" applyBorder="1" applyAlignment="1">
      <alignment horizontal="center" vertical="center" wrapText="1"/>
    </xf>
    <xf numFmtId="183" fontId="1" fillId="0" borderId="1" xfId="343" applyNumberFormat="1" applyFont="1" applyFill="1" applyBorder="1" applyAlignment="1">
      <alignment horizontal="center" vertical="center" wrapText="1"/>
    </xf>
    <xf numFmtId="0" fontId="12" fillId="0" borderId="1" xfId="343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3" fontId="2" fillId="0" borderId="0" xfId="0" applyNumberFormat="1" applyFont="1" applyFill="1" applyBorder="1" applyAlignment="1">
      <alignment horizontal="center" vertical="center"/>
    </xf>
    <xf numFmtId="191" fontId="2" fillId="0" borderId="0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93" fontId="12" fillId="0" borderId="1" xfId="343" applyNumberFormat="1" applyFont="1" applyFill="1" applyBorder="1" applyAlignment="1">
      <alignment horizontal="center" vertical="center" wrapText="1"/>
    </xf>
    <xf numFmtId="193" fontId="12" fillId="0" borderId="1" xfId="508" applyNumberFormat="1" applyFont="1" applyFill="1" applyBorder="1" applyAlignment="1">
      <alignment horizontal="center" vertical="center" wrapText="1"/>
    </xf>
    <xf numFmtId="194" fontId="2" fillId="0" borderId="0" xfId="0" applyNumberFormat="1" applyFont="1" applyAlignment="1">
      <alignment horizontal="center" vertical="center"/>
    </xf>
    <xf numFmtId="193" fontId="2" fillId="0" borderId="0" xfId="0" applyNumberFormat="1" applyFont="1" applyAlignment="1">
      <alignment horizontal="center" vertical="center"/>
    </xf>
    <xf numFmtId="183" fontId="2" fillId="0" borderId="0" xfId="485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3" fontId="31" fillId="0" borderId="0" xfId="0" applyNumberFormat="1" applyFont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96" fontId="2" fillId="0" borderId="0" xfId="485" applyNumberFormat="1" applyFont="1" applyBorder="1" applyAlignment="1">
      <alignment horizontal="center" vertical="center"/>
    </xf>
    <xf numFmtId="193" fontId="2" fillId="0" borderId="1" xfId="0" applyNumberFormat="1" applyFont="1" applyBorder="1" applyAlignment="1">
      <alignment horizontal="center" vertical="center"/>
    </xf>
    <xf numFmtId="190" fontId="32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90" fontId="2" fillId="0" borderId="1" xfId="0" applyNumberFormat="1" applyFont="1" applyFill="1" applyBorder="1" applyAlignment="1">
      <alignment horizontal="center" vertical="center"/>
    </xf>
    <xf numFmtId="0" fontId="32" fillId="3" borderId="1" xfId="485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3" fontId="2" fillId="3" borderId="1" xfId="0" applyNumberFormat="1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horizontal="center" vertical="center"/>
    </xf>
    <xf numFmtId="190" fontId="2" fillId="3" borderId="1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90" fontId="2" fillId="0" borderId="0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82" fontId="2" fillId="0" borderId="0" xfId="0" applyNumberFormat="1" applyFont="1" applyFill="1" applyBorder="1" applyAlignment="1">
      <alignment horizontal="center" vertical="center"/>
    </xf>
    <xf numFmtId="193" fontId="1" fillId="0" borderId="1" xfId="508" applyNumberFormat="1" applyFont="1" applyFill="1" applyBorder="1" applyAlignment="1">
      <alignment horizontal="center" vertical="center" wrapText="1"/>
    </xf>
    <xf numFmtId="184" fontId="2" fillId="0" borderId="0" xfId="0" applyNumberFormat="1" applyFont="1" applyAlignment="1">
      <alignment horizontal="center" vertical="center"/>
    </xf>
    <xf numFmtId="194" fontId="29" fillId="0" borderId="0" xfId="20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97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98" fontId="2" fillId="0" borderId="0" xfId="0" applyNumberFormat="1" applyFont="1" applyFill="1" applyAlignment="1">
      <alignment horizontal="center" vertical="center"/>
    </xf>
    <xf numFmtId="190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20">
    <cellStyle name="常规" xfId="0" builtinId="0"/>
    <cellStyle name="货币[0]" xfId="1" builtinId="7"/>
    <cellStyle name="20% - 强调文字颜色 1 2" xfId="2"/>
    <cellStyle name="链接单元格 3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常规 5 2" xfId="35"/>
    <cellStyle name="60% - 强调文字颜色 2 2 2" xfId="36"/>
    <cellStyle name="计算 2 10" xfId="37"/>
    <cellStyle name="标题" xfId="38" builtinId="15"/>
    <cellStyle name="20% - 强调文字颜色 4 4 2" xfId="39"/>
    <cellStyle name="强调文字颜色 1 2 3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检查单元格" xfId="52" builtinId="23"/>
    <cellStyle name="计算 3 2" xfId="53"/>
    <cellStyle name="40% - 强调文字颜色 4 2" xfId="54"/>
    <cellStyle name="20% - 强调文字颜色 6" xfId="55" builtinId="50"/>
    <cellStyle name="强调文字颜色 2" xfId="56" builtinId="33"/>
    <cellStyle name="链接单元格" xfId="57" builtinId="24"/>
    <cellStyle name="汇总" xfId="58" builtinId="25"/>
    <cellStyle name="强调文字颜色 3 2 4" xfId="59"/>
    <cellStyle name="适中 2 5" xfId="60"/>
    <cellStyle name="40% - 强调文字颜色 6 5" xfId="61"/>
    <cellStyle name="60% - 强调文字颜色 4 2 3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检查单元格 3 2" xfId="68"/>
    <cellStyle name="强调文字颜色 1" xfId="69" builtinId="29"/>
    <cellStyle name="标题 4 5 2" xfId="70"/>
    <cellStyle name="20% - 强调文字颜色 1" xfId="71" builtinId="30"/>
    <cellStyle name="链接单元格 3" xfId="72"/>
    <cellStyle name="40% - 强调文字颜色 1" xfId="73" builtinId="31"/>
    <cellStyle name="40% - 强调文字颜色 4 3 2" xfId="74"/>
    <cellStyle name="标题 5 4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计算 5" xfId="94"/>
    <cellStyle name="适中 2" xfId="95"/>
    <cellStyle name="40% - 强调文字颜色 6" xfId="96" builtinId="51"/>
    <cellStyle name="20% - 强调文字颜色 3 3 2" xfId="97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20% - 强调文字颜色 1 2 6" xfId="112"/>
    <cellStyle name="强调文字颜色 6 5 2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20% - 强调文字颜色 3 4" xfId="136"/>
    <cellStyle name="好_汇总二_江边厂月报2013-5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常规 4" xfId="155"/>
    <cellStyle name="20% - 强调文字颜色 4 3" xfId="156"/>
    <cellStyle name="20% - 强调文字颜色 4 3 2" xfId="157"/>
    <cellStyle name="60% - 强调文字颜色 2 2" xfId="158"/>
    <cellStyle name="常规 5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20% - 强调文字颜色 5 3 2" xfId="174"/>
    <cellStyle name="百分比 3" xfId="175"/>
    <cellStyle name="差_汇总二" xfId="176"/>
    <cellStyle name="60% - 强调文字颜色 3 2" xfId="177"/>
    <cellStyle name="20% - 强调文字颜色 5 4" xfId="178"/>
    <cellStyle name="60% - 强调文字颜色 3 2 2" xfId="179"/>
    <cellStyle name="标题 1 2 6" xfId="180"/>
    <cellStyle name="20% - 强调文字颜色 5 4 2" xfId="181"/>
    <cellStyle name="强调文字颜色 2 2 3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20% - 强调文字颜色 6 2" xfId="187"/>
    <cellStyle name="60% - 强调文字颜色 6 2 4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40% - 强调文字颜色 5 4" xfId="198"/>
    <cellStyle name="好 2 5" xfId="199"/>
    <cellStyle name="20% - 强调文字颜色 6 3 2" xfId="200"/>
    <cellStyle name="60% - 强调文字颜色 4 2" xfId="201"/>
    <cellStyle name="20% - 强调文字颜色 6 4" xfId="202"/>
    <cellStyle name="60% - 强调文字颜色 6 2 6" xfId="203"/>
    <cellStyle name="40% - 强调文字颜色 6 4" xfId="204"/>
    <cellStyle name="60% - 强调文字颜色 4 2 2" xfId="205"/>
    <cellStyle name="标题 2 2 6" xfId="206"/>
    <cellStyle name="适中 2 4" xfId="207"/>
    <cellStyle name="20% - 强调文字颜色 6 4 2" xfId="208"/>
    <cellStyle name="强调文字颜色 3 2 3" xfId="209"/>
    <cellStyle name="60% - 强调文字颜色 4 3" xfId="210"/>
    <cellStyle name="20% - 强调文字颜色 6 5" xfId="211"/>
    <cellStyle name="40% - 强调文字颜色 5 2 2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40% - 强调文字颜色 3 4 2" xfId="252"/>
    <cellStyle name="警告文本 5" xfId="253"/>
    <cellStyle name="计算 2 5" xfId="254"/>
    <cellStyle name="40% - 强调文字颜色 3 5" xfId="255"/>
    <cellStyle name="40% - 强调文字颜色 3 5 2" xfId="256"/>
    <cellStyle name="链接单元格 2 4" xfId="257"/>
    <cellStyle name="汇总 2 3" xfId="258"/>
    <cellStyle name="检查单元格 2" xfId="259"/>
    <cellStyle name="40% - 强调文字颜色 4 2 2" xfId="260"/>
    <cellStyle name="标题 4 4" xfId="261"/>
    <cellStyle name="汇总 2 4" xfId="262"/>
    <cellStyle name="检查单元格 3" xfId="263"/>
    <cellStyle name="40% - 强调文字颜色 4 2 3" xfId="264"/>
    <cellStyle name="标题 4 5" xfId="265"/>
    <cellStyle name="汇总 2 5" xfId="266"/>
    <cellStyle name="检查单元格 4" xfId="267"/>
    <cellStyle name="40% - 强调文字颜色 4 2 4" xfId="268"/>
    <cellStyle name="汇总 2 6" xfId="269"/>
    <cellStyle name="检查单元格 5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40% - 强调文字颜色 5 2 4" xfId="283"/>
    <cellStyle name="警告文本 5 2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计算 5 2" xfId="297"/>
    <cellStyle name="适中 2 2" xfId="298"/>
    <cellStyle name="40% - 强调文字颜色 6 2" xfId="299"/>
    <cellStyle name="标题 2 2 4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60% - 强调文字颜色 1 4 2" xfId="320"/>
    <cellStyle name="标题 4 2 3" xfId="321"/>
    <cellStyle name="20% - 强调文字颜色 2 2 3 3" xfId="322"/>
    <cellStyle name="警告文本 2 2" xfId="323"/>
    <cellStyle name="60% - 强调文字颜色 1 5" xfId="324"/>
    <cellStyle name="60% - 强调文字颜色 1 5 2" xfId="325"/>
    <cellStyle name="警告文本 2 6" xfId="326"/>
    <cellStyle name="强调文字颜色 4 4 2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60% - 强调文字颜色 2 4" xfId="338"/>
    <cellStyle name="常规 7" xfId="339"/>
    <cellStyle name="60% - 强调文字颜色 2 4 2" xfId="340"/>
    <cellStyle name="警告文本 3 2" xfId="341"/>
    <cellStyle name="60% - 强调文字颜色 2 5" xfId="342"/>
    <cellStyle name="常规 8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百分比 2 11" xfId="367"/>
    <cellStyle name="强调文字颜色 4 2 5" xfId="368"/>
    <cellStyle name="千位分隔 2" xfId="369"/>
    <cellStyle name="60% - 强调文字颜色 5 2 4" xfId="370"/>
    <cellStyle name="60% - 强调文字颜色 5 2 5" xfId="371"/>
    <cellStyle name="标题 4 2" xfId="372"/>
    <cellStyle name="汇总 2 2" xfId="373"/>
    <cellStyle name="60% - 强调文字颜色 5 2 6" xfId="374"/>
    <cellStyle name="标题 4 3" xfId="375"/>
    <cellStyle name="60% - 强调文字颜色 5 3 2" xfId="376"/>
    <cellStyle name="60% - 强调文字颜色 5 4" xfId="377"/>
    <cellStyle name="60% - 强调文字颜色 5 5" xfId="378"/>
    <cellStyle name="60% - 强调文字颜色 5 5 2" xfId="379"/>
    <cellStyle name="输入 2 3" xfId="380"/>
    <cellStyle name="好_汇总二 3" xfId="381"/>
    <cellStyle name="60% - 强调文字颜色 6 2" xfId="382"/>
    <cellStyle name="60% - 强调文字颜色 6 2 2" xfId="383"/>
    <cellStyle name="标题 4 2 6" xfId="384"/>
    <cellStyle name="60% - 强调文字颜色 6 2 3" xfId="385"/>
    <cellStyle name="60% - 强调文字颜色 6 4" xfId="386"/>
    <cellStyle name="检查单元格 2 6" xfId="387"/>
    <cellStyle name="60% - 强调文字颜色 6 4 2" xfId="388"/>
    <cellStyle name="60% - 强调文字颜色 6 5" xfId="389"/>
    <cellStyle name="差 4" xfId="390"/>
    <cellStyle name="百分比 2" xfId="391"/>
    <cellStyle name="常规 2 17" xfId="392"/>
    <cellStyle name="百分比 2 11 2" xfId="393"/>
    <cellStyle name="常规 2 19" xfId="394"/>
    <cellStyle name="百分比 2 11 4" xfId="395"/>
    <cellStyle name="标题 1 2" xfId="396"/>
    <cellStyle name="标题 1 2 2" xfId="397"/>
    <cellStyle name="标题 1 2 3" xfId="398"/>
    <cellStyle name="标题 1 2 4" xfId="399"/>
    <cellStyle name="强调文字颜色 2 2 2" xfId="400"/>
    <cellStyle name="标题 1 2 5" xfId="401"/>
    <cellStyle name="标题 1 3" xfId="402"/>
    <cellStyle name="标题 1 3 2" xfId="403"/>
    <cellStyle name="汇总 3" xfId="404"/>
    <cellStyle name="标题 1 4" xfId="405"/>
    <cellStyle name="标题 1 5" xfId="406"/>
    <cellStyle name="标题 2 2" xfId="407"/>
    <cellStyle name="标题 2 2 2" xfId="408"/>
    <cellStyle name="标题 2 2 3" xfId="409"/>
    <cellStyle name="好 3 2" xfId="410"/>
    <cellStyle name="标题 2 3" xfId="411"/>
    <cellStyle name="标题 2 3 2" xfId="412"/>
    <cellStyle name="常规 11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差_汇总二 3" xfId="473"/>
    <cellStyle name="常规 10" xfId="474"/>
    <cellStyle name="常规 12" xfId="475"/>
    <cellStyle name="好 4 2" xfId="476"/>
    <cellStyle name="计算 6 2" xfId="477"/>
    <cellStyle name="适中 3 2" xfId="478"/>
    <cellStyle name="常规 13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强调文字颜色 3 5" xfId="490"/>
    <cellStyle name="常规 2 12" xfId="491"/>
    <cellStyle name="常规_Sheet1" xfId="492"/>
    <cellStyle name="汇总 5 2" xfId="493"/>
    <cellStyle name="常规 2 14" xfId="494"/>
    <cellStyle name="常规 2 15" xfId="495"/>
    <cellStyle name="常规 2 16" xfId="496"/>
    <cellStyle name="常规 2 19 3" xfId="497"/>
    <cellStyle name="强调文字颜色 5 3 2" xfId="498"/>
    <cellStyle name="常规 2 2" xfId="499"/>
    <cellStyle name="常规 2 3" xfId="500"/>
    <cellStyle name="输入 3 2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强调文字颜色 2 5" xfId="515"/>
    <cellStyle name="汇总 4 2" xfId="516"/>
    <cellStyle name="汇总 5" xfId="517"/>
    <cellStyle name="计算 2 6" xfId="518"/>
    <cellStyle name="计算 2 7" xfId="519"/>
    <cellStyle name="计算 2_处理量" xfId="520"/>
    <cellStyle name="适中 3" xfId="521"/>
    <cellStyle name="计算 6" xfId="522"/>
    <cellStyle name="检查单元格 2 3" xfId="523"/>
    <cellStyle name="检查单元格 2 4" xfId="524"/>
    <cellStyle name="强调文字颜色 5 4 2" xfId="525"/>
    <cellStyle name="检查单元格 2 5" xfId="526"/>
    <cellStyle name="检查单元格 4 2" xfId="527"/>
    <cellStyle name="解释性文本 2" xfId="528"/>
    <cellStyle name="解释性文本 4" xfId="529"/>
    <cellStyle name="解释性文本 4 2" xfId="530"/>
    <cellStyle name="注释 5 2" xfId="531"/>
    <cellStyle name="警告文本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适中 2 3" xfId="552"/>
    <cellStyle name="强调文字颜色 3 2 2" xfId="553"/>
    <cellStyle name="适中 2 6" xfId="554"/>
    <cellStyle name="强调文字颜色 3 2 5" xfId="555"/>
    <cellStyle name="强调文字颜色 3 2 6" xfId="556"/>
    <cellStyle name="强调文字颜色 3 3 2" xfId="557"/>
    <cellStyle name="常规 2 11 2" xfId="558"/>
    <cellStyle name="强调文字颜色 3 4 2" xfId="559"/>
    <cellStyle name="强调文字颜色 3 5 2" xfId="560"/>
    <cellStyle name="强调文字颜色 4 2" xfId="561"/>
    <cellStyle name="强调文字颜色 4 2 2" xfId="562"/>
    <cellStyle name="强调文字颜色 4 2 3" xfId="563"/>
    <cellStyle name="强调文字颜色 4 2 4" xfId="564"/>
    <cellStyle name="强调文字颜色 4 2 6" xfId="565"/>
    <cellStyle name="强调文字颜色 4 3" xfId="566"/>
    <cellStyle name="强调文字颜色 4 3 2" xfId="567"/>
    <cellStyle name="强调文字颜色 4 4" xfId="568"/>
    <cellStyle name="强调文字颜色 4 5" xfId="569"/>
    <cellStyle name="强调文字颜色 4 5 2" xfId="570"/>
    <cellStyle name="强调文字颜色 5 2 2" xfId="571"/>
    <cellStyle name="强调文字颜色 5 2 3" xfId="572"/>
    <cellStyle name="强调文字颜色 5 2 4" xfId="573"/>
    <cellStyle name="强调文字颜色 5 2 5" xfId="574"/>
    <cellStyle name="强调文字颜色 5 2 6" xfId="575"/>
    <cellStyle name="强调文字颜色 5 4" xfId="576"/>
    <cellStyle name="强调文字颜色 5 5" xfId="577"/>
    <cellStyle name="强调文字颜色 5 5 2" xfId="578"/>
    <cellStyle name="强调文字颜色 6 2" xfId="579"/>
    <cellStyle name="强调文字颜色 6 2 2" xfId="580"/>
    <cellStyle name="强调文字颜色 6 2 3" xfId="581"/>
    <cellStyle name="强调文字颜色 6 2 4" xfId="582"/>
    <cellStyle name="强调文字颜色 6 2 5" xfId="583"/>
    <cellStyle name="强调文字颜色 6 2 6" xfId="584"/>
    <cellStyle name="强调文字颜色 6 3" xfId="585"/>
    <cellStyle name="强调文字颜色 6 3 2" xfId="586"/>
    <cellStyle name="强调文字颜色 6 4" xfId="587"/>
    <cellStyle name="强调文字颜色 6 4 2" xfId="588"/>
    <cellStyle name="强调文字颜色 6 5" xfId="589"/>
    <cellStyle name="适中 4" xfId="590"/>
    <cellStyle name="适中 4 2" xfId="591"/>
    <cellStyle name="适中 5" xfId="592"/>
    <cellStyle name="适中 5 2" xfId="593"/>
    <cellStyle name="输出 2" xfId="594"/>
    <cellStyle name="输出 2 2" xfId="595"/>
    <cellStyle name="输出 2 3" xfId="596"/>
    <cellStyle name="输出 2 4" xfId="597"/>
    <cellStyle name="输出 2 5" xfId="598"/>
    <cellStyle name="输出 2 6" xfId="599"/>
    <cellStyle name="输出 3" xfId="600"/>
    <cellStyle name="输出 3 2" xfId="601"/>
    <cellStyle name="输出 5" xfId="602"/>
    <cellStyle name="输出 5 2" xfId="603"/>
    <cellStyle name="输入 2 2" xfId="604"/>
    <cellStyle name="输入 2 4" xfId="605"/>
    <cellStyle name="输入 2 5" xfId="606"/>
    <cellStyle name="输入 4" xfId="607"/>
    <cellStyle name="输入 4 2" xfId="608"/>
    <cellStyle name="输入 5" xfId="609"/>
    <cellStyle name="输入 5 2" xfId="610"/>
    <cellStyle name="注释 2 2" xfId="611"/>
    <cellStyle name="注释 2 3" xfId="612"/>
    <cellStyle name="注释 2 4" xfId="613"/>
    <cellStyle name="注释 2 5" xfId="614"/>
    <cellStyle name="注释 2 6" xfId="615"/>
    <cellStyle name="注释 3" xfId="616"/>
    <cellStyle name="注释 4" xfId="617"/>
    <cellStyle name="常规 2 30" xfId="618"/>
    <cellStyle name="20% - 强调文字颜色 2 2 3 2" xfId="619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4"/>
  <sheetViews>
    <sheetView zoomScale="85" zoomScaleNormal="85" workbookViewId="0">
      <selection activeCell="W20" sqref="W20"/>
    </sheetView>
  </sheetViews>
  <sheetFormatPr defaultColWidth="8.75" defaultRowHeight="14.25"/>
  <cols>
    <col min="1" max="1" width="3.75" style="3" customWidth="1"/>
    <col min="2" max="3" width="4.25" style="257" customWidth="1"/>
    <col min="4" max="4" width="7.8" style="257" customWidth="1"/>
    <col min="5" max="5" width="7.5" style="257" customWidth="1"/>
    <col min="6" max="6" width="7.16666666666667" style="257" customWidth="1"/>
    <col min="7" max="7" width="6.94166666666667" style="258" customWidth="1"/>
    <col min="8" max="8" width="5.625" style="258" customWidth="1"/>
    <col min="9" max="9" width="6" style="257" customWidth="1"/>
    <col min="10" max="10" width="6.46666666666667" style="257" customWidth="1"/>
    <col min="11" max="11" width="6.5" style="257" customWidth="1"/>
    <col min="12" max="12" width="6.375" style="257" customWidth="1"/>
    <col min="13" max="13" width="6.11666666666667" style="257" customWidth="1"/>
    <col min="14" max="14" width="6.125" style="257" customWidth="1"/>
    <col min="15" max="15" width="6.60833333333333" style="257" customWidth="1"/>
    <col min="16" max="16" width="6.46666666666667" style="257" customWidth="1"/>
    <col min="17" max="17" width="7.5" style="257" customWidth="1"/>
    <col min="18" max="18" width="10.125" style="257" customWidth="1"/>
    <col min="19" max="19" width="10" style="259" customWidth="1"/>
    <col min="20" max="20" width="15.875" style="259" customWidth="1"/>
    <col min="21" max="21" width="12.875" style="259" customWidth="1"/>
    <col min="22" max="22" width="12.25" style="259" customWidth="1"/>
    <col min="23" max="25" width="12.625" style="259"/>
    <col min="26" max="26" width="15" style="259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60" t="s">
        <v>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</row>
    <row r="2" ht="14" customHeight="1" spans="1:18">
      <c r="A2" s="261" t="s">
        <v>1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</row>
    <row r="3" ht="20.25" customHeight="1" spans="1:38">
      <c r="A3" s="262" t="s">
        <v>2</v>
      </c>
      <c r="B3" s="263" t="s">
        <v>3</v>
      </c>
      <c r="C3" s="263" t="s">
        <v>4</v>
      </c>
      <c r="D3" s="8" t="s">
        <v>5</v>
      </c>
      <c r="E3" s="5" t="s">
        <v>6</v>
      </c>
      <c r="F3" s="5"/>
      <c r="G3" s="5"/>
      <c r="H3" s="263" t="s">
        <v>7</v>
      </c>
      <c r="I3" s="263" t="s">
        <v>8</v>
      </c>
      <c r="J3" s="263" t="s">
        <v>9</v>
      </c>
      <c r="K3" s="263" t="s">
        <v>10</v>
      </c>
      <c r="L3" s="8" t="s">
        <v>11</v>
      </c>
      <c r="M3" s="263" t="s">
        <v>12</v>
      </c>
      <c r="N3" s="263" t="s">
        <v>13</v>
      </c>
      <c r="O3" s="5" t="s">
        <v>14</v>
      </c>
      <c r="P3" s="5"/>
      <c r="Q3" s="8" t="s">
        <v>15</v>
      </c>
      <c r="R3" s="8" t="s">
        <v>16</v>
      </c>
      <c r="T3" s="259" t="s">
        <v>17</v>
      </c>
      <c r="U3" s="259" t="s">
        <v>18</v>
      </c>
      <c r="W3" s="283" t="s">
        <v>19</v>
      </c>
      <c r="X3" s="283" t="s">
        <v>20</v>
      </c>
      <c r="Y3" s="283" t="s">
        <v>21</v>
      </c>
      <c r="Z3" s="283" t="s">
        <v>22</v>
      </c>
      <c r="AD3" s="3" t="s">
        <v>23</v>
      </c>
      <c r="AE3" s="3" t="s">
        <v>24</v>
      </c>
      <c r="AF3" s="3" t="s">
        <v>25</v>
      </c>
      <c r="AG3" s="3" t="s">
        <v>26</v>
      </c>
      <c r="AH3" s="3" t="s">
        <v>27</v>
      </c>
      <c r="AI3" s="3" t="s">
        <v>28</v>
      </c>
      <c r="AK3" s="3" t="s">
        <v>29</v>
      </c>
      <c r="AL3" s="3" t="s">
        <v>20</v>
      </c>
    </row>
    <row r="4" ht="21" customHeight="1" spans="1:28">
      <c r="A4" s="264"/>
      <c r="B4" s="265" t="s">
        <v>30</v>
      </c>
      <c r="C4" s="265" t="s">
        <v>31</v>
      </c>
      <c r="D4" s="265"/>
      <c r="E4" s="265" t="s">
        <v>32</v>
      </c>
      <c r="F4" s="265" t="s">
        <v>33</v>
      </c>
      <c r="G4" s="265" t="s">
        <v>34</v>
      </c>
      <c r="H4" s="265" t="s">
        <v>35</v>
      </c>
      <c r="I4" s="265" t="s">
        <v>36</v>
      </c>
      <c r="J4" s="265" t="s">
        <v>37</v>
      </c>
      <c r="K4" s="265" t="s">
        <v>35</v>
      </c>
      <c r="L4" s="265"/>
      <c r="M4" s="265" t="s">
        <v>35</v>
      </c>
      <c r="N4" s="265" t="s">
        <v>35</v>
      </c>
      <c r="O4" s="265" t="s">
        <v>38</v>
      </c>
      <c r="P4" s="265" t="s">
        <v>39</v>
      </c>
      <c r="Q4" s="265"/>
      <c r="R4" s="265"/>
      <c r="T4" s="57" t="s">
        <v>40</v>
      </c>
      <c r="U4" s="284">
        <f>ROUND(J37*W4,2)</f>
        <v>1071247.55</v>
      </c>
      <c r="V4" s="284"/>
      <c r="W4" s="285">
        <v>0.670116069082035</v>
      </c>
      <c r="X4" s="286">
        <f>J36/R36</f>
        <v>0.293189676627524</v>
      </c>
      <c r="Y4" s="283">
        <v>0.672017348560664</v>
      </c>
      <c r="Z4" s="318">
        <v>44656</v>
      </c>
      <c r="AA4" s="319"/>
      <c r="AB4" s="3" t="s">
        <v>41</v>
      </c>
    </row>
    <row r="5" ht="18.6" customHeight="1" spans="1:38">
      <c r="A5" s="6">
        <v>1</v>
      </c>
      <c r="B5" s="266">
        <v>21</v>
      </c>
      <c r="C5" s="267" t="s">
        <v>42</v>
      </c>
      <c r="D5" s="268">
        <v>212776</v>
      </c>
      <c r="E5" s="269">
        <v>110.76</v>
      </c>
      <c r="F5" s="269">
        <v>108.06</v>
      </c>
      <c r="G5" s="269">
        <v>0</v>
      </c>
      <c r="H5" s="270">
        <v>225</v>
      </c>
      <c r="I5" s="6">
        <v>5290</v>
      </c>
      <c r="J5" s="276">
        <v>54099.9999999985</v>
      </c>
      <c r="K5" s="277">
        <v>120</v>
      </c>
      <c r="L5" s="277">
        <v>0.2</v>
      </c>
      <c r="M5" s="277">
        <v>1775</v>
      </c>
      <c r="N5" s="277">
        <v>624</v>
      </c>
      <c r="O5" s="278">
        <v>4.872</v>
      </c>
      <c r="P5" s="278">
        <v>0</v>
      </c>
      <c r="Q5" s="287">
        <v>5424</v>
      </c>
      <c r="R5" s="288">
        <f>D5-Q5</f>
        <v>207352</v>
      </c>
      <c r="S5" s="289"/>
      <c r="T5" s="290" t="s">
        <v>43</v>
      </c>
      <c r="U5" s="291">
        <f>H37*W5/1000</f>
        <v>202300</v>
      </c>
      <c r="V5" s="284"/>
      <c r="W5" s="292">
        <v>28000</v>
      </c>
      <c r="X5" s="284">
        <f>H36/R36*1000</f>
        <v>1.32509409085065</v>
      </c>
      <c r="Y5" s="283">
        <v>28150</v>
      </c>
      <c r="Z5" s="320">
        <v>44287</v>
      </c>
      <c r="AB5" s="321">
        <f>E5+F5+G5</f>
        <v>218.82</v>
      </c>
      <c r="AD5" s="3">
        <f>$W$9*K5/1000/R5</f>
        <v>0.000304409892356958</v>
      </c>
      <c r="AE5" s="3">
        <f>$W$5*H5/1000/R5</f>
        <v>0.0303831166325861</v>
      </c>
      <c r="AF5" s="3">
        <f>$W$6*L5/1000/R5</f>
        <v>1.00312512056792e-5</v>
      </c>
      <c r="AG5" s="3">
        <f>$W$7*M5/1000/R5</f>
        <v>0.00380934353177206</v>
      </c>
      <c r="AH5" s="3">
        <f>$W$8*N5/1000/R5</f>
        <v>0.0179170986534974</v>
      </c>
      <c r="AI5" s="3">
        <f>AD5+AE5+AF5+AG5+AH5</f>
        <v>0.0524239999614182</v>
      </c>
      <c r="AK5" s="3">
        <f>AB5*(100-进出水!T7)/100</f>
        <v>47.92158</v>
      </c>
      <c r="AL5" s="3">
        <f>H5/AK5</f>
        <v>4.69517073518861</v>
      </c>
    </row>
    <row r="6" ht="18.6" customHeight="1" spans="1:38">
      <c r="A6" s="6">
        <v>2</v>
      </c>
      <c r="B6" s="266">
        <v>21.4</v>
      </c>
      <c r="C6" s="267" t="s">
        <v>42</v>
      </c>
      <c r="D6" s="268">
        <v>210176</v>
      </c>
      <c r="E6" s="269">
        <v>215.68</v>
      </c>
      <c r="F6" s="269">
        <v>0</v>
      </c>
      <c r="G6" s="269">
        <v>0</v>
      </c>
      <c r="H6" s="270">
        <v>250</v>
      </c>
      <c r="I6" s="6">
        <v>5556</v>
      </c>
      <c r="J6" s="276">
        <v>55799.9999999811</v>
      </c>
      <c r="K6" s="277">
        <v>120</v>
      </c>
      <c r="L6" s="277">
        <v>0.2</v>
      </c>
      <c r="M6" s="277">
        <v>2343</v>
      </c>
      <c r="N6" s="277">
        <v>768</v>
      </c>
      <c r="O6" s="278">
        <v>4.716</v>
      </c>
      <c r="P6" s="278">
        <v>0</v>
      </c>
      <c r="Q6" s="287">
        <v>5424</v>
      </c>
      <c r="R6" s="288">
        <f t="shared" ref="R6:R36" si="0">D6-Q6</f>
        <v>204752</v>
      </c>
      <c r="S6" s="289"/>
      <c r="T6" s="290" t="s">
        <v>44</v>
      </c>
      <c r="U6" s="291">
        <f>L37*W6/1000</f>
        <v>946.4</v>
      </c>
      <c r="V6" s="284">
        <f>U5+U6</f>
        <v>203246.4</v>
      </c>
      <c r="W6" s="57">
        <v>10400</v>
      </c>
      <c r="X6" s="284">
        <f>L36/R36*1000</f>
        <v>0.0166897664037937</v>
      </c>
      <c r="Y6" s="283">
        <v>5784.76</v>
      </c>
      <c r="Z6" s="320">
        <v>44256</v>
      </c>
      <c r="AB6" s="321">
        <f t="shared" ref="AB6:AB35" si="1">E6+F6+G6</f>
        <v>215.68</v>
      </c>
      <c r="AD6" s="3">
        <f t="shared" ref="AD6:AD35" si="2">$W$9*K6/1000/R6</f>
        <v>0.000308275377041494</v>
      </c>
      <c r="AE6" s="3">
        <f t="shared" ref="AE6:AE35" si="3">$W$5*H6/1000/R6</f>
        <v>0.0341877002422443</v>
      </c>
      <c r="AF6" s="3">
        <f t="shared" ref="AF6:AF35" si="4">$W$6*L6/1000/R6</f>
        <v>1.0158630929124e-5</v>
      </c>
      <c r="AG6" s="3">
        <f t="shared" ref="AG6:AG35" si="5">$W$7*M6/1000/R6</f>
        <v>0.00509218469172462</v>
      </c>
      <c r="AH6" s="3">
        <f t="shared" ref="AH6:AH35" si="6">$W$8*N6/1000/R6</f>
        <v>0.0223318340235993</v>
      </c>
      <c r="AI6" s="3">
        <f t="shared" ref="AI6:AI35" si="7">AD6+AE6+AF6+AG6+AH6</f>
        <v>0.0619301529655388</v>
      </c>
      <c r="AK6" s="3">
        <f>AB6*(100-进出水!T8)/100</f>
        <v>47.66528</v>
      </c>
      <c r="AL6" s="3">
        <f t="shared" ref="AL6:AL35" si="8">H6/AK6</f>
        <v>5.24490782389194</v>
      </c>
    </row>
    <row r="7" ht="18.6" customHeight="1" spans="1:38">
      <c r="A7" s="6">
        <v>3</v>
      </c>
      <c r="B7" s="266">
        <v>22</v>
      </c>
      <c r="C7" s="267" t="s">
        <v>42</v>
      </c>
      <c r="D7" s="268">
        <v>211662</v>
      </c>
      <c r="E7" s="269">
        <v>217.46</v>
      </c>
      <c r="F7" s="269">
        <v>0</v>
      </c>
      <c r="G7" s="269">
        <v>0</v>
      </c>
      <c r="H7" s="270">
        <v>225</v>
      </c>
      <c r="I7" s="6">
        <v>5402</v>
      </c>
      <c r="J7" s="276">
        <v>59000.0000000146</v>
      </c>
      <c r="K7" s="277">
        <v>0</v>
      </c>
      <c r="L7" s="277">
        <v>0.2</v>
      </c>
      <c r="M7" s="277">
        <v>2130</v>
      </c>
      <c r="N7" s="277">
        <v>768</v>
      </c>
      <c r="O7" s="278">
        <v>5.1</v>
      </c>
      <c r="P7" s="278">
        <v>0</v>
      </c>
      <c r="Q7" s="287">
        <v>5424</v>
      </c>
      <c r="R7" s="288">
        <f t="shared" si="0"/>
        <v>206238</v>
      </c>
      <c r="S7" s="289"/>
      <c r="T7" s="290" t="s">
        <v>45</v>
      </c>
      <c r="U7" s="291">
        <f>M37*W7/1000</f>
        <v>49951.695</v>
      </c>
      <c r="V7" s="284"/>
      <c r="W7" s="57">
        <v>445</v>
      </c>
      <c r="X7" s="284">
        <f>M36/R36*1000</f>
        <v>20.5872853691455</v>
      </c>
      <c r="Y7" s="283">
        <v>430</v>
      </c>
      <c r="Z7" s="320">
        <v>44228</v>
      </c>
      <c r="AB7" s="321">
        <f t="shared" si="1"/>
        <v>217.46</v>
      </c>
      <c r="AD7" s="3">
        <f t="shared" si="2"/>
        <v>0</v>
      </c>
      <c r="AE7" s="3">
        <f t="shared" si="3"/>
        <v>0.0305472318389434</v>
      </c>
      <c r="AF7" s="3">
        <f t="shared" si="4"/>
        <v>1.00854352738099e-5</v>
      </c>
      <c r="AG7" s="3">
        <f t="shared" si="5"/>
        <v>0.00459590376167341</v>
      </c>
      <c r="AH7" s="3">
        <f t="shared" si="6"/>
        <v>0.0221709271812178</v>
      </c>
      <c r="AI7" s="3">
        <f t="shared" si="7"/>
        <v>0.0573241482171084</v>
      </c>
      <c r="AK7" s="3">
        <f>AB7*(100-进出水!T9)/100</f>
        <v>47.8412</v>
      </c>
      <c r="AL7" s="3">
        <f t="shared" si="8"/>
        <v>4.70305928781051</v>
      </c>
    </row>
    <row r="8" ht="18.6" customHeight="1" spans="1:38">
      <c r="A8" s="6">
        <v>4</v>
      </c>
      <c r="B8" s="266">
        <v>22.5</v>
      </c>
      <c r="C8" s="267" t="s">
        <v>42</v>
      </c>
      <c r="D8" s="268">
        <v>206719</v>
      </c>
      <c r="E8" s="269">
        <v>214.78</v>
      </c>
      <c r="F8" s="269">
        <v>0</v>
      </c>
      <c r="G8" s="269">
        <v>0</v>
      </c>
      <c r="H8" s="270">
        <v>225</v>
      </c>
      <c r="I8" s="6">
        <v>5680</v>
      </c>
      <c r="J8" s="276">
        <v>57000.0000000073</v>
      </c>
      <c r="K8" s="277">
        <v>120</v>
      </c>
      <c r="L8" s="277">
        <v>0.2</v>
      </c>
      <c r="M8" s="277">
        <v>4260</v>
      </c>
      <c r="N8" s="277">
        <v>1488</v>
      </c>
      <c r="O8" s="278">
        <v>4.925</v>
      </c>
      <c r="P8" s="278">
        <v>0</v>
      </c>
      <c r="Q8" s="287">
        <v>5416</v>
      </c>
      <c r="R8" s="288">
        <f t="shared" si="0"/>
        <v>201303</v>
      </c>
      <c r="S8" s="289"/>
      <c r="T8" s="290" t="s">
        <v>46</v>
      </c>
      <c r="U8" s="291">
        <f>N37*W8/1000</f>
        <v>232768.20096</v>
      </c>
      <c r="V8" s="284">
        <f>U7+U8</f>
        <v>282719.89596</v>
      </c>
      <c r="W8" s="57">
        <v>5953.76</v>
      </c>
      <c r="X8" s="284">
        <f>N36/R36*1000</f>
        <v>7.17036381673316</v>
      </c>
      <c r="Y8" s="57">
        <v>5953.76</v>
      </c>
      <c r="Z8" s="320">
        <v>44652</v>
      </c>
      <c r="AB8" s="321">
        <f t="shared" si="1"/>
        <v>214.78</v>
      </c>
      <c r="AD8" s="3">
        <f t="shared" si="2"/>
        <v>0.000313557175004843</v>
      </c>
      <c r="AE8" s="3">
        <f t="shared" si="3"/>
        <v>0.0312961058702553</v>
      </c>
      <c r="AF8" s="3">
        <f t="shared" si="4"/>
        <v>1.03326825730367e-5</v>
      </c>
      <c r="AG8" s="3">
        <f t="shared" si="5"/>
        <v>0.00941714728543539</v>
      </c>
      <c r="AH8" s="3">
        <f t="shared" si="6"/>
        <v>0.0440092541094768</v>
      </c>
      <c r="AI8" s="3">
        <f t="shared" si="7"/>
        <v>0.0850463971227454</v>
      </c>
      <c r="AK8" s="3">
        <f>AB8*(100-进出水!T10)/100</f>
        <v>47.46638</v>
      </c>
      <c r="AL8" s="3">
        <f t="shared" si="8"/>
        <v>4.74019716692109</v>
      </c>
    </row>
    <row r="9" ht="18.6" customHeight="1" spans="1:38">
      <c r="A9" s="6">
        <v>5</v>
      </c>
      <c r="B9" s="266">
        <v>25</v>
      </c>
      <c r="C9" s="267" t="s">
        <v>42</v>
      </c>
      <c r="D9" s="268">
        <v>207786</v>
      </c>
      <c r="E9" s="269">
        <v>215.72</v>
      </c>
      <c r="F9" s="269">
        <v>0</v>
      </c>
      <c r="G9" s="269">
        <v>0</v>
      </c>
      <c r="H9" s="270">
        <v>225</v>
      </c>
      <c r="I9" s="6">
        <v>5744</v>
      </c>
      <c r="J9" s="279">
        <v>57500</v>
      </c>
      <c r="K9" s="277">
        <v>120</v>
      </c>
      <c r="L9" s="277">
        <v>0.2</v>
      </c>
      <c r="M9" s="277">
        <v>4047</v>
      </c>
      <c r="N9" s="277">
        <v>1416</v>
      </c>
      <c r="O9" s="278">
        <v>4.869</v>
      </c>
      <c r="P9" s="278">
        <v>0</v>
      </c>
      <c r="Q9" s="287">
        <v>5288</v>
      </c>
      <c r="R9" s="288">
        <f t="shared" si="0"/>
        <v>202498</v>
      </c>
      <c r="S9" s="289"/>
      <c r="T9" s="290" t="s">
        <v>47</v>
      </c>
      <c r="U9" s="291">
        <f>K37*W9/1000</f>
        <v>9720.48</v>
      </c>
      <c r="V9" s="284"/>
      <c r="W9" s="57">
        <v>526</v>
      </c>
      <c r="X9" s="284">
        <f>K36/R36*1000</f>
        <v>3.38930640815502</v>
      </c>
      <c r="Y9" s="283">
        <v>526</v>
      </c>
      <c r="Z9" s="320">
        <v>44228</v>
      </c>
      <c r="AB9" s="321">
        <f t="shared" si="1"/>
        <v>215.72</v>
      </c>
      <c r="AD9" s="3">
        <f t="shared" si="2"/>
        <v>0.000311706782289208</v>
      </c>
      <c r="AE9" s="3">
        <f t="shared" si="3"/>
        <v>0.0311114183843791</v>
      </c>
      <c r="AF9" s="3">
        <f t="shared" si="4"/>
        <v>1.02717063872236e-5</v>
      </c>
      <c r="AG9" s="3">
        <f t="shared" si="5"/>
        <v>0.00889349524439748</v>
      </c>
      <c r="AH9" s="3">
        <f t="shared" si="6"/>
        <v>0.0416326292605359</v>
      </c>
      <c r="AI9" s="3">
        <f t="shared" si="7"/>
        <v>0.0819595213779889</v>
      </c>
      <c r="AK9" s="3">
        <f>AB9*(100-进出水!T11)/100</f>
        <v>46.81124</v>
      </c>
      <c r="AL9" s="3">
        <f t="shared" si="8"/>
        <v>4.80653791696182</v>
      </c>
    </row>
    <row r="10" ht="18.6" customHeight="1" spans="1:38">
      <c r="A10" s="6">
        <v>6</v>
      </c>
      <c r="B10" s="266">
        <v>26</v>
      </c>
      <c r="C10" s="267" t="s">
        <v>42</v>
      </c>
      <c r="D10" s="268">
        <v>212054</v>
      </c>
      <c r="E10" s="269">
        <v>181.6</v>
      </c>
      <c r="F10" s="269">
        <v>0</v>
      </c>
      <c r="G10" s="269">
        <v>0</v>
      </c>
      <c r="H10" s="270">
        <v>225</v>
      </c>
      <c r="I10" s="6">
        <v>5420</v>
      </c>
      <c r="J10" s="276">
        <v>57099.9999999913</v>
      </c>
      <c r="K10" s="277">
        <v>0</v>
      </c>
      <c r="L10" s="277">
        <v>0.4</v>
      </c>
      <c r="M10" s="277">
        <v>4970</v>
      </c>
      <c r="N10" s="277">
        <v>1704</v>
      </c>
      <c r="O10" s="278">
        <v>4.882</v>
      </c>
      <c r="P10" s="278">
        <v>0</v>
      </c>
      <c r="Q10" s="287">
        <v>5416</v>
      </c>
      <c r="R10" s="288">
        <f t="shared" si="0"/>
        <v>206638</v>
      </c>
      <c r="S10" s="289"/>
      <c r="T10" s="290" t="s">
        <v>48</v>
      </c>
      <c r="U10" s="291">
        <f>T18</f>
        <v>148876.47</v>
      </c>
      <c r="V10" s="284" t="s">
        <v>49</v>
      </c>
      <c r="W10" s="293"/>
      <c r="X10" s="293"/>
      <c r="Y10" s="322"/>
      <c r="Z10" s="322"/>
      <c r="AB10" s="321">
        <f t="shared" si="1"/>
        <v>181.6</v>
      </c>
      <c r="AD10" s="3">
        <f t="shared" si="2"/>
        <v>0</v>
      </c>
      <c r="AE10" s="3">
        <f t="shared" si="3"/>
        <v>0.0304880999622528</v>
      </c>
      <c r="AF10" s="3">
        <f t="shared" si="4"/>
        <v>2.01318247369796e-5</v>
      </c>
      <c r="AG10" s="3">
        <f t="shared" si="5"/>
        <v>0.010703016870082</v>
      </c>
      <c r="AH10" s="3">
        <f t="shared" si="6"/>
        <v>0.049096521646551</v>
      </c>
      <c r="AI10" s="3">
        <f t="shared" si="7"/>
        <v>0.0903077703036228</v>
      </c>
      <c r="AK10" s="3">
        <f>AB10*(100-进出水!T12)/100</f>
        <v>41.0416</v>
      </c>
      <c r="AL10" s="3">
        <f t="shared" si="8"/>
        <v>5.4822424077034</v>
      </c>
    </row>
    <row r="11" ht="18.6" customHeight="1" spans="1:38">
      <c r="A11" s="6">
        <v>7</v>
      </c>
      <c r="B11" s="266">
        <v>23.8</v>
      </c>
      <c r="C11" s="267" t="s">
        <v>42</v>
      </c>
      <c r="D11" s="268">
        <v>212171</v>
      </c>
      <c r="E11" s="269">
        <v>215.04</v>
      </c>
      <c r="F11" s="269">
        <v>0</v>
      </c>
      <c r="G11" s="269">
        <v>0</v>
      </c>
      <c r="H11" s="270">
        <v>225</v>
      </c>
      <c r="I11" s="13">
        <v>5090</v>
      </c>
      <c r="J11" s="279">
        <v>55499.9999999927</v>
      </c>
      <c r="K11" s="277">
        <v>120</v>
      </c>
      <c r="L11" s="277">
        <v>0</v>
      </c>
      <c r="M11" s="277">
        <v>2556</v>
      </c>
      <c r="N11" s="277">
        <v>888</v>
      </c>
      <c r="O11" s="278">
        <v>3.795</v>
      </c>
      <c r="P11" s="278">
        <v>0</v>
      </c>
      <c r="Q11" s="287">
        <v>5432</v>
      </c>
      <c r="R11" s="288">
        <f t="shared" si="0"/>
        <v>206739</v>
      </c>
      <c r="S11" s="289"/>
      <c r="T11" s="290" t="s">
        <v>50</v>
      </c>
      <c r="U11" s="291">
        <f>汇总!J5*4.21</f>
        <v>19690.17</v>
      </c>
      <c r="V11" s="284"/>
      <c r="W11" s="57">
        <v>4.21</v>
      </c>
      <c r="X11" s="57"/>
      <c r="Y11" s="57"/>
      <c r="Z11" s="283"/>
      <c r="AB11" s="321">
        <f t="shared" si="1"/>
        <v>215.04</v>
      </c>
      <c r="AD11" s="3">
        <f t="shared" si="2"/>
        <v>0.000305312495465297</v>
      </c>
      <c r="AE11" s="3">
        <f t="shared" si="3"/>
        <v>0.0304732053458709</v>
      </c>
      <c r="AF11" s="3">
        <f t="shared" si="4"/>
        <v>0</v>
      </c>
      <c r="AG11" s="3">
        <f t="shared" si="5"/>
        <v>0.00550171955944452</v>
      </c>
      <c r="AH11" s="3">
        <f t="shared" si="6"/>
        <v>0.0255730117684617</v>
      </c>
      <c r="AI11" s="3">
        <f t="shared" si="7"/>
        <v>0.0618532491692424</v>
      </c>
      <c r="AK11" s="3">
        <f>AB11*(100-进出水!T13)/100</f>
        <v>47.73888</v>
      </c>
      <c r="AL11" s="3">
        <f t="shared" si="8"/>
        <v>4.71313947876448</v>
      </c>
    </row>
    <row r="12" ht="18.6" customHeight="1" spans="1:38">
      <c r="A12" s="6">
        <v>8</v>
      </c>
      <c r="B12" s="266">
        <v>23.5</v>
      </c>
      <c r="C12" s="267" t="s">
        <v>42</v>
      </c>
      <c r="D12" s="270">
        <v>210565</v>
      </c>
      <c r="E12" s="269">
        <v>142.74</v>
      </c>
      <c r="F12" s="269">
        <v>72.62</v>
      </c>
      <c r="G12" s="269">
        <v>0</v>
      </c>
      <c r="H12" s="270">
        <v>250</v>
      </c>
      <c r="I12" s="6">
        <v>5814</v>
      </c>
      <c r="J12" s="276">
        <v>57200.0000000116</v>
      </c>
      <c r="K12" s="277">
        <v>120</v>
      </c>
      <c r="L12" s="277">
        <v>0.2</v>
      </c>
      <c r="M12" s="277">
        <v>3692</v>
      </c>
      <c r="N12" s="277">
        <v>1296</v>
      </c>
      <c r="O12" s="278">
        <v>3.762</v>
      </c>
      <c r="P12" s="278">
        <v>0</v>
      </c>
      <c r="Q12" s="287">
        <v>5424</v>
      </c>
      <c r="R12" s="288">
        <f t="shared" si="0"/>
        <v>205141</v>
      </c>
      <c r="S12" s="289"/>
      <c r="T12" s="294"/>
      <c r="U12" s="295"/>
      <c r="V12" s="293"/>
      <c r="W12" s="293"/>
      <c r="X12" s="293"/>
      <c r="AB12" s="321">
        <f t="shared" si="1"/>
        <v>215.36</v>
      </c>
      <c r="AD12" s="3">
        <f t="shared" si="2"/>
        <v>0.000307690807785864</v>
      </c>
      <c r="AE12" s="3">
        <f t="shared" si="3"/>
        <v>0.0341228715858848</v>
      </c>
      <c r="AF12" s="3">
        <f t="shared" si="4"/>
        <v>1.01393675569486e-5</v>
      </c>
      <c r="AG12" s="3">
        <f t="shared" si="5"/>
        <v>0.0080088329490448</v>
      </c>
      <c r="AH12" s="3">
        <f t="shared" si="6"/>
        <v>0.0376135095373426</v>
      </c>
      <c r="AI12" s="3">
        <f t="shared" si="7"/>
        <v>0.080063044247615</v>
      </c>
      <c r="AK12" s="3">
        <f>AB12*(100-进出水!T14)/100</f>
        <v>47.16384</v>
      </c>
      <c r="AL12" s="3">
        <f t="shared" si="8"/>
        <v>5.30067102254608</v>
      </c>
    </row>
    <row r="13" ht="18.6" customHeight="1" spans="1:38">
      <c r="A13" s="6">
        <v>9</v>
      </c>
      <c r="B13" s="266">
        <v>22.5</v>
      </c>
      <c r="C13" s="267" t="s">
        <v>42</v>
      </c>
      <c r="D13" s="268">
        <v>182729</v>
      </c>
      <c r="E13" s="269">
        <v>107.86</v>
      </c>
      <c r="F13" s="269">
        <v>106.46</v>
      </c>
      <c r="G13" s="269">
        <v>0</v>
      </c>
      <c r="H13" s="270">
        <v>250</v>
      </c>
      <c r="I13" s="6">
        <v>5396</v>
      </c>
      <c r="J13" s="276">
        <v>55499.9999999927</v>
      </c>
      <c r="K13" s="277">
        <v>120</v>
      </c>
      <c r="L13" s="277">
        <v>0.2</v>
      </c>
      <c r="M13" s="277">
        <v>4118</v>
      </c>
      <c r="N13" s="277">
        <v>1440</v>
      </c>
      <c r="O13" s="278">
        <v>5.177</v>
      </c>
      <c r="P13" s="278">
        <v>0</v>
      </c>
      <c r="Q13" s="287">
        <v>5424</v>
      </c>
      <c r="R13" s="288">
        <f t="shared" si="0"/>
        <v>177305</v>
      </c>
      <c r="S13" s="289"/>
      <c r="T13" s="290"/>
      <c r="U13" s="296">
        <f>U14/R37</f>
        <v>0.0909109505518902</v>
      </c>
      <c r="V13" s="57"/>
      <c r="W13" s="57"/>
      <c r="X13" s="293"/>
      <c r="AB13" s="321">
        <f t="shared" si="1"/>
        <v>214.32</v>
      </c>
      <c r="AD13" s="3">
        <f t="shared" si="2"/>
        <v>0.000355996728800654</v>
      </c>
      <c r="AE13" s="3">
        <f t="shared" si="3"/>
        <v>0.0394799921040016</v>
      </c>
      <c r="AF13" s="3">
        <f t="shared" si="4"/>
        <v>1.17311976537605e-5</v>
      </c>
      <c r="AG13" s="3">
        <f t="shared" si="5"/>
        <v>0.0103353543329291</v>
      </c>
      <c r="AH13" s="3">
        <f t="shared" si="6"/>
        <v>0.0483540475451905</v>
      </c>
      <c r="AI13" s="3">
        <f t="shared" si="7"/>
        <v>0.0985371219085756</v>
      </c>
      <c r="AK13" s="3">
        <f>AB13*(100-进出水!T15)/100</f>
        <v>47.79336</v>
      </c>
      <c r="AL13" s="3">
        <f t="shared" si="8"/>
        <v>5.23085215184704</v>
      </c>
    </row>
    <row r="14" ht="18.6" customHeight="1" spans="1:38">
      <c r="A14" s="6">
        <v>10</v>
      </c>
      <c r="B14" s="266">
        <v>24</v>
      </c>
      <c r="C14" s="267" t="s">
        <v>51</v>
      </c>
      <c r="D14" s="268">
        <v>161780</v>
      </c>
      <c r="E14" s="269">
        <v>0</v>
      </c>
      <c r="F14" s="269">
        <v>213.86</v>
      </c>
      <c r="G14" s="269">
        <v>0</v>
      </c>
      <c r="H14" s="270">
        <v>225</v>
      </c>
      <c r="I14" s="6">
        <v>5488</v>
      </c>
      <c r="J14" s="276">
        <v>50299.9999999884</v>
      </c>
      <c r="K14" s="277">
        <v>0</v>
      </c>
      <c r="L14" s="277">
        <v>0</v>
      </c>
      <c r="M14" s="277">
        <v>4970</v>
      </c>
      <c r="N14" s="277">
        <v>1728</v>
      </c>
      <c r="O14" s="278">
        <v>4.113</v>
      </c>
      <c r="P14" s="278">
        <v>0</v>
      </c>
      <c r="Q14" s="287">
        <v>5424</v>
      </c>
      <c r="R14" s="288">
        <f t="shared" si="0"/>
        <v>156356</v>
      </c>
      <c r="S14" s="289"/>
      <c r="T14" s="297" t="s">
        <v>52</v>
      </c>
      <c r="U14" s="298">
        <f>U5+U6+U7+U8+U9</f>
        <v>495686.77596</v>
      </c>
      <c r="V14" s="299" t="s">
        <v>53</v>
      </c>
      <c r="W14" s="300">
        <f>U6+U9</f>
        <v>10666.88</v>
      </c>
      <c r="X14" s="293"/>
      <c r="AB14" s="321">
        <f t="shared" si="1"/>
        <v>213.86</v>
      </c>
      <c r="AD14" s="3">
        <f t="shared" si="2"/>
        <v>0</v>
      </c>
      <c r="AE14" s="3">
        <f t="shared" si="3"/>
        <v>0.0402926654557548</v>
      </c>
      <c r="AF14" s="3">
        <f t="shared" si="4"/>
        <v>0</v>
      </c>
      <c r="AG14" s="3">
        <f t="shared" si="5"/>
        <v>0.0141449640563842</v>
      </c>
      <c r="AH14" s="3">
        <f t="shared" si="6"/>
        <v>0.0657991844252859</v>
      </c>
      <c r="AI14" s="3">
        <f t="shared" si="7"/>
        <v>0.120236813937425</v>
      </c>
      <c r="AK14" s="3">
        <f>AB14*(100-进出水!T16)/100</f>
        <v>48.1185</v>
      </c>
      <c r="AL14" s="3">
        <f t="shared" si="8"/>
        <v>4.67595623304966</v>
      </c>
    </row>
    <row r="15" ht="18.6" customHeight="1" spans="1:38">
      <c r="A15" s="6">
        <v>11</v>
      </c>
      <c r="B15" s="266">
        <v>22</v>
      </c>
      <c r="C15" s="267" t="s">
        <v>51</v>
      </c>
      <c r="D15" s="268">
        <v>160080</v>
      </c>
      <c r="E15" s="269">
        <v>71.66</v>
      </c>
      <c r="F15" s="269">
        <v>140.56</v>
      </c>
      <c r="G15" s="269">
        <v>0</v>
      </c>
      <c r="H15" s="270">
        <v>250</v>
      </c>
      <c r="I15" s="6">
        <v>5964</v>
      </c>
      <c r="J15" s="279">
        <v>47800.0000000247</v>
      </c>
      <c r="K15" s="277">
        <v>120</v>
      </c>
      <c r="L15" s="277">
        <v>0</v>
      </c>
      <c r="M15" s="277">
        <v>4047</v>
      </c>
      <c r="N15" s="277">
        <v>1392</v>
      </c>
      <c r="O15" s="278">
        <v>3.783</v>
      </c>
      <c r="P15" s="278">
        <v>0</v>
      </c>
      <c r="Q15" s="287">
        <v>5424</v>
      </c>
      <c r="R15" s="288">
        <f t="shared" si="0"/>
        <v>154656</v>
      </c>
      <c r="S15" s="289"/>
      <c r="T15" s="297" t="s">
        <v>54</v>
      </c>
      <c r="U15" s="301" t="s">
        <v>55</v>
      </c>
      <c r="V15" s="301" t="s">
        <v>56</v>
      </c>
      <c r="W15" s="302" t="s">
        <v>57</v>
      </c>
      <c r="X15" s="293"/>
      <c r="AB15" s="321">
        <f t="shared" si="1"/>
        <v>212.22</v>
      </c>
      <c r="AD15" s="3">
        <f t="shared" si="2"/>
        <v>0.000408131595282433</v>
      </c>
      <c r="AE15" s="3">
        <f t="shared" si="3"/>
        <v>0.0452617421891165</v>
      </c>
      <c r="AF15" s="3">
        <f t="shared" si="4"/>
        <v>0</v>
      </c>
      <c r="AG15" s="3">
        <f t="shared" si="5"/>
        <v>0.0116446500620732</v>
      </c>
      <c r="AH15" s="3">
        <f t="shared" si="6"/>
        <v>0.0535875356921167</v>
      </c>
      <c r="AI15" s="3">
        <f t="shared" si="7"/>
        <v>0.110902059538589</v>
      </c>
      <c r="AK15" s="3">
        <f>AB15*(100-进出水!T17)/100</f>
        <v>45.83952</v>
      </c>
      <c r="AL15" s="3">
        <f t="shared" si="8"/>
        <v>5.45380928945155</v>
      </c>
    </row>
    <row r="16" ht="18.6" customHeight="1" spans="1:38">
      <c r="A16" s="6">
        <v>12</v>
      </c>
      <c r="B16" s="266">
        <v>23</v>
      </c>
      <c r="C16" s="267" t="s">
        <v>51</v>
      </c>
      <c r="D16" s="268">
        <v>179006</v>
      </c>
      <c r="E16" s="269">
        <v>218.24</v>
      </c>
      <c r="F16" s="269">
        <v>0</v>
      </c>
      <c r="G16" s="269">
        <v>0</v>
      </c>
      <c r="H16" s="270">
        <v>125</v>
      </c>
      <c r="I16" s="6">
        <v>6270</v>
      </c>
      <c r="J16" s="280">
        <v>50200.0000000044</v>
      </c>
      <c r="K16" s="277">
        <v>120</v>
      </c>
      <c r="L16" s="277">
        <v>0</v>
      </c>
      <c r="M16" s="277">
        <v>4260</v>
      </c>
      <c r="N16" s="277">
        <v>1488</v>
      </c>
      <c r="O16" s="278">
        <v>3.568</v>
      </c>
      <c r="P16" s="278">
        <v>0</v>
      </c>
      <c r="Q16" s="287">
        <v>5432</v>
      </c>
      <c r="R16" s="288">
        <f t="shared" si="0"/>
        <v>173574</v>
      </c>
      <c r="S16" s="289"/>
      <c r="T16" s="303">
        <f>U16+V16+W16</f>
        <v>6544.67</v>
      </c>
      <c r="U16" s="300">
        <f>F37</f>
        <v>2217.98</v>
      </c>
      <c r="V16" s="300">
        <f>E37</f>
        <v>4311.69</v>
      </c>
      <c r="W16" s="300">
        <f>G37</f>
        <v>15</v>
      </c>
      <c r="X16" s="293"/>
      <c r="AB16" s="321">
        <f t="shared" si="1"/>
        <v>218.24</v>
      </c>
      <c r="AD16" s="3">
        <f t="shared" si="2"/>
        <v>0.000363648933596045</v>
      </c>
      <c r="AE16" s="3">
        <f t="shared" si="3"/>
        <v>0.0201643103229746</v>
      </c>
      <c r="AF16" s="3">
        <f t="shared" si="4"/>
        <v>0</v>
      </c>
      <c r="AG16" s="3">
        <f t="shared" si="5"/>
        <v>0.0109215665940751</v>
      </c>
      <c r="AH16" s="3">
        <f t="shared" si="6"/>
        <v>0.051039872792008</v>
      </c>
      <c r="AI16" s="3">
        <f t="shared" si="7"/>
        <v>0.0824893986426538</v>
      </c>
      <c r="AK16" s="3">
        <f>AB16*(100-进出水!T18)/100</f>
        <v>48.44928</v>
      </c>
      <c r="AL16" s="3">
        <f t="shared" si="8"/>
        <v>2.58001770098544</v>
      </c>
    </row>
    <row r="17" ht="18.6" customHeight="1" spans="1:38">
      <c r="A17" s="6">
        <v>13</v>
      </c>
      <c r="B17" s="266">
        <v>22</v>
      </c>
      <c r="C17" s="267" t="s">
        <v>58</v>
      </c>
      <c r="D17" s="268">
        <v>163950</v>
      </c>
      <c r="E17" s="269">
        <v>90.62</v>
      </c>
      <c r="F17" s="269">
        <v>17.64</v>
      </c>
      <c r="G17" s="269">
        <v>0</v>
      </c>
      <c r="H17" s="270">
        <v>200</v>
      </c>
      <c r="I17" s="6">
        <v>6312</v>
      </c>
      <c r="J17" s="280">
        <v>47999.9999999927</v>
      </c>
      <c r="K17" s="277">
        <v>120</v>
      </c>
      <c r="L17" s="277">
        <v>0</v>
      </c>
      <c r="M17" s="277">
        <v>2130</v>
      </c>
      <c r="N17" s="277">
        <v>768</v>
      </c>
      <c r="O17" s="278">
        <v>3.935</v>
      </c>
      <c r="P17" s="278">
        <v>0</v>
      </c>
      <c r="Q17" s="287">
        <v>5424</v>
      </c>
      <c r="R17" s="288">
        <f t="shared" si="0"/>
        <v>158526</v>
      </c>
      <c r="S17" s="289"/>
      <c r="T17" s="297" t="s">
        <v>59</v>
      </c>
      <c r="U17" s="304">
        <v>22.8</v>
      </c>
      <c r="V17" s="304">
        <v>22.8</v>
      </c>
      <c r="W17" s="299"/>
      <c r="X17" s="293"/>
      <c r="AB17" s="321">
        <f t="shared" si="1"/>
        <v>108.26</v>
      </c>
      <c r="AD17" s="3">
        <f t="shared" si="2"/>
        <v>0.000398168123840884</v>
      </c>
      <c r="AE17" s="3">
        <f t="shared" si="3"/>
        <v>0.0353254355752369</v>
      </c>
      <c r="AF17" s="3">
        <f t="shared" si="4"/>
        <v>0</v>
      </c>
      <c r="AG17" s="3">
        <f t="shared" si="5"/>
        <v>0.00597914537678362</v>
      </c>
      <c r="AH17" s="3">
        <f t="shared" si="6"/>
        <v>0.0288437712425722</v>
      </c>
      <c r="AI17" s="3">
        <f t="shared" si="7"/>
        <v>0.0705465203184336</v>
      </c>
      <c r="AK17" s="3">
        <f>AB17*(100-进出水!T19)/100</f>
        <v>24.79154</v>
      </c>
      <c r="AL17" s="3">
        <f t="shared" si="8"/>
        <v>8.06726810839504</v>
      </c>
    </row>
    <row r="18" ht="18.6" customHeight="1" spans="1:38">
      <c r="A18" s="6">
        <v>14</v>
      </c>
      <c r="B18" s="266">
        <v>23</v>
      </c>
      <c r="C18" s="267" t="s">
        <v>42</v>
      </c>
      <c r="D18" s="268">
        <v>211061</v>
      </c>
      <c r="E18" s="269">
        <v>219.62</v>
      </c>
      <c r="F18" s="269">
        <v>0</v>
      </c>
      <c r="G18" s="269">
        <v>0</v>
      </c>
      <c r="H18" s="270">
        <v>250</v>
      </c>
      <c r="I18" s="6">
        <v>6050</v>
      </c>
      <c r="J18" s="280">
        <v>56599.9999999985</v>
      </c>
      <c r="K18" s="277">
        <v>0</v>
      </c>
      <c r="L18" s="277">
        <v>0</v>
      </c>
      <c r="M18" s="277">
        <v>1775</v>
      </c>
      <c r="N18" s="277">
        <v>648</v>
      </c>
      <c r="O18" s="278">
        <v>5.104</v>
      </c>
      <c r="P18" s="278">
        <v>0</v>
      </c>
      <c r="Q18" s="287">
        <v>5432</v>
      </c>
      <c r="R18" s="288">
        <f t="shared" si="0"/>
        <v>205629</v>
      </c>
      <c r="S18" s="289"/>
      <c r="T18" s="303">
        <f>U18+V18</f>
        <v>148876.47</v>
      </c>
      <c r="U18" s="305">
        <f>ROUND(U16*U17,2)</f>
        <v>50569.94</v>
      </c>
      <c r="V18" s="302">
        <f>ROUND(V16*V17,2)</f>
        <v>98306.53</v>
      </c>
      <c r="W18" s="299"/>
      <c r="X18" s="293"/>
      <c r="AB18" s="321">
        <f t="shared" si="1"/>
        <v>219.62</v>
      </c>
      <c r="AD18" s="3">
        <f t="shared" si="2"/>
        <v>0</v>
      </c>
      <c r="AE18" s="3">
        <f t="shared" si="3"/>
        <v>0.0340418909784126</v>
      </c>
      <c r="AF18" s="3">
        <f t="shared" si="4"/>
        <v>0</v>
      </c>
      <c r="AG18" s="3">
        <f t="shared" si="5"/>
        <v>0.00384126266236766</v>
      </c>
      <c r="AH18" s="3">
        <f t="shared" si="6"/>
        <v>0.0187621224632712</v>
      </c>
      <c r="AI18" s="3">
        <f t="shared" si="7"/>
        <v>0.0566452761040514</v>
      </c>
      <c r="AK18" s="3">
        <f>AB18*(100-进出水!T20)/100</f>
        <v>48.75564</v>
      </c>
      <c r="AL18" s="3">
        <f t="shared" si="8"/>
        <v>5.12761190295113</v>
      </c>
    </row>
    <row r="19" ht="18.6" customHeight="1" spans="1:38">
      <c r="A19" s="6">
        <v>15</v>
      </c>
      <c r="B19" s="266">
        <v>23.9</v>
      </c>
      <c r="C19" s="267" t="s">
        <v>42</v>
      </c>
      <c r="D19" s="268">
        <v>162905</v>
      </c>
      <c r="E19" s="269">
        <v>177.54</v>
      </c>
      <c r="F19" s="269">
        <v>15.1</v>
      </c>
      <c r="G19" s="269">
        <v>0</v>
      </c>
      <c r="H19" s="270">
        <v>250</v>
      </c>
      <c r="I19" s="6">
        <v>5426</v>
      </c>
      <c r="J19" s="280">
        <v>47700.0000000044</v>
      </c>
      <c r="K19" s="277">
        <v>120</v>
      </c>
      <c r="L19" s="277">
        <v>0</v>
      </c>
      <c r="M19" s="277">
        <v>3905</v>
      </c>
      <c r="N19" s="277">
        <v>1368</v>
      </c>
      <c r="O19" s="278">
        <v>4.606</v>
      </c>
      <c r="P19" s="278">
        <v>0</v>
      </c>
      <c r="Q19" s="287">
        <v>5424</v>
      </c>
      <c r="R19" s="288">
        <f t="shared" si="0"/>
        <v>157481</v>
      </c>
      <c r="S19" s="289"/>
      <c r="T19" s="297" t="s">
        <v>60</v>
      </c>
      <c r="U19" s="301"/>
      <c r="V19" s="304">
        <v>0</v>
      </c>
      <c r="W19" s="299"/>
      <c r="X19" s="293"/>
      <c r="AB19" s="321">
        <f t="shared" si="1"/>
        <v>192.64</v>
      </c>
      <c r="AD19" s="3">
        <f t="shared" si="2"/>
        <v>0.000400810256475384</v>
      </c>
      <c r="AE19" s="3">
        <f t="shared" si="3"/>
        <v>0.0444498066433411</v>
      </c>
      <c r="AF19" s="3">
        <f t="shared" si="4"/>
        <v>0</v>
      </c>
      <c r="AG19" s="3">
        <f t="shared" si="5"/>
        <v>0.0110345057499</v>
      </c>
      <c r="AH19" s="3">
        <f t="shared" si="6"/>
        <v>0.0517188973907964</v>
      </c>
      <c r="AI19" s="3">
        <f t="shared" si="7"/>
        <v>0.107604020040513</v>
      </c>
      <c r="AK19" s="3">
        <f>AB19*(100-进出水!T21)/100</f>
        <v>41.61024</v>
      </c>
      <c r="AL19" s="3">
        <f t="shared" si="8"/>
        <v>6.00813645871786</v>
      </c>
    </row>
    <row r="20" ht="18.6" customHeight="1" spans="1:38">
      <c r="A20" s="6">
        <v>16</v>
      </c>
      <c r="B20" s="266">
        <v>23.9</v>
      </c>
      <c r="C20" s="267" t="s">
        <v>42</v>
      </c>
      <c r="D20" s="268">
        <v>168447</v>
      </c>
      <c r="E20" s="269">
        <v>0</v>
      </c>
      <c r="F20" s="269">
        <v>233.72</v>
      </c>
      <c r="G20" s="269">
        <v>0</v>
      </c>
      <c r="H20" s="270">
        <v>250</v>
      </c>
      <c r="I20" s="6">
        <v>5596</v>
      </c>
      <c r="J20" s="280">
        <v>49699.9999999753</v>
      </c>
      <c r="K20" s="277">
        <v>120</v>
      </c>
      <c r="L20" s="277">
        <v>0</v>
      </c>
      <c r="M20" s="277">
        <v>4686</v>
      </c>
      <c r="N20" s="277">
        <v>1632</v>
      </c>
      <c r="O20" s="278">
        <v>4.444</v>
      </c>
      <c r="P20" s="278">
        <v>0</v>
      </c>
      <c r="Q20" s="287">
        <v>5416</v>
      </c>
      <c r="R20" s="288">
        <f t="shared" si="0"/>
        <v>163031</v>
      </c>
      <c r="S20" s="289"/>
      <c r="T20" s="303">
        <f>U20+V20</f>
        <v>0</v>
      </c>
      <c r="U20" s="301"/>
      <c r="V20" s="302">
        <f>ROUND(V16*V19,2)</f>
        <v>0</v>
      </c>
      <c r="W20" s="299"/>
      <c r="X20" s="293"/>
      <c r="AB20" s="321">
        <f t="shared" si="1"/>
        <v>233.72</v>
      </c>
      <c r="AD20" s="3">
        <f t="shared" si="2"/>
        <v>0.000387165631076298</v>
      </c>
      <c r="AE20" s="3">
        <f t="shared" si="3"/>
        <v>0.0429366194159393</v>
      </c>
      <c r="AF20" s="3">
        <f t="shared" si="4"/>
        <v>0</v>
      </c>
      <c r="AG20" s="3">
        <f t="shared" si="5"/>
        <v>0.0127906349099251</v>
      </c>
      <c r="AH20" s="3">
        <f t="shared" si="6"/>
        <v>0.0595993174304273</v>
      </c>
      <c r="AI20" s="3">
        <f t="shared" si="7"/>
        <v>0.115713737387368</v>
      </c>
      <c r="AK20" s="3">
        <f>AB20*(100-进出水!T22)/100</f>
        <v>50.95096</v>
      </c>
      <c r="AL20" s="3">
        <f t="shared" si="8"/>
        <v>4.90667889280202</v>
      </c>
    </row>
    <row r="21" ht="18.6" customHeight="1" spans="1:38">
      <c r="A21" s="6">
        <v>17</v>
      </c>
      <c r="B21" s="266">
        <v>24</v>
      </c>
      <c r="C21" s="267" t="s">
        <v>42</v>
      </c>
      <c r="D21" s="268">
        <v>180757</v>
      </c>
      <c r="E21" s="269">
        <v>134.2</v>
      </c>
      <c r="F21" s="269">
        <v>72.52</v>
      </c>
      <c r="G21" s="269">
        <v>0</v>
      </c>
      <c r="H21" s="270">
        <v>200</v>
      </c>
      <c r="I21" s="6">
        <v>6018</v>
      </c>
      <c r="J21" s="280">
        <v>51100.0000000058</v>
      </c>
      <c r="K21" s="277">
        <v>120</v>
      </c>
      <c r="L21" s="277">
        <v>0</v>
      </c>
      <c r="M21" s="277">
        <v>4970</v>
      </c>
      <c r="N21" s="277">
        <v>1728</v>
      </c>
      <c r="O21" s="278">
        <v>4.415</v>
      </c>
      <c r="P21" s="278">
        <v>0</v>
      </c>
      <c r="Q21" s="287">
        <v>5432</v>
      </c>
      <c r="R21" s="288">
        <f t="shared" si="0"/>
        <v>175325</v>
      </c>
      <c r="S21" s="289"/>
      <c r="T21" s="297" t="s">
        <v>61</v>
      </c>
      <c r="U21" s="306" t="s">
        <v>62</v>
      </c>
      <c r="V21" s="285">
        <f>V17+V19</f>
        <v>22.8</v>
      </c>
      <c r="W21" s="57" t="s">
        <v>63</v>
      </c>
      <c r="X21" s="293"/>
      <c r="AB21" s="321">
        <f t="shared" si="1"/>
        <v>206.72</v>
      </c>
      <c r="AD21" s="3">
        <f t="shared" si="2"/>
        <v>0.000360017111079424</v>
      </c>
      <c r="AE21" s="3">
        <f t="shared" si="3"/>
        <v>0.0319406815913304</v>
      </c>
      <c r="AF21" s="3">
        <f t="shared" si="4"/>
        <v>0</v>
      </c>
      <c r="AG21" s="3">
        <f t="shared" si="5"/>
        <v>0.012614572935976</v>
      </c>
      <c r="AH21" s="3">
        <f t="shared" si="6"/>
        <v>0.0586801498930558</v>
      </c>
      <c r="AI21" s="3">
        <f t="shared" si="7"/>
        <v>0.103595421531442</v>
      </c>
      <c r="AK21" s="3">
        <f>AB21*(100-进出水!T23)/100</f>
        <v>45.68512</v>
      </c>
      <c r="AL21" s="3">
        <f t="shared" si="8"/>
        <v>4.37779303195439</v>
      </c>
    </row>
    <row r="22" ht="18.6" customHeight="1" spans="1:38">
      <c r="A22" s="6">
        <v>18</v>
      </c>
      <c r="B22" s="266">
        <v>24</v>
      </c>
      <c r="C22" s="267" t="s">
        <v>42</v>
      </c>
      <c r="D22" s="268">
        <v>161232</v>
      </c>
      <c r="E22" s="269">
        <v>74.52</v>
      </c>
      <c r="F22" s="269">
        <v>145.98</v>
      </c>
      <c r="G22" s="269">
        <v>0</v>
      </c>
      <c r="H22" s="270">
        <v>225</v>
      </c>
      <c r="I22" s="6">
        <v>5046</v>
      </c>
      <c r="J22" s="64">
        <v>48899.9999999942</v>
      </c>
      <c r="K22" s="277">
        <v>0</v>
      </c>
      <c r="L22" s="277">
        <v>0</v>
      </c>
      <c r="M22" s="277">
        <v>3550</v>
      </c>
      <c r="N22" s="277">
        <v>1368</v>
      </c>
      <c r="O22" s="278">
        <v>4.354</v>
      </c>
      <c r="P22" s="278">
        <v>0</v>
      </c>
      <c r="Q22" s="287">
        <v>5416</v>
      </c>
      <c r="R22" s="288">
        <f t="shared" si="0"/>
        <v>155816</v>
      </c>
      <c r="S22" s="289"/>
      <c r="T22" s="303">
        <f>T18+T20</f>
        <v>148876.47</v>
      </c>
      <c r="U22" s="306"/>
      <c r="V22" s="57"/>
      <c r="W22" s="307">
        <f>T16-E37-F37-G37</f>
        <v>4.54747350886464e-13</v>
      </c>
      <c r="X22" s="293"/>
      <c r="AB22" s="321">
        <f t="shared" si="1"/>
        <v>220.5</v>
      </c>
      <c r="AD22" s="3">
        <f t="shared" si="2"/>
        <v>0</v>
      </c>
      <c r="AE22" s="3">
        <f t="shared" si="3"/>
        <v>0.0404323047697284</v>
      </c>
      <c r="AF22" s="3">
        <f t="shared" si="4"/>
        <v>0</v>
      </c>
      <c r="AG22" s="3">
        <f t="shared" si="5"/>
        <v>0.0101385608666632</v>
      </c>
      <c r="AH22" s="3">
        <f t="shared" si="6"/>
        <v>0.0522715490065205</v>
      </c>
      <c r="AI22" s="3">
        <f t="shared" si="7"/>
        <v>0.102842414642912</v>
      </c>
      <c r="AK22" s="3">
        <f>AB22*(100-进出水!T24)/100</f>
        <v>48.069</v>
      </c>
      <c r="AL22" s="3">
        <f t="shared" si="8"/>
        <v>4.68077139112526</v>
      </c>
    </row>
    <row r="23" ht="18.6" customHeight="1" spans="1:38">
      <c r="A23" s="6">
        <v>19</v>
      </c>
      <c r="B23" s="266">
        <v>22</v>
      </c>
      <c r="C23" s="267" t="s">
        <v>51</v>
      </c>
      <c r="D23" s="268">
        <v>146527</v>
      </c>
      <c r="E23" s="269">
        <v>219.06</v>
      </c>
      <c r="F23" s="269">
        <v>0</v>
      </c>
      <c r="G23" s="269">
        <v>0</v>
      </c>
      <c r="H23" s="270">
        <v>250</v>
      </c>
      <c r="I23" s="6">
        <v>4964</v>
      </c>
      <c r="J23" s="64">
        <v>45400.0000000087</v>
      </c>
      <c r="K23" s="277">
        <v>120</v>
      </c>
      <c r="L23" s="277">
        <v>0</v>
      </c>
      <c r="M23" s="277">
        <v>3905</v>
      </c>
      <c r="N23" s="277">
        <v>1272</v>
      </c>
      <c r="O23" s="278">
        <v>4.549</v>
      </c>
      <c r="P23" s="278">
        <v>0</v>
      </c>
      <c r="Q23" s="287">
        <v>5424</v>
      </c>
      <c r="R23" s="288">
        <f t="shared" si="0"/>
        <v>141103</v>
      </c>
      <c r="S23" s="289"/>
      <c r="T23" s="290"/>
      <c r="U23" s="308"/>
      <c r="V23" s="57"/>
      <c r="W23" s="57"/>
      <c r="X23" s="57"/>
      <c r="AB23" s="321">
        <f t="shared" si="1"/>
        <v>219.06</v>
      </c>
      <c r="AD23" s="3">
        <f t="shared" si="2"/>
        <v>0.000447332799444377</v>
      </c>
      <c r="AE23" s="3">
        <f t="shared" si="3"/>
        <v>0.0496091507622092</v>
      </c>
      <c r="AF23" s="3">
        <f t="shared" si="4"/>
        <v>0</v>
      </c>
      <c r="AG23" s="3">
        <f t="shared" si="5"/>
        <v>0.01231529450118</v>
      </c>
      <c r="AH23" s="3">
        <f t="shared" si="6"/>
        <v>0.0536713090437482</v>
      </c>
      <c r="AI23" s="3">
        <f t="shared" si="7"/>
        <v>0.116043087106582</v>
      </c>
      <c r="AK23" s="3">
        <f>AB23*(100-进出水!T25)/100</f>
        <v>49.06944</v>
      </c>
      <c r="AL23" s="3">
        <f t="shared" si="8"/>
        <v>5.09482072752409</v>
      </c>
    </row>
    <row r="24" ht="18.6" customHeight="1" spans="1:38">
      <c r="A24" s="6">
        <v>20</v>
      </c>
      <c r="B24" s="266">
        <v>23</v>
      </c>
      <c r="C24" s="267" t="s">
        <v>64</v>
      </c>
      <c r="D24" s="268">
        <v>154922</v>
      </c>
      <c r="E24" s="269">
        <v>162.8</v>
      </c>
      <c r="F24" s="269">
        <v>93.1</v>
      </c>
      <c r="G24" s="269">
        <v>0</v>
      </c>
      <c r="H24" s="270">
        <v>250</v>
      </c>
      <c r="I24" s="6">
        <v>5910</v>
      </c>
      <c r="J24" s="64">
        <v>46300.0000000102</v>
      </c>
      <c r="K24" s="277">
        <v>120</v>
      </c>
      <c r="L24" s="277">
        <v>0</v>
      </c>
      <c r="M24" s="277">
        <v>2130</v>
      </c>
      <c r="N24" s="277">
        <v>768</v>
      </c>
      <c r="O24" s="278">
        <v>4.475</v>
      </c>
      <c r="P24" s="278">
        <v>0</v>
      </c>
      <c r="Q24" s="287">
        <v>5464</v>
      </c>
      <c r="R24" s="288">
        <f t="shared" si="0"/>
        <v>149458</v>
      </c>
      <c r="S24" s="289"/>
      <c r="T24" s="290" t="s">
        <v>65</v>
      </c>
      <c r="U24" s="308" t="s">
        <v>66</v>
      </c>
      <c r="V24" s="309">
        <f>H37</f>
        <v>7225</v>
      </c>
      <c r="W24" s="57">
        <f>L37</f>
        <v>91</v>
      </c>
      <c r="X24" s="57"/>
      <c r="AB24" s="321">
        <f t="shared" si="1"/>
        <v>255.9</v>
      </c>
      <c r="AD24" s="3">
        <f t="shared" si="2"/>
        <v>0.000422326004630063</v>
      </c>
      <c r="AE24" s="3">
        <f t="shared" si="3"/>
        <v>0.0468359003867307</v>
      </c>
      <c r="AF24" s="3">
        <f t="shared" si="4"/>
        <v>0</v>
      </c>
      <c r="AG24" s="3">
        <f t="shared" si="5"/>
        <v>0.00634191545450896</v>
      </c>
      <c r="AH24" s="3">
        <f t="shared" si="6"/>
        <v>0.0305937967857191</v>
      </c>
      <c r="AI24" s="3">
        <f t="shared" si="7"/>
        <v>0.0841939386315888</v>
      </c>
      <c r="AK24" s="3">
        <f>AB24*(100-进出水!T26)/100</f>
        <v>58.3452</v>
      </c>
      <c r="AL24" s="3">
        <f t="shared" si="8"/>
        <v>4.28484262630002</v>
      </c>
    </row>
    <row r="25" ht="18.6" customHeight="1" spans="1:38">
      <c r="A25" s="6">
        <v>21</v>
      </c>
      <c r="B25" s="266">
        <v>24.5</v>
      </c>
      <c r="C25" s="267" t="s">
        <v>42</v>
      </c>
      <c r="D25" s="268">
        <v>170487</v>
      </c>
      <c r="E25" s="269">
        <v>259.99</v>
      </c>
      <c r="F25" s="269">
        <v>0</v>
      </c>
      <c r="G25" s="269">
        <v>0</v>
      </c>
      <c r="H25" s="270">
        <v>225</v>
      </c>
      <c r="I25" s="6">
        <v>5780</v>
      </c>
      <c r="J25" s="280">
        <v>46599.9999999985</v>
      </c>
      <c r="K25" s="277">
        <v>120</v>
      </c>
      <c r="L25" s="277">
        <v>23</v>
      </c>
      <c r="M25" s="277">
        <v>1846</v>
      </c>
      <c r="N25" s="277">
        <v>672</v>
      </c>
      <c r="O25" s="278">
        <v>3.642</v>
      </c>
      <c r="P25" s="278">
        <v>0</v>
      </c>
      <c r="Q25" s="287">
        <v>5426</v>
      </c>
      <c r="R25" s="288">
        <f t="shared" si="0"/>
        <v>165061</v>
      </c>
      <c r="S25" s="289"/>
      <c r="T25" s="290"/>
      <c r="U25" s="308" t="s">
        <v>67</v>
      </c>
      <c r="V25" s="284">
        <f>汇总!F6</f>
        <v>4.98623200239228</v>
      </c>
      <c r="W25" s="284">
        <f>W24/R37*1000</f>
        <v>0.0166897664037937</v>
      </c>
      <c r="X25" s="57"/>
      <c r="AB25" s="321">
        <f t="shared" si="1"/>
        <v>259.99</v>
      </c>
      <c r="AD25" s="3">
        <f t="shared" si="2"/>
        <v>0.00038240408091554</v>
      </c>
      <c r="AE25" s="3">
        <f t="shared" si="3"/>
        <v>0.0381677076959427</v>
      </c>
      <c r="AF25" s="3">
        <f t="shared" si="4"/>
        <v>0.00144916121918563</v>
      </c>
      <c r="AG25" s="3">
        <f t="shared" si="5"/>
        <v>0.00497676616523588</v>
      </c>
      <c r="AH25" s="3">
        <f t="shared" si="6"/>
        <v>0.0242390796129916</v>
      </c>
      <c r="AI25" s="3">
        <f t="shared" si="7"/>
        <v>0.0692151187742714</v>
      </c>
      <c r="AK25" s="3">
        <f>AB25*(100-进出水!T27)/100</f>
        <v>56.93781</v>
      </c>
      <c r="AL25" s="3">
        <f t="shared" si="8"/>
        <v>3.95167991181958</v>
      </c>
    </row>
    <row r="26" ht="18.6" customHeight="1" spans="1:38">
      <c r="A26" s="6">
        <v>22</v>
      </c>
      <c r="B26" s="266">
        <v>25.2</v>
      </c>
      <c r="C26" s="267" t="s">
        <v>42</v>
      </c>
      <c r="D26" s="268">
        <v>160407</v>
      </c>
      <c r="E26" s="269">
        <v>70.2</v>
      </c>
      <c r="F26" s="269">
        <v>142.4</v>
      </c>
      <c r="G26" s="269">
        <v>0</v>
      </c>
      <c r="H26" s="270">
        <v>300</v>
      </c>
      <c r="I26" s="6">
        <v>5208</v>
      </c>
      <c r="J26" s="64">
        <v>50200.0000000044</v>
      </c>
      <c r="K26" s="277">
        <v>11040</v>
      </c>
      <c r="L26" s="277">
        <v>55</v>
      </c>
      <c r="M26" s="277">
        <v>3550</v>
      </c>
      <c r="N26" s="277">
        <v>1248</v>
      </c>
      <c r="O26" s="278">
        <v>4.64</v>
      </c>
      <c r="P26" s="278">
        <v>0</v>
      </c>
      <c r="Q26" s="287">
        <v>5424</v>
      </c>
      <c r="R26" s="288">
        <f t="shared" si="0"/>
        <v>154983</v>
      </c>
      <c r="S26" s="289"/>
      <c r="T26" s="290" t="s">
        <v>10</v>
      </c>
      <c r="U26" s="308" t="s">
        <v>66</v>
      </c>
      <c r="V26" s="309">
        <f>K37</f>
        <v>18480</v>
      </c>
      <c r="W26" s="57"/>
      <c r="X26" s="57"/>
      <c r="AB26" s="321">
        <f t="shared" si="1"/>
        <v>212.6</v>
      </c>
      <c r="AD26" s="3">
        <f t="shared" si="2"/>
        <v>0.037468883684017</v>
      </c>
      <c r="AE26" s="3">
        <f t="shared" si="3"/>
        <v>0.0541994928476026</v>
      </c>
      <c r="AF26" s="3">
        <f t="shared" si="4"/>
        <v>0.00369072737009866</v>
      </c>
      <c r="AG26" s="3">
        <f t="shared" si="5"/>
        <v>0.0101930534316667</v>
      </c>
      <c r="AH26" s="3">
        <f t="shared" si="6"/>
        <v>0.0479426290625423</v>
      </c>
      <c r="AI26" s="3">
        <f t="shared" si="7"/>
        <v>0.153494786395927</v>
      </c>
      <c r="AK26" s="3">
        <f>AB26*(100-进出水!T28)/100</f>
        <v>46.772</v>
      </c>
      <c r="AL26" s="3">
        <f t="shared" si="8"/>
        <v>6.41409390233473</v>
      </c>
    </row>
    <row r="27" ht="18.6" customHeight="1" spans="1:38">
      <c r="A27" s="6">
        <v>23</v>
      </c>
      <c r="B27" s="266">
        <v>24.5</v>
      </c>
      <c r="C27" s="267" t="s">
        <v>42</v>
      </c>
      <c r="D27" s="268">
        <v>162315</v>
      </c>
      <c r="E27" s="269">
        <v>50.24</v>
      </c>
      <c r="F27" s="269">
        <v>138.84</v>
      </c>
      <c r="G27" s="269">
        <v>0</v>
      </c>
      <c r="H27" s="270">
        <v>250</v>
      </c>
      <c r="I27" s="6">
        <v>5498</v>
      </c>
      <c r="J27" s="64">
        <v>47599.999999984</v>
      </c>
      <c r="K27" s="277">
        <v>120</v>
      </c>
      <c r="L27" s="277">
        <v>0.2</v>
      </c>
      <c r="M27" s="277">
        <v>5467</v>
      </c>
      <c r="N27" s="277">
        <v>1800</v>
      </c>
      <c r="O27" s="278">
        <v>4.289</v>
      </c>
      <c r="P27" s="278">
        <v>0</v>
      </c>
      <c r="Q27" s="287">
        <v>5408</v>
      </c>
      <c r="R27" s="288">
        <f t="shared" si="0"/>
        <v>156907</v>
      </c>
      <c r="S27" s="289"/>
      <c r="T27" s="290"/>
      <c r="U27" s="308" t="s">
        <v>68</v>
      </c>
      <c r="V27" s="307">
        <f>ROUND(K37/R37*1000,1)</f>
        <v>3.4</v>
      </c>
      <c r="W27" s="57"/>
      <c r="X27" s="57"/>
      <c r="AB27" s="321">
        <f t="shared" si="1"/>
        <v>189.08</v>
      </c>
      <c r="AD27" s="3">
        <f t="shared" si="2"/>
        <v>0.000402276507740254</v>
      </c>
      <c r="AE27" s="3">
        <f t="shared" si="3"/>
        <v>0.0446124137227785</v>
      </c>
      <c r="AF27" s="3">
        <f t="shared" si="4"/>
        <v>1.32562600776256e-5</v>
      </c>
      <c r="AG27" s="3">
        <f t="shared" si="5"/>
        <v>0.015504821327283</v>
      </c>
      <c r="AH27" s="3">
        <f t="shared" si="6"/>
        <v>0.068300126826719</v>
      </c>
      <c r="AI27" s="3">
        <f t="shared" si="7"/>
        <v>0.128832894644598</v>
      </c>
      <c r="AK27" s="3">
        <f>AB27*(100-进出水!T29)/100</f>
        <v>42.543</v>
      </c>
      <c r="AL27" s="3">
        <f t="shared" si="8"/>
        <v>5.8764073995722</v>
      </c>
    </row>
    <row r="28" ht="18.6" customHeight="1" spans="1:38">
      <c r="A28" s="6">
        <v>24</v>
      </c>
      <c r="B28" s="266">
        <v>25.4</v>
      </c>
      <c r="C28" s="267" t="s">
        <v>51</v>
      </c>
      <c r="D28" s="268">
        <v>174538</v>
      </c>
      <c r="E28" s="269">
        <v>205.52</v>
      </c>
      <c r="F28" s="269">
        <v>0</v>
      </c>
      <c r="G28" s="269">
        <v>0</v>
      </c>
      <c r="H28" s="270">
        <v>250</v>
      </c>
      <c r="I28" s="6">
        <v>5190</v>
      </c>
      <c r="J28" s="64">
        <v>48600.0000000058</v>
      </c>
      <c r="K28" s="277">
        <v>120</v>
      </c>
      <c r="L28" s="277">
        <v>0.2</v>
      </c>
      <c r="M28" s="277">
        <v>3834</v>
      </c>
      <c r="N28" s="277">
        <v>1320</v>
      </c>
      <c r="O28" s="278">
        <v>3.935</v>
      </c>
      <c r="P28" s="278">
        <v>0</v>
      </c>
      <c r="Q28" s="287">
        <v>5431</v>
      </c>
      <c r="R28" s="288">
        <f t="shared" si="0"/>
        <v>169107</v>
      </c>
      <c r="S28" s="289"/>
      <c r="T28" s="290" t="s">
        <v>12</v>
      </c>
      <c r="U28" s="308" t="s">
        <v>66</v>
      </c>
      <c r="V28" s="309">
        <f>M37</f>
        <v>112251</v>
      </c>
      <c r="W28" s="57"/>
      <c r="X28" s="57"/>
      <c r="AB28" s="321">
        <f t="shared" si="1"/>
        <v>205.52</v>
      </c>
      <c r="AD28" s="3">
        <f t="shared" si="2"/>
        <v>0.000373254803171956</v>
      </c>
      <c r="AE28" s="3">
        <f t="shared" si="3"/>
        <v>0.0413939103644438</v>
      </c>
      <c r="AF28" s="3">
        <f t="shared" si="4"/>
        <v>1.22999047940062e-5</v>
      </c>
      <c r="AG28" s="3">
        <f t="shared" si="5"/>
        <v>0.0100890560414412</v>
      </c>
      <c r="AH28" s="3">
        <f t="shared" si="6"/>
        <v>0.0464733168940375</v>
      </c>
      <c r="AI28" s="3">
        <f t="shared" si="7"/>
        <v>0.0983418380078885</v>
      </c>
      <c r="AK28" s="3">
        <f>AB28*(100-进出水!T30)/100</f>
        <v>46.65304</v>
      </c>
      <c r="AL28" s="3">
        <f t="shared" si="8"/>
        <v>5.35870759976199</v>
      </c>
    </row>
    <row r="29" ht="18.6" customHeight="1" spans="1:38">
      <c r="A29" s="6">
        <v>25</v>
      </c>
      <c r="B29" s="266">
        <v>25</v>
      </c>
      <c r="C29" s="267" t="s">
        <v>42</v>
      </c>
      <c r="D29" s="268">
        <v>177472</v>
      </c>
      <c r="E29" s="269">
        <v>55.28</v>
      </c>
      <c r="F29" s="269">
        <v>174.2</v>
      </c>
      <c r="G29" s="269">
        <v>15</v>
      </c>
      <c r="H29" s="270">
        <v>225</v>
      </c>
      <c r="I29" s="6">
        <v>5072</v>
      </c>
      <c r="J29" s="64">
        <v>50299.9999999884</v>
      </c>
      <c r="K29" s="277">
        <v>120</v>
      </c>
      <c r="L29" s="277">
        <v>0.2</v>
      </c>
      <c r="M29" s="277">
        <v>3408</v>
      </c>
      <c r="N29" s="277">
        <v>1200</v>
      </c>
      <c r="O29" s="278">
        <v>3.993</v>
      </c>
      <c r="P29" s="278">
        <v>0</v>
      </c>
      <c r="Q29" s="287">
        <v>5430</v>
      </c>
      <c r="R29" s="288">
        <f t="shared" si="0"/>
        <v>172042</v>
      </c>
      <c r="S29" s="289"/>
      <c r="T29" s="290"/>
      <c r="U29" s="308" t="s">
        <v>68</v>
      </c>
      <c r="V29" s="310">
        <f>ROUND(M37/R37*1000,1)</f>
        <v>20.6</v>
      </c>
      <c r="W29" s="57"/>
      <c r="X29" s="57"/>
      <c r="AB29" s="321">
        <f t="shared" si="1"/>
        <v>244.48</v>
      </c>
      <c r="AD29" s="3">
        <f t="shared" si="2"/>
        <v>0.000366887155462038</v>
      </c>
      <c r="AE29" s="3">
        <f t="shared" si="3"/>
        <v>0.0366189651364202</v>
      </c>
      <c r="AF29" s="3">
        <f t="shared" si="4"/>
        <v>1.20900710291673e-5</v>
      </c>
      <c r="AG29" s="3">
        <f t="shared" si="5"/>
        <v>0.00881505678845863</v>
      </c>
      <c r="AH29" s="3">
        <f t="shared" si="6"/>
        <v>0.0415277199753549</v>
      </c>
      <c r="AI29" s="3">
        <f t="shared" si="7"/>
        <v>0.0873407191267249</v>
      </c>
      <c r="AK29" s="3">
        <f>AB29*(100-进出水!T31)/100</f>
        <v>54.27456</v>
      </c>
      <c r="AL29" s="3">
        <f t="shared" si="8"/>
        <v>4.1455886514787</v>
      </c>
    </row>
    <row r="30" ht="18.6" customHeight="1" spans="1:38">
      <c r="A30" s="6">
        <v>26</v>
      </c>
      <c r="B30" s="266">
        <v>25</v>
      </c>
      <c r="C30" s="267" t="s">
        <v>58</v>
      </c>
      <c r="D30" s="268">
        <v>168705</v>
      </c>
      <c r="E30" s="269">
        <v>171.06</v>
      </c>
      <c r="F30" s="269">
        <v>33.64</v>
      </c>
      <c r="G30" s="269">
        <v>0</v>
      </c>
      <c r="H30" s="270">
        <v>225</v>
      </c>
      <c r="I30" s="6">
        <v>4862</v>
      </c>
      <c r="J30" s="64">
        <v>51100.0000000058</v>
      </c>
      <c r="K30" s="277">
        <v>0</v>
      </c>
      <c r="L30" s="277">
        <v>0.4</v>
      </c>
      <c r="M30" s="277">
        <v>4544</v>
      </c>
      <c r="N30" s="277">
        <v>1512</v>
      </c>
      <c r="O30" s="278">
        <v>4.723</v>
      </c>
      <c r="P30" s="278">
        <v>0</v>
      </c>
      <c r="Q30" s="287">
        <v>5441</v>
      </c>
      <c r="R30" s="288">
        <f t="shared" si="0"/>
        <v>163264</v>
      </c>
      <c r="S30" s="289"/>
      <c r="T30" s="290" t="s">
        <v>13</v>
      </c>
      <c r="U30" s="308" t="s">
        <v>66</v>
      </c>
      <c r="V30" s="309">
        <f>处理量!N37</f>
        <v>39096</v>
      </c>
      <c r="W30" s="57"/>
      <c r="X30" s="57"/>
      <c r="AB30" s="321">
        <f t="shared" si="1"/>
        <v>204.7</v>
      </c>
      <c r="AD30" s="3">
        <f t="shared" si="2"/>
        <v>0</v>
      </c>
      <c r="AE30" s="3">
        <f t="shared" si="3"/>
        <v>0.0385878087024696</v>
      </c>
      <c r="AF30" s="3">
        <f t="shared" si="4"/>
        <v>2.54802038416307e-5</v>
      </c>
      <c r="AG30" s="3">
        <f t="shared" si="5"/>
        <v>0.0123853390827127</v>
      </c>
      <c r="AH30" s="3">
        <f t="shared" si="6"/>
        <v>0.0551382124656997</v>
      </c>
      <c r="AI30" s="3">
        <f t="shared" si="7"/>
        <v>0.106136840454724</v>
      </c>
      <c r="AK30" s="3">
        <f>AB30*(100-进出水!T32)/100</f>
        <v>44.8293</v>
      </c>
      <c r="AL30" s="3">
        <f t="shared" si="8"/>
        <v>5.0190388875133</v>
      </c>
    </row>
    <row r="31" ht="18.6" customHeight="1" spans="1:38">
      <c r="A31" s="6">
        <v>27</v>
      </c>
      <c r="B31" s="266">
        <v>25</v>
      </c>
      <c r="C31" s="267" t="s">
        <v>51</v>
      </c>
      <c r="D31" s="268">
        <v>178701</v>
      </c>
      <c r="E31" s="269">
        <v>170.5</v>
      </c>
      <c r="F31" s="269">
        <v>0</v>
      </c>
      <c r="G31" s="269">
        <v>0</v>
      </c>
      <c r="H31" s="270">
        <v>250</v>
      </c>
      <c r="I31" s="6">
        <v>3898</v>
      </c>
      <c r="J31" s="64">
        <v>48699.9999999898</v>
      </c>
      <c r="K31" s="277">
        <v>120</v>
      </c>
      <c r="L31" s="277">
        <v>0.2</v>
      </c>
      <c r="M31" s="277">
        <v>3479</v>
      </c>
      <c r="N31" s="277">
        <v>1224</v>
      </c>
      <c r="O31" s="278">
        <v>4.738</v>
      </c>
      <c r="P31" s="278">
        <v>0</v>
      </c>
      <c r="Q31" s="287">
        <v>5513</v>
      </c>
      <c r="R31" s="288">
        <f t="shared" si="0"/>
        <v>173188</v>
      </c>
      <c r="S31" s="289"/>
      <c r="T31" s="290"/>
      <c r="U31" s="308" t="s">
        <v>68</v>
      </c>
      <c r="V31" s="307">
        <f>ROUND(N37/R37*1000,2)</f>
        <v>7.17</v>
      </c>
      <c r="W31" s="57"/>
      <c r="X31" s="57"/>
      <c r="AB31" s="321">
        <f t="shared" si="1"/>
        <v>170.5</v>
      </c>
      <c r="AD31" s="3">
        <f t="shared" si="2"/>
        <v>0.000364459431369379</v>
      </c>
      <c r="AE31" s="3">
        <f t="shared" si="3"/>
        <v>0.0404185047462873</v>
      </c>
      <c r="AF31" s="3">
        <f t="shared" si="4"/>
        <v>1.20100699817539e-5</v>
      </c>
      <c r="AG31" s="3">
        <f t="shared" si="5"/>
        <v>0.00893915860221262</v>
      </c>
      <c r="AH31" s="3">
        <f t="shared" si="6"/>
        <v>0.0420779860036492</v>
      </c>
      <c r="AI31" s="3">
        <f t="shared" si="7"/>
        <v>0.0918121188535002</v>
      </c>
      <c r="AK31" s="3">
        <f>AB31*(100-进出水!T33)/100</f>
        <v>36.9985</v>
      </c>
      <c r="AL31" s="3">
        <f t="shared" si="8"/>
        <v>6.75703069043339</v>
      </c>
    </row>
    <row r="32" ht="18.6" customHeight="1" spans="1:38">
      <c r="A32" s="6">
        <v>28</v>
      </c>
      <c r="B32" s="266">
        <v>25.7</v>
      </c>
      <c r="C32" s="267" t="s">
        <v>51</v>
      </c>
      <c r="D32" s="268">
        <v>169387</v>
      </c>
      <c r="E32" s="269">
        <v>125.7</v>
      </c>
      <c r="F32" s="269">
        <v>85.12</v>
      </c>
      <c r="G32" s="269">
        <v>0</v>
      </c>
      <c r="H32" s="270">
        <v>250</v>
      </c>
      <c r="I32" s="6">
        <v>4624</v>
      </c>
      <c r="J32" s="64">
        <v>50000</v>
      </c>
      <c r="K32" s="277">
        <v>120</v>
      </c>
      <c r="L32" s="277">
        <v>0.2</v>
      </c>
      <c r="M32" s="277">
        <v>2485</v>
      </c>
      <c r="N32" s="277">
        <v>888</v>
      </c>
      <c r="O32" s="278">
        <v>4.708</v>
      </c>
      <c r="P32" s="278">
        <v>0</v>
      </c>
      <c r="Q32" s="287">
        <v>5318</v>
      </c>
      <c r="R32" s="288">
        <f t="shared" si="0"/>
        <v>164069</v>
      </c>
      <c r="S32" s="289"/>
      <c r="T32" s="290" t="s">
        <v>69</v>
      </c>
      <c r="U32" s="308" t="s">
        <v>70</v>
      </c>
      <c r="V32" s="57">
        <f>O37</f>
        <v>137.97</v>
      </c>
      <c r="W32" s="57"/>
      <c r="X32" s="57"/>
      <c r="AB32" s="321">
        <f t="shared" si="1"/>
        <v>210.82</v>
      </c>
      <c r="AD32" s="3">
        <f t="shared" si="2"/>
        <v>0.000384716186482517</v>
      </c>
      <c r="AE32" s="3">
        <f t="shared" si="3"/>
        <v>0.0426649763209381</v>
      </c>
      <c r="AF32" s="3">
        <f t="shared" si="4"/>
        <v>1.26775929639359e-5</v>
      </c>
      <c r="AG32" s="3">
        <f t="shared" si="5"/>
        <v>0.0067399996343002</v>
      </c>
      <c r="AH32" s="3">
        <f t="shared" si="6"/>
        <v>0.0322238745893496</v>
      </c>
      <c r="AI32" s="3">
        <f t="shared" si="7"/>
        <v>0.0820262443240344</v>
      </c>
      <c r="AK32" s="3">
        <f>AB32*(100-进出水!T34)/100</f>
        <v>47.22368</v>
      </c>
      <c r="AL32" s="3">
        <f t="shared" si="8"/>
        <v>5.29395421957797</v>
      </c>
    </row>
    <row r="33" ht="18.6" customHeight="1" spans="1:38">
      <c r="A33" s="6">
        <v>29</v>
      </c>
      <c r="B33" s="266">
        <v>23.5</v>
      </c>
      <c r="C33" s="267" t="s">
        <v>51</v>
      </c>
      <c r="D33" s="268">
        <v>175580</v>
      </c>
      <c r="E33" s="269">
        <v>108.56</v>
      </c>
      <c r="F33" s="269">
        <v>105.64</v>
      </c>
      <c r="G33" s="269">
        <v>0</v>
      </c>
      <c r="H33" s="270">
        <v>225</v>
      </c>
      <c r="I33" s="6">
        <v>4726</v>
      </c>
      <c r="J33" s="64">
        <v>50400.0000000087</v>
      </c>
      <c r="K33" s="277">
        <v>0</v>
      </c>
      <c r="L33" s="277">
        <v>0.2</v>
      </c>
      <c r="M33" s="277">
        <v>3976</v>
      </c>
      <c r="N33" s="277">
        <v>1392</v>
      </c>
      <c r="O33" s="278">
        <v>4.615</v>
      </c>
      <c r="P33" s="278">
        <v>0</v>
      </c>
      <c r="Q33" s="287">
        <v>5430</v>
      </c>
      <c r="R33" s="288">
        <f t="shared" si="0"/>
        <v>170150</v>
      </c>
      <c r="S33" s="289"/>
      <c r="T33" s="290"/>
      <c r="U33" s="308" t="s">
        <v>68</v>
      </c>
      <c r="V33" s="307">
        <f>ROUND(V32/R37*1000000,2)</f>
        <v>25.3</v>
      </c>
      <c r="W33" s="57"/>
      <c r="X33" s="57"/>
      <c r="AB33" s="321">
        <f t="shared" si="1"/>
        <v>214.2</v>
      </c>
      <c r="AD33" s="3">
        <f t="shared" si="2"/>
        <v>0</v>
      </c>
      <c r="AE33" s="3">
        <f t="shared" si="3"/>
        <v>0.0370261533940641</v>
      </c>
      <c r="AF33" s="3">
        <f t="shared" si="4"/>
        <v>1.22245077872465e-5</v>
      </c>
      <c r="AG33" s="3">
        <f t="shared" si="5"/>
        <v>0.0103985894798707</v>
      </c>
      <c r="AH33" s="3">
        <f t="shared" si="6"/>
        <v>0.0487078102850426</v>
      </c>
      <c r="AI33" s="3">
        <f t="shared" si="7"/>
        <v>0.0961447776667646</v>
      </c>
      <c r="AK33" s="3">
        <f>AB33*(100-进出水!T35)/100</f>
        <v>47.3382</v>
      </c>
      <c r="AL33" s="3">
        <f t="shared" si="8"/>
        <v>4.75303243469334</v>
      </c>
    </row>
    <row r="34" ht="18.6" customHeight="1" spans="1:38">
      <c r="A34" s="6">
        <v>30</v>
      </c>
      <c r="B34" s="266">
        <v>25</v>
      </c>
      <c r="C34" s="267" t="s">
        <v>51</v>
      </c>
      <c r="D34" s="268">
        <v>194881</v>
      </c>
      <c r="E34" s="269">
        <v>0</v>
      </c>
      <c r="F34" s="269">
        <v>216.04</v>
      </c>
      <c r="G34" s="269">
        <v>0</v>
      </c>
      <c r="H34" s="270">
        <v>225</v>
      </c>
      <c r="I34" s="6">
        <v>4668</v>
      </c>
      <c r="J34" s="64">
        <v>53500.0000000218</v>
      </c>
      <c r="K34" s="277">
        <v>120</v>
      </c>
      <c r="L34" s="277">
        <v>0.2</v>
      </c>
      <c r="M34" s="277">
        <v>5325</v>
      </c>
      <c r="N34" s="277">
        <v>1848</v>
      </c>
      <c r="O34" s="278">
        <v>4.488</v>
      </c>
      <c r="P34" s="278">
        <v>0</v>
      </c>
      <c r="Q34" s="287">
        <v>5418</v>
      </c>
      <c r="R34" s="288">
        <f t="shared" si="0"/>
        <v>189463</v>
      </c>
      <c r="S34" s="289"/>
      <c r="T34" s="290"/>
      <c r="U34" s="308"/>
      <c r="V34" s="307"/>
      <c r="W34" s="57"/>
      <c r="X34" s="57"/>
      <c r="AB34" s="321">
        <f t="shared" si="1"/>
        <v>216.04</v>
      </c>
      <c r="AD34" s="3">
        <f t="shared" si="2"/>
        <v>0.000333152119411178</v>
      </c>
      <c r="AE34" s="3">
        <f t="shared" si="3"/>
        <v>0.0332518750362868</v>
      </c>
      <c r="AF34" s="3">
        <f t="shared" si="4"/>
        <v>1.09783968373772e-5</v>
      </c>
      <c r="AG34" s="3">
        <f t="shared" si="5"/>
        <v>0.012507059425851</v>
      </c>
      <c r="AH34" s="3">
        <f t="shared" si="6"/>
        <v>0.0580722804980392</v>
      </c>
      <c r="AI34" s="3">
        <f t="shared" si="7"/>
        <v>0.104175345476426</v>
      </c>
      <c r="AK34" s="3">
        <f>AB34*(100-进出水!T36)/100</f>
        <v>47.31276</v>
      </c>
      <c r="AL34" s="3">
        <f t="shared" si="8"/>
        <v>4.7555881330956</v>
      </c>
    </row>
    <row r="35" ht="18.6" customHeight="1" spans="1:38">
      <c r="A35" s="6">
        <v>31</v>
      </c>
      <c r="B35" s="266">
        <v>25</v>
      </c>
      <c r="C35" s="267" t="s">
        <v>42</v>
      </c>
      <c r="D35" s="268">
        <v>170721</v>
      </c>
      <c r="E35" s="269">
        <v>104.74</v>
      </c>
      <c r="F35" s="269">
        <v>102.48</v>
      </c>
      <c r="G35" s="269">
        <v>0</v>
      </c>
      <c r="H35" s="270">
        <v>225</v>
      </c>
      <c r="I35" s="6">
        <v>4314</v>
      </c>
      <c r="J35" s="64">
        <v>50900.0000000015</v>
      </c>
      <c r="K35" s="277">
        <v>4800</v>
      </c>
      <c r="L35" s="277">
        <v>9.4</v>
      </c>
      <c r="M35" s="277">
        <v>4118</v>
      </c>
      <c r="N35" s="277">
        <v>1440</v>
      </c>
      <c r="O35" s="278">
        <v>4.755</v>
      </c>
      <c r="P35" s="278">
        <v>0</v>
      </c>
      <c r="Q35" s="287">
        <v>5433</v>
      </c>
      <c r="R35" s="288">
        <f t="shared" si="0"/>
        <v>165288</v>
      </c>
      <c r="S35" s="289"/>
      <c r="T35" s="290"/>
      <c r="U35" s="308"/>
      <c r="V35" s="57"/>
      <c r="W35" s="57"/>
      <c r="X35" s="57"/>
      <c r="AB35" s="321">
        <f t="shared" si="1"/>
        <v>207.22</v>
      </c>
      <c r="AD35" s="3">
        <f t="shared" si="2"/>
        <v>0.0152751560911863</v>
      </c>
      <c r="AE35" s="3">
        <f t="shared" si="3"/>
        <v>0.0381152896762015</v>
      </c>
      <c r="AF35" s="3">
        <f t="shared" si="4"/>
        <v>0.000591452495038962</v>
      </c>
      <c r="AG35" s="3">
        <f t="shared" si="5"/>
        <v>0.0110867697594502</v>
      </c>
      <c r="AH35" s="3">
        <f t="shared" si="6"/>
        <v>0.0518695513285901</v>
      </c>
      <c r="AI35" s="3">
        <f t="shared" si="7"/>
        <v>0.116938219350467</v>
      </c>
      <c r="AK35" s="3">
        <f>AB35*(100-进出水!T37)/100</f>
        <v>46.21006</v>
      </c>
      <c r="AL35" s="3">
        <f t="shared" si="8"/>
        <v>4.8690696354863</v>
      </c>
    </row>
    <row r="36" ht="19" customHeight="1" spans="1:20">
      <c r="A36" s="5" t="s">
        <v>71</v>
      </c>
      <c r="B36" s="61">
        <f>AVERAGE(B5:B35)</f>
        <v>23.7516129032258</v>
      </c>
      <c r="C36" s="8" t="s">
        <v>72</v>
      </c>
      <c r="D36" s="271">
        <f>AVERAGE(D5:D35)</f>
        <v>181306.419354839</v>
      </c>
      <c r="E36" s="172">
        <f>AVERAGE(E5:E35)</f>
        <v>139.086774193548</v>
      </c>
      <c r="F36" s="172">
        <f>AVERAGE(F5:F35)</f>
        <v>71.5477419354839</v>
      </c>
      <c r="G36" s="172">
        <f>AVERAGE(G5:G35)</f>
        <v>0.483870967741935</v>
      </c>
      <c r="H36" s="271">
        <f t="shared" ref="H36:Q36" si="9">AVERAGE(H5:H35)</f>
        <v>233.064516129032</v>
      </c>
      <c r="I36" s="271">
        <f t="shared" si="9"/>
        <v>5363.74193548387</v>
      </c>
      <c r="J36" s="271">
        <f t="shared" si="9"/>
        <v>51567.7419354841</v>
      </c>
      <c r="K36" s="271">
        <f t="shared" si="9"/>
        <v>596.129032258065</v>
      </c>
      <c r="L36" s="271">
        <f t="shared" si="9"/>
        <v>2.93548387096774</v>
      </c>
      <c r="M36" s="271">
        <f t="shared" si="9"/>
        <v>3621</v>
      </c>
      <c r="N36" s="271">
        <f t="shared" si="9"/>
        <v>1261.16129032258</v>
      </c>
      <c r="O36" s="281">
        <f t="shared" si="9"/>
        <v>4.45064516129032</v>
      </c>
      <c r="P36" s="172">
        <f t="shared" si="9"/>
        <v>0</v>
      </c>
      <c r="Q36" s="271">
        <f t="shared" si="9"/>
        <v>5421.16129032258</v>
      </c>
      <c r="R36" s="311">
        <f t="shared" si="0"/>
        <v>175885.258064516</v>
      </c>
      <c r="S36" s="312"/>
      <c r="T36" s="313"/>
    </row>
    <row r="37" ht="17" customHeight="1" spans="1:28">
      <c r="A37" s="5" t="s">
        <v>28</v>
      </c>
      <c r="B37" s="6" t="s">
        <v>72</v>
      </c>
      <c r="C37" s="6" t="s">
        <v>72</v>
      </c>
      <c r="D37" s="272">
        <f>SUM(D5:D35)</f>
        <v>5620499</v>
      </c>
      <c r="E37" s="273">
        <f>SUM(E5:E35)</f>
        <v>4311.69</v>
      </c>
      <c r="F37" s="273">
        <f>SUM(F5:F35)</f>
        <v>2217.98</v>
      </c>
      <c r="G37" s="273">
        <f>SUM(G5:G35)</f>
        <v>15</v>
      </c>
      <c r="H37" s="272">
        <f>SUM(H5:H35)</f>
        <v>7225</v>
      </c>
      <c r="I37" s="6" t="s">
        <v>72</v>
      </c>
      <c r="J37" s="271">
        <f t="shared" ref="J37:R37" si="10">SUM(J5:J35)</f>
        <v>1598600.00000001</v>
      </c>
      <c r="K37" s="271">
        <f t="shared" si="10"/>
        <v>18480</v>
      </c>
      <c r="L37" s="271">
        <f t="shared" si="10"/>
        <v>91</v>
      </c>
      <c r="M37" s="271">
        <f t="shared" si="10"/>
        <v>112251</v>
      </c>
      <c r="N37" s="271">
        <f t="shared" si="10"/>
        <v>39096</v>
      </c>
      <c r="O37" s="172">
        <f t="shared" si="10"/>
        <v>137.97</v>
      </c>
      <c r="P37" s="172">
        <f t="shared" si="10"/>
        <v>0</v>
      </c>
      <c r="Q37" s="271">
        <f t="shared" si="10"/>
        <v>168056</v>
      </c>
      <c r="R37" s="271">
        <f t="shared" si="10"/>
        <v>5452443</v>
      </c>
      <c r="S37" s="314"/>
      <c r="T37" s="315"/>
      <c r="AB37" s="3">
        <f>SUM(AB5:AB36)</f>
        <v>6544.67</v>
      </c>
    </row>
    <row r="38" ht="18.6" customHeight="1" spans="1:18">
      <c r="A38" s="274" t="s">
        <v>73</v>
      </c>
      <c r="B38" s="274"/>
      <c r="C38" s="274"/>
      <c r="D38" s="274"/>
      <c r="E38" s="275"/>
      <c r="F38" s="275"/>
      <c r="I38" s="282" t="s">
        <v>74</v>
      </c>
      <c r="Q38" s="316" t="s">
        <v>75</v>
      </c>
      <c r="R38" s="317">
        <v>44718</v>
      </c>
    </row>
    <row r="39" ht="18.6" customHeight="1" spans="13:13">
      <c r="M39" s="257">
        <f>M37*0.31</f>
        <v>34797.81</v>
      </c>
    </row>
    <row r="40" spans="7:28">
      <c r="G40" s="257"/>
      <c r="H40" s="257"/>
      <c r="Q40" s="257" t="s">
        <v>76</v>
      </c>
      <c r="R40" s="257">
        <f>MAX(R5:R35)</f>
        <v>207352</v>
      </c>
      <c r="AB40" s="3">
        <f>(100-进出水!T38)*AB37/100</f>
        <v>1448.989938</v>
      </c>
    </row>
    <row r="41" spans="7:18">
      <c r="G41" s="257"/>
      <c r="H41" s="257"/>
      <c r="O41" s="257">
        <f>O37*1000</f>
        <v>137970</v>
      </c>
      <c r="Q41" s="257" t="s">
        <v>77</v>
      </c>
      <c r="R41" s="257">
        <f>MIN(R5:R35)</f>
        <v>141103</v>
      </c>
    </row>
    <row r="42" spans="12:12">
      <c r="L42" s="257">
        <f>L37*1000/R37</f>
        <v>0.0166897664037937</v>
      </c>
    </row>
    <row r="44" spans="18:18">
      <c r="R44" s="257">
        <f>L37/R37*1000</f>
        <v>0.0166897664037937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J5" sqref="J5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7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200" t="s">
        <v>78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="196" customFormat="1" ht="20.1" customHeight="1" spans="1:13">
      <c r="A2" s="201">
        <v>44682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</row>
    <row r="3" s="196" customFormat="1" ht="24" customHeight="1" spans="1:22">
      <c r="A3" s="202" t="s">
        <v>79</v>
      </c>
      <c r="B3" s="203" t="s">
        <v>80</v>
      </c>
      <c r="C3" s="204">
        <f>处理量!R37</f>
        <v>5452443</v>
      </c>
      <c r="D3" s="205" t="s">
        <v>81</v>
      </c>
      <c r="E3" s="203" t="s">
        <v>82</v>
      </c>
      <c r="F3" s="206">
        <f>处理量!E37+处理量!F37+处理量!G37</f>
        <v>6544.67</v>
      </c>
      <c r="G3" s="202" t="s">
        <v>83</v>
      </c>
      <c r="H3" s="203" t="s">
        <v>84</v>
      </c>
      <c r="I3" s="203"/>
      <c r="J3" s="37">
        <f>处理量!J37</f>
        <v>1598600.00000001</v>
      </c>
      <c r="K3" s="205" t="s">
        <v>85</v>
      </c>
      <c r="L3" s="203" t="s">
        <v>86</v>
      </c>
      <c r="M3" s="240">
        <f>J3/C3</f>
        <v>0.293189676627524</v>
      </c>
      <c r="P3" s="196" t="s">
        <v>87</v>
      </c>
      <c r="Q3" s="255">
        <v>1773.2</v>
      </c>
      <c r="R3" s="196">
        <f>J5-Q3</f>
        <v>2903.8</v>
      </c>
      <c r="V3" s="196">
        <v>188314</v>
      </c>
    </row>
    <row r="4" s="196" customFormat="1" ht="24" customHeight="1" spans="1:22">
      <c r="A4" s="202"/>
      <c r="B4" s="203" t="s">
        <v>88</v>
      </c>
      <c r="C4" s="207">
        <f>处理量!R36</f>
        <v>175885.258064516</v>
      </c>
      <c r="D4" s="208"/>
      <c r="E4" s="203" t="s">
        <v>89</v>
      </c>
      <c r="F4" s="209">
        <f>处理量!H37</f>
        <v>7225</v>
      </c>
      <c r="G4" s="202"/>
      <c r="H4" s="203" t="s">
        <v>90</v>
      </c>
      <c r="I4" s="203"/>
      <c r="J4" s="209">
        <f>J3/M15</f>
        <v>51567.7419354841</v>
      </c>
      <c r="K4" s="208"/>
      <c r="L4" s="203" t="s">
        <v>91</v>
      </c>
      <c r="M4" s="241">
        <f>J3/I12</f>
        <v>1.25832479239281</v>
      </c>
      <c r="P4" s="196" t="s">
        <v>92</v>
      </c>
      <c r="Q4" s="255">
        <v>50535.9999999999</v>
      </c>
      <c r="V4" s="196">
        <v>193894</v>
      </c>
    </row>
    <row r="5" s="196" customFormat="1" ht="24" customHeight="1" spans="1:22">
      <c r="A5" s="202"/>
      <c r="B5" s="203"/>
      <c r="C5" s="210"/>
      <c r="D5" s="208"/>
      <c r="E5" s="203" t="s">
        <v>93</v>
      </c>
      <c r="F5" s="211">
        <f>进出水!T38</f>
        <v>77.86</v>
      </c>
      <c r="G5" s="202"/>
      <c r="H5" s="203" t="s">
        <v>94</v>
      </c>
      <c r="I5" s="203"/>
      <c r="J5" s="242">
        <v>4677</v>
      </c>
      <c r="K5" s="208"/>
      <c r="L5" s="203"/>
      <c r="M5" s="243"/>
      <c r="V5" s="196">
        <f>V4-V3</f>
        <v>5580</v>
      </c>
    </row>
    <row r="6" s="196" customFormat="1" ht="24" customHeight="1" spans="1:13">
      <c r="A6" s="202"/>
      <c r="B6" s="203" t="s">
        <v>95</v>
      </c>
      <c r="C6" s="212">
        <f>处理量!R40</f>
        <v>207352</v>
      </c>
      <c r="D6" s="208"/>
      <c r="E6" s="202" t="s">
        <v>96</v>
      </c>
      <c r="F6" s="206">
        <f>F4/(F3*(100-F5)/100)</f>
        <v>4.98623200239228</v>
      </c>
      <c r="G6" s="205" t="s">
        <v>97</v>
      </c>
      <c r="H6" s="203" t="s">
        <v>98</v>
      </c>
      <c r="I6" s="203"/>
      <c r="J6" s="215">
        <f>处理量!M37/1000</f>
        <v>112.251</v>
      </c>
      <c r="K6" s="208"/>
      <c r="L6" s="203" t="s">
        <v>99</v>
      </c>
      <c r="M6" s="215">
        <f>J3/I13</f>
        <v>2.03717118279269</v>
      </c>
    </row>
    <row r="7" s="196" customFormat="1" ht="24" customHeight="1" spans="1:13">
      <c r="A7" s="202"/>
      <c r="B7" s="203" t="s">
        <v>100</v>
      </c>
      <c r="C7" s="37">
        <f>处理量!R41</f>
        <v>141103</v>
      </c>
      <c r="D7" s="213"/>
      <c r="E7" s="202" t="s">
        <v>101</v>
      </c>
      <c r="F7" s="214">
        <f>F3*(100-F5)/100*1000/(C3/1000)</f>
        <v>265.750588864478</v>
      </c>
      <c r="G7" s="208"/>
      <c r="H7" s="203" t="s">
        <v>102</v>
      </c>
      <c r="I7" s="203"/>
      <c r="J7" s="229">
        <f>J6*1000/(C3/1000)</f>
        <v>20.5872853691455</v>
      </c>
      <c r="K7" s="208"/>
      <c r="L7" s="244" t="s">
        <v>103</v>
      </c>
      <c r="M7" s="215">
        <f>J3/I14</f>
        <v>1.89227879584048</v>
      </c>
    </row>
    <row r="8" s="196" customFormat="1" ht="24" customHeight="1" spans="1:13">
      <c r="A8" s="202"/>
      <c r="B8" s="203" t="s">
        <v>104</v>
      </c>
      <c r="C8" s="215">
        <f>C4/200000*100</f>
        <v>87.9426290322581</v>
      </c>
      <c r="D8" s="202" t="s">
        <v>105</v>
      </c>
      <c r="E8" s="203" t="s">
        <v>106</v>
      </c>
      <c r="F8" s="215">
        <f>处理量!K37/1000</f>
        <v>18.48</v>
      </c>
      <c r="G8" s="208"/>
      <c r="H8" s="203" t="s">
        <v>107</v>
      </c>
      <c r="I8" s="203"/>
      <c r="J8" s="215">
        <f>处理量!N37/1000</f>
        <v>39.096</v>
      </c>
      <c r="K8" s="245" t="s">
        <v>108</v>
      </c>
      <c r="L8" s="224" t="s">
        <v>109</v>
      </c>
      <c r="M8" s="246">
        <f>处理量!O37</f>
        <v>137.97</v>
      </c>
    </row>
    <row r="9" s="196" customFormat="1" ht="24" customHeight="1" spans="1:13">
      <c r="A9" s="202"/>
      <c r="B9" s="216" t="s">
        <v>110</v>
      </c>
      <c r="C9" s="217">
        <f>处理量!B36</f>
        <v>23.7516129032258</v>
      </c>
      <c r="D9" s="202"/>
      <c r="E9" s="203" t="s">
        <v>102</v>
      </c>
      <c r="F9" s="215">
        <f>F8*1000/(C3/1000)</f>
        <v>3.38930640815502</v>
      </c>
      <c r="G9" s="213"/>
      <c r="H9" s="203" t="s">
        <v>102</v>
      </c>
      <c r="I9" s="203"/>
      <c r="J9" s="206">
        <f>J8*1000/(C3/1000)</f>
        <v>7.17036381673316</v>
      </c>
      <c r="K9" s="221"/>
      <c r="L9" s="37" t="s">
        <v>102</v>
      </c>
      <c r="M9" s="246">
        <f>M8*1000000/C3</f>
        <v>25.304253524521</v>
      </c>
    </row>
    <row r="10" s="196" customFormat="1" ht="24" customHeight="1" spans="1:13">
      <c r="A10" s="202" t="s">
        <v>111</v>
      </c>
      <c r="B10" s="218" t="s">
        <v>112</v>
      </c>
      <c r="C10" s="219" t="s">
        <v>113</v>
      </c>
      <c r="D10" s="220"/>
      <c r="E10" s="219" t="s">
        <v>114</v>
      </c>
      <c r="F10" s="220"/>
      <c r="G10" s="219" t="s">
        <v>115</v>
      </c>
      <c r="H10" s="220"/>
      <c r="I10" s="219" t="s">
        <v>116</v>
      </c>
      <c r="J10" s="220"/>
      <c r="K10" s="205" t="s">
        <v>117</v>
      </c>
      <c r="L10" s="224" t="s">
        <v>109</v>
      </c>
      <c r="M10" s="37">
        <v>0</v>
      </c>
    </row>
    <row r="11" s="196" customFormat="1" ht="24" customHeight="1" spans="1:13">
      <c r="A11" s="202"/>
      <c r="B11" s="221"/>
      <c r="C11" s="222"/>
      <c r="D11" s="223"/>
      <c r="E11" s="222"/>
      <c r="F11" s="223"/>
      <c r="G11" s="222"/>
      <c r="H11" s="223"/>
      <c r="I11" s="222"/>
      <c r="J11" s="223"/>
      <c r="K11" s="213"/>
      <c r="L11" s="37" t="s">
        <v>102</v>
      </c>
      <c r="M11" s="37">
        <v>0</v>
      </c>
    </row>
    <row r="12" s="196" customFormat="1" ht="24" customHeight="1" spans="1:19">
      <c r="A12" s="202"/>
      <c r="B12" s="224" t="s">
        <v>118</v>
      </c>
      <c r="C12" s="209">
        <f>进出水!B38</f>
        <v>262</v>
      </c>
      <c r="D12" s="209"/>
      <c r="E12" s="225">
        <f>进出水!N38</f>
        <v>29</v>
      </c>
      <c r="F12" s="226"/>
      <c r="G12" s="225">
        <f t="shared" ref="G12:G17" si="0">(C12-E12)/C12*100</f>
        <v>88.9312977099237</v>
      </c>
      <c r="H12" s="226"/>
      <c r="I12" s="209">
        <f>$C$3*(C12-E12)/1000</f>
        <v>1270419.219</v>
      </c>
      <c r="J12" s="209"/>
      <c r="K12" s="202" t="s">
        <v>119</v>
      </c>
      <c r="L12" s="203" t="s">
        <v>32</v>
      </c>
      <c r="M12" s="206">
        <f>处理量!V16</f>
        <v>4311.69</v>
      </c>
      <c r="P12" s="247">
        <f t="shared" ref="P12:P17" si="1">ROUND(E12,1)</f>
        <v>29</v>
      </c>
      <c r="Q12" s="256">
        <f>C3</f>
        <v>5452443</v>
      </c>
      <c r="R12" s="247">
        <f t="shared" ref="R12:R17" si="2">P12*Q12/1000000</f>
        <v>158.120847</v>
      </c>
      <c r="S12" s="224" t="s">
        <v>118</v>
      </c>
    </row>
    <row r="13" s="196" customFormat="1" ht="24" customHeight="1" spans="1:19">
      <c r="A13" s="202"/>
      <c r="B13" s="224" t="s">
        <v>120</v>
      </c>
      <c r="C13" s="209">
        <f>进出水!C38</f>
        <v>147</v>
      </c>
      <c r="D13" s="209"/>
      <c r="E13" s="227">
        <f>进出水!O38</f>
        <v>3.08</v>
      </c>
      <c r="F13" s="228"/>
      <c r="G13" s="225">
        <f t="shared" si="0"/>
        <v>97.9047619047619</v>
      </c>
      <c r="H13" s="226"/>
      <c r="I13" s="209">
        <f>$C$3*(C13-E13)/1000</f>
        <v>784715.59656</v>
      </c>
      <c r="J13" s="209"/>
      <c r="K13" s="202"/>
      <c r="L13" s="34" t="s">
        <v>33</v>
      </c>
      <c r="M13" s="248">
        <f>处理量!U16</f>
        <v>2217.98</v>
      </c>
      <c r="P13" s="249">
        <v>1</v>
      </c>
      <c r="Q13" s="256">
        <f t="shared" ref="Q13:Q17" si="3">Q12</f>
        <v>5452443</v>
      </c>
      <c r="R13" s="247">
        <f t="shared" si="2"/>
        <v>5.452443</v>
      </c>
      <c r="S13" s="224" t="s">
        <v>120</v>
      </c>
    </row>
    <row r="14" s="196" customFormat="1" ht="24" customHeight="1" spans="1:19">
      <c r="A14" s="202"/>
      <c r="B14" s="224" t="s">
        <v>121</v>
      </c>
      <c r="C14" s="209">
        <f>进出水!D38</f>
        <v>160</v>
      </c>
      <c r="D14" s="209"/>
      <c r="E14" s="227">
        <f>进出水!P38</f>
        <v>5.06</v>
      </c>
      <c r="F14" s="228"/>
      <c r="G14" s="225">
        <f t="shared" si="0"/>
        <v>96.8375</v>
      </c>
      <c r="H14" s="226"/>
      <c r="I14" s="209">
        <f>$C$3*(C14-E14)/1000</f>
        <v>844801.51842</v>
      </c>
      <c r="J14" s="209"/>
      <c r="K14" s="202"/>
      <c r="L14" s="34" t="s">
        <v>122</v>
      </c>
      <c r="M14" s="248">
        <f>处理量!W16</f>
        <v>15</v>
      </c>
      <c r="P14" s="247">
        <f t="shared" si="1"/>
        <v>5.1</v>
      </c>
      <c r="Q14" s="256">
        <f t="shared" si="3"/>
        <v>5452443</v>
      </c>
      <c r="R14" s="247">
        <f t="shared" si="2"/>
        <v>27.8074593</v>
      </c>
      <c r="S14" s="224" t="s">
        <v>121</v>
      </c>
    </row>
    <row r="15" s="196" customFormat="1" ht="24" customHeight="1" spans="1:19">
      <c r="A15" s="202"/>
      <c r="B15" s="224" t="s">
        <v>123</v>
      </c>
      <c r="C15" s="206">
        <f>进出水!E38</f>
        <v>2.46</v>
      </c>
      <c r="D15" s="206"/>
      <c r="E15" s="227">
        <f>进出水!Q38</f>
        <v>0.16</v>
      </c>
      <c r="F15" s="228"/>
      <c r="G15" s="225">
        <f t="shared" si="0"/>
        <v>93.4959349593496</v>
      </c>
      <c r="H15" s="226"/>
      <c r="I15" s="209">
        <f>$C$3*(C15-E15)/1000</f>
        <v>12540.6189</v>
      </c>
      <c r="J15" s="209"/>
      <c r="K15" s="205" t="s">
        <v>124</v>
      </c>
      <c r="L15" s="250" t="s">
        <v>125</v>
      </c>
      <c r="M15" s="36">
        <v>31</v>
      </c>
      <c r="P15" s="247">
        <f t="shared" si="1"/>
        <v>0.2</v>
      </c>
      <c r="Q15" s="256">
        <f t="shared" si="3"/>
        <v>5452443</v>
      </c>
      <c r="R15" s="247">
        <f t="shared" si="2"/>
        <v>1.0904886</v>
      </c>
      <c r="S15" s="224" t="s">
        <v>123</v>
      </c>
    </row>
    <row r="16" s="196" customFormat="1" ht="24" customHeight="1" spans="1:19">
      <c r="A16" s="202"/>
      <c r="B16" s="224" t="s">
        <v>126</v>
      </c>
      <c r="C16" s="229">
        <f>进出水!G38</f>
        <v>27</v>
      </c>
      <c r="D16" s="229"/>
      <c r="E16" s="227">
        <f>进出水!S38</f>
        <v>7.5</v>
      </c>
      <c r="F16" s="228"/>
      <c r="G16" s="225">
        <f t="shared" si="0"/>
        <v>72.2222222222222</v>
      </c>
      <c r="H16" s="226"/>
      <c r="I16" s="209">
        <f>$C$3*(C16-E16)/1000</f>
        <v>106322.6385</v>
      </c>
      <c r="J16" s="209"/>
      <c r="K16" s="208"/>
      <c r="L16" s="251" t="s">
        <v>127</v>
      </c>
      <c r="M16" s="37">
        <v>31</v>
      </c>
      <c r="P16" s="247">
        <f t="shared" si="1"/>
        <v>7.5</v>
      </c>
      <c r="Q16" s="256">
        <f t="shared" si="3"/>
        <v>5452443</v>
      </c>
      <c r="R16" s="247">
        <f t="shared" si="2"/>
        <v>40.8933225</v>
      </c>
      <c r="S16" s="224" t="s">
        <v>126</v>
      </c>
    </row>
    <row r="17" s="196" customFormat="1" ht="24" customHeight="1" spans="1:19">
      <c r="A17" s="202"/>
      <c r="B17" s="224" t="s">
        <v>128</v>
      </c>
      <c r="C17" s="229">
        <f>进出水!F38</f>
        <v>21.1</v>
      </c>
      <c r="D17" s="229"/>
      <c r="E17" s="227">
        <f>进出水!R38</f>
        <v>0.49</v>
      </c>
      <c r="F17" s="228"/>
      <c r="G17" s="225">
        <f t="shared" si="0"/>
        <v>97.6777251184834</v>
      </c>
      <c r="H17" s="226"/>
      <c r="I17" s="209">
        <f>$C$3*(C17-E17)/1000</f>
        <v>112374.85023</v>
      </c>
      <c r="J17" s="209"/>
      <c r="K17" s="208"/>
      <c r="L17" s="251" t="s">
        <v>129</v>
      </c>
      <c r="M17" s="36">
        <v>31</v>
      </c>
      <c r="P17" s="247">
        <f t="shared" si="1"/>
        <v>0.5</v>
      </c>
      <c r="Q17" s="256">
        <f t="shared" si="3"/>
        <v>5452443</v>
      </c>
      <c r="R17" s="247">
        <f t="shared" si="2"/>
        <v>2.7262215</v>
      </c>
      <c r="S17" s="224" t="s">
        <v>128</v>
      </c>
    </row>
    <row r="18" s="196" customFormat="1" ht="24" customHeight="1" spans="1:13">
      <c r="A18" s="202"/>
      <c r="B18" s="216" t="s">
        <v>130</v>
      </c>
      <c r="C18" s="230"/>
      <c r="D18" s="231"/>
      <c r="E18" s="232" t="s">
        <v>131</v>
      </c>
      <c r="F18" s="233"/>
      <c r="G18" s="230"/>
      <c r="H18" s="231"/>
      <c r="I18" s="230"/>
      <c r="J18" s="231"/>
      <c r="K18" s="213"/>
      <c r="L18" s="244" t="s">
        <v>132</v>
      </c>
      <c r="M18" s="37">
        <v>100</v>
      </c>
    </row>
    <row r="19" s="196" customFormat="1" ht="20.1" customHeight="1" spans="1:16">
      <c r="A19" s="202" t="s">
        <v>133</v>
      </c>
      <c r="B19" s="234" t="s">
        <v>134</v>
      </c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52"/>
      <c r="P19" s="196">
        <f>F3*(100-F5)/100</f>
        <v>1448.989938</v>
      </c>
    </row>
    <row r="20" s="196" customFormat="1" ht="20.1" customHeight="1" spans="1:13">
      <c r="A20" s="202"/>
      <c r="B20" s="236"/>
      <c r="C20" s="237"/>
      <c r="D20" s="237"/>
      <c r="E20" s="237"/>
      <c r="F20" s="237"/>
      <c r="G20" s="237"/>
      <c r="H20" s="237"/>
      <c r="I20" s="237"/>
      <c r="J20" s="237"/>
      <c r="K20" s="237"/>
      <c r="L20" s="237"/>
      <c r="M20" s="253"/>
    </row>
    <row r="21" ht="20.1" customHeight="1" spans="1:13">
      <c r="A21" s="238" t="s">
        <v>135</v>
      </c>
      <c r="B21" s="238"/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</row>
    <row r="22" ht="17.25" customHeight="1" spans="9:9">
      <c r="I22" s="254"/>
    </row>
    <row r="23" ht="17.25" customHeight="1" spans="5:9">
      <c r="E23" s="239"/>
      <c r="I23" s="254"/>
    </row>
    <row r="24" ht="17.25" customHeight="1" spans="5:9">
      <c r="E24" s="239"/>
      <c r="I24" s="254"/>
    </row>
    <row r="25" ht="17.25" customHeight="1" spans="5:9">
      <c r="E25" s="239"/>
      <c r="I25" s="254"/>
    </row>
    <row r="26" ht="17.25" customHeight="1" spans="5:9">
      <c r="E26" s="239"/>
      <c r="I26" s="254"/>
    </row>
    <row r="27" ht="17.25" customHeight="1" spans="5:9">
      <c r="E27" s="239"/>
      <c r="I27" s="254"/>
    </row>
    <row r="28" ht="17.25" customHeight="1" spans="5:9">
      <c r="E28" s="239"/>
      <c r="I28" s="254"/>
    </row>
    <row r="29" ht="17.25" customHeight="1" spans="9:9">
      <c r="I29" s="254"/>
    </row>
    <row r="30" ht="17.25" customHeight="1" spans="9:9">
      <c r="I30" s="254"/>
    </row>
    <row r="31" ht="17.25" customHeight="1" spans="9:9">
      <c r="I31" s="254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zoomScale="115" zoomScaleNormal="115" workbookViewId="0">
      <selection activeCell="A37" sqref="$A37:$XFD37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3" customWidth="1"/>
    <col min="9" max="9" width="5.5" style="94" customWidth="1"/>
    <col min="10" max="10" width="6.25" style="94" customWidth="1"/>
    <col min="11" max="11" width="7" style="93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5" customWidth="1"/>
    <col min="21" max="21" width="8.75" customWidth="1"/>
    <col min="23" max="23" width="12.625"/>
  </cols>
  <sheetData>
    <row r="1" ht="21.75" customHeight="1" spans="1:21">
      <c r="A1" s="96" t="s">
        <v>136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hidden="1" spans="1:21">
      <c r="A2" s="97"/>
      <c r="B2" s="97"/>
      <c r="C2" s="97"/>
      <c r="D2" s="97"/>
      <c r="E2" s="97"/>
      <c r="F2" s="97"/>
      <c r="G2" s="97"/>
      <c r="H2" s="98"/>
      <c r="I2" s="164"/>
      <c r="J2" s="164"/>
      <c r="K2" s="98"/>
      <c r="L2" s="97"/>
      <c r="M2" s="97"/>
      <c r="N2" s="97"/>
      <c r="O2" s="97"/>
      <c r="P2" s="97"/>
      <c r="Q2" s="97"/>
      <c r="R2" s="97"/>
      <c r="S2" s="97"/>
      <c r="T2" s="97"/>
      <c r="U2" s="27"/>
    </row>
    <row r="3" spans="1:21">
      <c r="A3" s="33" t="s">
        <v>137</v>
      </c>
      <c r="B3" s="33"/>
      <c r="C3" s="33"/>
      <c r="D3" s="33"/>
      <c r="E3" s="33"/>
      <c r="F3" s="33"/>
      <c r="G3" s="33"/>
      <c r="H3" s="99"/>
      <c r="I3" s="165"/>
      <c r="J3" s="166">
        <v>44682</v>
      </c>
      <c r="K3" s="167"/>
      <c r="L3" s="33"/>
      <c r="M3" s="33"/>
      <c r="N3" s="33"/>
      <c r="O3" s="33"/>
      <c r="P3" s="33"/>
      <c r="Q3" s="33"/>
      <c r="R3" s="33"/>
      <c r="S3" s="33"/>
      <c r="T3" s="190"/>
      <c r="U3" s="27"/>
    </row>
    <row r="4" ht="12.75" customHeight="1" spans="1:21">
      <c r="A4" s="100" t="s">
        <v>138</v>
      </c>
      <c r="B4" s="101" t="s">
        <v>113</v>
      </c>
      <c r="C4" s="102"/>
      <c r="D4" s="102"/>
      <c r="E4" s="102"/>
      <c r="F4" s="102"/>
      <c r="G4" s="103"/>
      <c r="H4" s="104" t="s">
        <v>139</v>
      </c>
      <c r="I4" s="104"/>
      <c r="J4" s="104"/>
      <c r="K4" s="104"/>
      <c r="L4" s="104"/>
      <c r="M4" s="104"/>
      <c r="N4" s="168" t="s">
        <v>140</v>
      </c>
      <c r="O4" s="168"/>
      <c r="P4" s="168"/>
      <c r="Q4" s="168"/>
      <c r="R4" s="168"/>
      <c r="S4" s="168"/>
      <c r="T4" s="191" t="s">
        <v>141</v>
      </c>
      <c r="U4" s="191" t="s">
        <v>142</v>
      </c>
    </row>
    <row r="5" ht="15" customHeight="1" spans="1:21">
      <c r="A5" s="105"/>
      <c r="B5" s="106" t="s">
        <v>143</v>
      </c>
      <c r="C5" s="106" t="s">
        <v>120</v>
      </c>
      <c r="D5" s="106" t="s">
        <v>121</v>
      </c>
      <c r="E5" s="106" t="s">
        <v>123</v>
      </c>
      <c r="F5" s="106" t="s">
        <v>128</v>
      </c>
      <c r="G5" s="106" t="s">
        <v>126</v>
      </c>
      <c r="H5" s="107" t="s">
        <v>143</v>
      </c>
      <c r="I5" s="107" t="s">
        <v>120</v>
      </c>
      <c r="J5" s="107" t="s">
        <v>121</v>
      </c>
      <c r="K5" s="107" t="s">
        <v>123</v>
      </c>
      <c r="L5" s="106" t="s">
        <v>128</v>
      </c>
      <c r="M5" s="106" t="s">
        <v>126</v>
      </c>
      <c r="N5" s="100" t="s">
        <v>144</v>
      </c>
      <c r="O5" s="100" t="s">
        <v>145</v>
      </c>
      <c r="P5" s="100" t="s">
        <v>121</v>
      </c>
      <c r="Q5" s="100" t="s">
        <v>123</v>
      </c>
      <c r="R5" s="100" t="s">
        <v>146</v>
      </c>
      <c r="S5" s="100" t="s">
        <v>126</v>
      </c>
      <c r="T5" s="192"/>
      <c r="U5" s="192"/>
    </row>
    <row r="6" ht="22.5" customHeight="1" spans="1:21">
      <c r="A6" s="108"/>
      <c r="B6" s="109" t="s">
        <v>147</v>
      </c>
      <c r="C6" s="109" t="s">
        <v>147</v>
      </c>
      <c r="D6" s="109" t="s">
        <v>147</v>
      </c>
      <c r="E6" s="109" t="s">
        <v>147</v>
      </c>
      <c r="F6" s="109" t="s">
        <v>147</v>
      </c>
      <c r="G6" s="109" t="s">
        <v>147</v>
      </c>
      <c r="H6" s="110" t="s">
        <v>147</v>
      </c>
      <c r="I6" s="110" t="s">
        <v>147</v>
      </c>
      <c r="J6" s="110" t="s">
        <v>147</v>
      </c>
      <c r="K6" s="110" t="s">
        <v>147</v>
      </c>
      <c r="L6" s="109" t="s">
        <v>147</v>
      </c>
      <c r="M6" s="109" t="s">
        <v>147</v>
      </c>
      <c r="N6" s="109" t="s">
        <v>147</v>
      </c>
      <c r="O6" s="109" t="s">
        <v>147</v>
      </c>
      <c r="P6" s="109" t="s">
        <v>147</v>
      </c>
      <c r="Q6" s="109" t="s">
        <v>147</v>
      </c>
      <c r="R6" s="109" t="s">
        <v>147</v>
      </c>
      <c r="S6" s="109" t="s">
        <v>147</v>
      </c>
      <c r="T6" s="108" t="s">
        <v>148</v>
      </c>
      <c r="U6" s="108" t="s">
        <v>149</v>
      </c>
    </row>
    <row r="7" ht="12.95" customHeight="1" spans="1:23">
      <c r="A7" s="111">
        <v>1</v>
      </c>
      <c r="B7" s="112">
        <v>206</v>
      </c>
      <c r="C7" s="113">
        <v>115</v>
      </c>
      <c r="D7" s="114">
        <v>132</v>
      </c>
      <c r="E7" s="115">
        <v>2.32</v>
      </c>
      <c r="F7" s="116">
        <v>18.1</v>
      </c>
      <c r="G7" s="117">
        <v>23.5</v>
      </c>
      <c r="H7" s="118">
        <v>34</v>
      </c>
      <c r="I7" s="115">
        <v>4.22</v>
      </c>
      <c r="J7" s="118">
        <v>16</v>
      </c>
      <c r="K7" s="115">
        <v>0.52</v>
      </c>
      <c r="L7" s="169">
        <v>0.5</v>
      </c>
      <c r="M7" s="169">
        <v>6.05</v>
      </c>
      <c r="N7" s="114">
        <v>26</v>
      </c>
      <c r="O7" s="170">
        <v>2.76</v>
      </c>
      <c r="P7" s="114">
        <v>5</v>
      </c>
      <c r="Q7" s="169">
        <v>0.11</v>
      </c>
      <c r="R7" s="173">
        <v>0.44</v>
      </c>
      <c r="S7" s="169">
        <v>5.6</v>
      </c>
      <c r="T7" s="121">
        <v>78.1</v>
      </c>
      <c r="U7" s="119" t="s">
        <v>131</v>
      </c>
      <c r="V7" s="193"/>
      <c r="W7" s="194">
        <f>1-S7/G7</f>
        <v>0.761702127659574</v>
      </c>
    </row>
    <row r="8" ht="12.95" customHeight="1" spans="1:23">
      <c r="A8" s="111">
        <v>2</v>
      </c>
      <c r="B8" s="112">
        <v>222</v>
      </c>
      <c r="C8" s="113">
        <v>123</v>
      </c>
      <c r="D8" s="114">
        <v>140</v>
      </c>
      <c r="E8" s="119">
        <v>2.72</v>
      </c>
      <c r="F8" s="117">
        <v>20.5</v>
      </c>
      <c r="G8" s="117">
        <v>25.8</v>
      </c>
      <c r="H8" s="118">
        <v>31</v>
      </c>
      <c r="I8" s="115">
        <v>4.23</v>
      </c>
      <c r="J8" s="118">
        <v>15</v>
      </c>
      <c r="K8" s="115">
        <v>0.53</v>
      </c>
      <c r="L8" s="169">
        <v>0.5</v>
      </c>
      <c r="M8" s="169">
        <v>7.64</v>
      </c>
      <c r="N8" s="114">
        <v>22</v>
      </c>
      <c r="O8" s="170">
        <v>2.84</v>
      </c>
      <c r="P8" s="114">
        <v>5</v>
      </c>
      <c r="Q8" s="169">
        <v>0.11</v>
      </c>
      <c r="R8" s="173">
        <v>0.48</v>
      </c>
      <c r="S8" s="169">
        <v>6.5</v>
      </c>
      <c r="T8" s="121">
        <v>77.9</v>
      </c>
      <c r="U8" s="119" t="s">
        <v>131</v>
      </c>
      <c r="V8" s="193"/>
      <c r="W8" s="194">
        <f t="shared" ref="W8:W37" si="0">1-S8/G8</f>
        <v>0.748062015503876</v>
      </c>
    </row>
    <row r="9" ht="12.95" customHeight="1" spans="1:23">
      <c r="A9" s="111">
        <v>3</v>
      </c>
      <c r="B9" s="112">
        <v>174</v>
      </c>
      <c r="C9" s="113">
        <v>97.5</v>
      </c>
      <c r="D9" s="114">
        <v>80</v>
      </c>
      <c r="E9" s="115">
        <v>2.58</v>
      </c>
      <c r="F9" s="117">
        <v>31.3</v>
      </c>
      <c r="G9" s="117">
        <v>36.6</v>
      </c>
      <c r="H9" s="118">
        <v>27</v>
      </c>
      <c r="I9" s="115">
        <v>3.72</v>
      </c>
      <c r="J9" s="118">
        <v>15</v>
      </c>
      <c r="K9" s="115">
        <v>0.52</v>
      </c>
      <c r="L9" s="169">
        <v>0.47</v>
      </c>
      <c r="M9" s="169">
        <v>7.94</v>
      </c>
      <c r="N9" s="114">
        <v>21</v>
      </c>
      <c r="O9" s="170">
        <v>2.55</v>
      </c>
      <c r="P9" s="114">
        <v>5</v>
      </c>
      <c r="Q9" s="169">
        <v>0.1</v>
      </c>
      <c r="R9" s="173">
        <v>0.42</v>
      </c>
      <c r="S9" s="169">
        <v>7.86</v>
      </c>
      <c r="T9" s="121">
        <v>78</v>
      </c>
      <c r="U9" s="119">
        <v>20</v>
      </c>
      <c r="V9" s="193"/>
      <c r="W9" s="194">
        <f t="shared" si="0"/>
        <v>0.785245901639344</v>
      </c>
    </row>
    <row r="10" ht="12.95" customHeight="1" spans="1:23">
      <c r="A10" s="111">
        <v>4</v>
      </c>
      <c r="B10" s="112">
        <v>344</v>
      </c>
      <c r="C10" s="113">
        <v>192</v>
      </c>
      <c r="D10" s="114">
        <v>260</v>
      </c>
      <c r="E10" s="115">
        <v>2.21</v>
      </c>
      <c r="F10" s="117">
        <v>20.2</v>
      </c>
      <c r="G10" s="117">
        <v>28</v>
      </c>
      <c r="H10" s="118">
        <v>21</v>
      </c>
      <c r="I10" s="115">
        <v>3.38</v>
      </c>
      <c r="J10" s="118">
        <v>10</v>
      </c>
      <c r="K10" s="115">
        <v>0.54</v>
      </c>
      <c r="L10" s="169">
        <v>0.31</v>
      </c>
      <c r="M10" s="169">
        <v>7.39</v>
      </c>
      <c r="N10" s="114">
        <v>20</v>
      </c>
      <c r="O10" s="170">
        <v>2.88</v>
      </c>
      <c r="P10" s="114">
        <v>5</v>
      </c>
      <c r="Q10" s="169">
        <v>0.09</v>
      </c>
      <c r="R10" s="173">
        <v>0.28</v>
      </c>
      <c r="S10" s="169">
        <v>6.18</v>
      </c>
      <c r="T10" s="121">
        <v>77.9</v>
      </c>
      <c r="U10" s="119">
        <v>20</v>
      </c>
      <c r="V10" s="193"/>
      <c r="W10" s="194">
        <f t="shared" si="0"/>
        <v>0.779285714285714</v>
      </c>
    </row>
    <row r="11" ht="12.95" customHeight="1" spans="1:23">
      <c r="A11" s="111">
        <v>5</v>
      </c>
      <c r="B11" s="112">
        <v>365</v>
      </c>
      <c r="C11" s="113">
        <v>202</v>
      </c>
      <c r="D11" s="114">
        <v>270</v>
      </c>
      <c r="E11" s="115">
        <v>3.84</v>
      </c>
      <c r="F11" s="120">
        <v>23.8</v>
      </c>
      <c r="G11" s="117">
        <v>28.9</v>
      </c>
      <c r="H11" s="118">
        <v>34</v>
      </c>
      <c r="I11" s="115">
        <v>3.52</v>
      </c>
      <c r="J11" s="118">
        <v>12</v>
      </c>
      <c r="K11" s="115">
        <v>0.54</v>
      </c>
      <c r="L11" s="169">
        <v>0.47</v>
      </c>
      <c r="M11" s="169">
        <v>6.55</v>
      </c>
      <c r="N11" s="114">
        <v>21</v>
      </c>
      <c r="O11" s="170">
        <v>2.48</v>
      </c>
      <c r="P11" s="114">
        <v>5</v>
      </c>
      <c r="Q11" s="169">
        <v>0.11</v>
      </c>
      <c r="R11" s="173">
        <v>0.43</v>
      </c>
      <c r="S11" s="169">
        <v>6.32</v>
      </c>
      <c r="T11" s="121">
        <v>78.3</v>
      </c>
      <c r="U11" s="119" t="s">
        <v>131</v>
      </c>
      <c r="V11" s="193"/>
      <c r="W11" s="194">
        <f t="shared" si="0"/>
        <v>0.781314878892734</v>
      </c>
    </row>
    <row r="12" ht="12.95" customHeight="1" spans="1:23">
      <c r="A12" s="111">
        <v>6</v>
      </c>
      <c r="B12" s="112">
        <v>220</v>
      </c>
      <c r="C12" s="113">
        <v>122</v>
      </c>
      <c r="D12" s="114">
        <v>118</v>
      </c>
      <c r="E12" s="115">
        <v>2.91</v>
      </c>
      <c r="F12" s="116">
        <v>19</v>
      </c>
      <c r="G12" s="117">
        <v>25.6</v>
      </c>
      <c r="H12" s="118">
        <v>31</v>
      </c>
      <c r="I12" s="115">
        <v>3.48</v>
      </c>
      <c r="J12" s="118">
        <v>14</v>
      </c>
      <c r="K12" s="115">
        <v>0.52</v>
      </c>
      <c r="L12" s="169">
        <v>0.41</v>
      </c>
      <c r="M12" s="169">
        <v>8.23</v>
      </c>
      <c r="N12" s="114">
        <v>25</v>
      </c>
      <c r="O12" s="170">
        <v>2.66</v>
      </c>
      <c r="P12" s="114">
        <v>5</v>
      </c>
      <c r="Q12" s="169">
        <v>0.12</v>
      </c>
      <c r="R12" s="173">
        <v>0.4</v>
      </c>
      <c r="S12" s="169">
        <v>7.32</v>
      </c>
      <c r="T12" s="121">
        <v>77.4</v>
      </c>
      <c r="U12" s="119" t="s">
        <v>131</v>
      </c>
      <c r="V12" s="193"/>
      <c r="W12" s="194">
        <f t="shared" si="0"/>
        <v>0.7140625</v>
      </c>
    </row>
    <row r="13" ht="12.95" customHeight="1" spans="1:23">
      <c r="A13" s="111">
        <v>7</v>
      </c>
      <c r="B13" s="112">
        <v>212</v>
      </c>
      <c r="C13" s="113">
        <v>119</v>
      </c>
      <c r="D13" s="114">
        <v>184</v>
      </c>
      <c r="E13" s="115">
        <v>1.98</v>
      </c>
      <c r="F13" s="116">
        <v>22.1</v>
      </c>
      <c r="G13" s="117">
        <v>27.4</v>
      </c>
      <c r="H13" s="118">
        <v>36</v>
      </c>
      <c r="I13" s="115">
        <v>4.45</v>
      </c>
      <c r="J13" s="118">
        <v>13</v>
      </c>
      <c r="K13" s="115">
        <v>0.51</v>
      </c>
      <c r="L13" s="169">
        <v>0.44</v>
      </c>
      <c r="M13" s="169">
        <v>7.19</v>
      </c>
      <c r="N13" s="114">
        <v>28</v>
      </c>
      <c r="O13" s="170">
        <v>3.17</v>
      </c>
      <c r="P13" s="114">
        <v>5</v>
      </c>
      <c r="Q13" s="169">
        <v>0.12</v>
      </c>
      <c r="R13" s="173">
        <v>0.38</v>
      </c>
      <c r="S13" s="169">
        <v>5.6</v>
      </c>
      <c r="T13" s="121">
        <v>77.8</v>
      </c>
      <c r="U13" s="119">
        <v>40</v>
      </c>
      <c r="V13" s="193"/>
      <c r="W13" s="194">
        <f t="shared" si="0"/>
        <v>0.795620437956204</v>
      </c>
    </row>
    <row r="14" ht="12.95" customHeight="1" spans="1:23">
      <c r="A14" s="111">
        <v>8</v>
      </c>
      <c r="B14" s="112">
        <v>220</v>
      </c>
      <c r="C14" s="113">
        <v>129</v>
      </c>
      <c r="D14" s="114">
        <v>144</v>
      </c>
      <c r="E14" s="115">
        <v>2.07</v>
      </c>
      <c r="F14" s="121">
        <v>20.3</v>
      </c>
      <c r="G14" s="117">
        <v>25.8</v>
      </c>
      <c r="H14" s="118">
        <v>34</v>
      </c>
      <c r="I14" s="115">
        <v>3.86</v>
      </c>
      <c r="J14" s="118">
        <v>13</v>
      </c>
      <c r="K14" s="115">
        <v>0.55</v>
      </c>
      <c r="L14" s="169">
        <v>0.43</v>
      </c>
      <c r="M14" s="169">
        <v>7.69</v>
      </c>
      <c r="N14" s="114">
        <v>29</v>
      </c>
      <c r="O14" s="170">
        <v>2.54</v>
      </c>
      <c r="P14" s="114">
        <v>5</v>
      </c>
      <c r="Q14" s="169">
        <v>0.09</v>
      </c>
      <c r="R14" s="173">
        <v>0.36</v>
      </c>
      <c r="S14" s="169">
        <v>7.19</v>
      </c>
      <c r="T14" s="121">
        <v>78.1</v>
      </c>
      <c r="U14" s="119">
        <v>20</v>
      </c>
      <c r="V14" s="193"/>
      <c r="W14" s="194">
        <f t="shared" si="0"/>
        <v>0.721317829457364</v>
      </c>
    </row>
    <row r="15" ht="12.95" customHeight="1" spans="1:23">
      <c r="A15" s="111">
        <v>9</v>
      </c>
      <c r="B15" s="112">
        <v>314</v>
      </c>
      <c r="C15" s="113">
        <v>174</v>
      </c>
      <c r="D15" s="114">
        <v>188</v>
      </c>
      <c r="E15" s="115">
        <v>4.94</v>
      </c>
      <c r="F15" s="117">
        <v>21.8</v>
      </c>
      <c r="G15" s="117">
        <v>27.4</v>
      </c>
      <c r="H15" s="118">
        <v>39</v>
      </c>
      <c r="I15" s="115">
        <v>4.04</v>
      </c>
      <c r="J15" s="118">
        <v>16</v>
      </c>
      <c r="K15" s="115">
        <v>0.51</v>
      </c>
      <c r="L15" s="169">
        <v>0.48</v>
      </c>
      <c r="M15" s="169">
        <v>6.5</v>
      </c>
      <c r="N15" s="114">
        <v>29</v>
      </c>
      <c r="O15" s="170">
        <v>3.14</v>
      </c>
      <c r="P15" s="114">
        <v>5</v>
      </c>
      <c r="Q15" s="169">
        <v>0.15</v>
      </c>
      <c r="R15" s="173">
        <v>0.45</v>
      </c>
      <c r="S15" s="169">
        <v>6.18</v>
      </c>
      <c r="T15" s="121">
        <v>77.7</v>
      </c>
      <c r="U15" s="119" t="s">
        <v>131</v>
      </c>
      <c r="V15" s="193"/>
      <c r="W15" s="194">
        <f t="shared" si="0"/>
        <v>0.774452554744526</v>
      </c>
    </row>
    <row r="16" ht="12.95" customHeight="1" spans="1:23">
      <c r="A16" s="111">
        <v>10</v>
      </c>
      <c r="B16" s="112">
        <v>264</v>
      </c>
      <c r="C16" s="122">
        <v>146</v>
      </c>
      <c r="D16" s="114">
        <v>170</v>
      </c>
      <c r="E16" s="115">
        <v>2.55</v>
      </c>
      <c r="F16" s="117">
        <v>22.3</v>
      </c>
      <c r="G16" s="117">
        <v>27.6</v>
      </c>
      <c r="H16" s="118">
        <v>38</v>
      </c>
      <c r="I16" s="171">
        <v>3.92</v>
      </c>
      <c r="J16" s="118">
        <v>16</v>
      </c>
      <c r="K16" s="115">
        <v>0.52</v>
      </c>
      <c r="L16" s="169">
        <v>0.43</v>
      </c>
      <c r="M16" s="169">
        <v>7.89</v>
      </c>
      <c r="N16" s="114">
        <v>29</v>
      </c>
      <c r="O16" s="170">
        <v>2.78</v>
      </c>
      <c r="P16" s="114">
        <v>5</v>
      </c>
      <c r="Q16" s="169">
        <v>0.14</v>
      </c>
      <c r="R16" s="173">
        <v>0.38</v>
      </c>
      <c r="S16" s="169">
        <v>7.19</v>
      </c>
      <c r="T16" s="121">
        <v>77.5</v>
      </c>
      <c r="U16" s="119">
        <v>20</v>
      </c>
      <c r="V16" s="193"/>
      <c r="W16" s="194">
        <f t="shared" si="0"/>
        <v>0.739492753623188</v>
      </c>
    </row>
    <row r="17" ht="12.95" customHeight="1" spans="1:23">
      <c r="A17" s="111">
        <v>11</v>
      </c>
      <c r="B17" s="112">
        <v>194</v>
      </c>
      <c r="C17" s="113">
        <v>119</v>
      </c>
      <c r="D17" s="114">
        <v>102</v>
      </c>
      <c r="E17" s="115">
        <v>1.93</v>
      </c>
      <c r="F17" s="116">
        <v>21</v>
      </c>
      <c r="G17" s="117">
        <v>26.4</v>
      </c>
      <c r="H17" s="118">
        <v>35</v>
      </c>
      <c r="I17" s="115">
        <v>3.85</v>
      </c>
      <c r="J17" s="118">
        <v>19</v>
      </c>
      <c r="K17" s="115">
        <v>0.53</v>
      </c>
      <c r="L17" s="169">
        <v>0.51</v>
      </c>
      <c r="M17" s="169">
        <v>6.84</v>
      </c>
      <c r="N17" s="114">
        <v>29</v>
      </c>
      <c r="O17" s="170">
        <v>2.92</v>
      </c>
      <c r="P17" s="114">
        <v>7</v>
      </c>
      <c r="Q17" s="169">
        <v>0.15</v>
      </c>
      <c r="R17" s="173">
        <v>0.45</v>
      </c>
      <c r="S17" s="169">
        <v>6.76</v>
      </c>
      <c r="T17" s="121">
        <v>78.4</v>
      </c>
      <c r="U17" s="119" t="s">
        <v>131</v>
      </c>
      <c r="V17" s="193"/>
      <c r="W17" s="194">
        <f t="shared" si="0"/>
        <v>0.743939393939394</v>
      </c>
    </row>
    <row r="18" ht="12.95" customHeight="1" spans="1:23">
      <c r="A18" s="111">
        <v>12</v>
      </c>
      <c r="B18" s="114">
        <v>254</v>
      </c>
      <c r="C18" s="113">
        <v>142</v>
      </c>
      <c r="D18" s="123">
        <v>114</v>
      </c>
      <c r="E18" s="115">
        <v>1.69</v>
      </c>
      <c r="F18" s="117">
        <v>15.9</v>
      </c>
      <c r="G18" s="117">
        <v>21.6</v>
      </c>
      <c r="H18" s="118">
        <v>44</v>
      </c>
      <c r="I18" s="115">
        <v>4.66</v>
      </c>
      <c r="J18" s="61">
        <v>18</v>
      </c>
      <c r="K18" s="115">
        <v>0.52</v>
      </c>
      <c r="L18" s="169">
        <v>0.62</v>
      </c>
      <c r="M18" s="169">
        <v>6.25</v>
      </c>
      <c r="N18" s="114">
        <v>33</v>
      </c>
      <c r="O18" s="170">
        <v>3.22</v>
      </c>
      <c r="P18" s="114">
        <v>5</v>
      </c>
      <c r="Q18" s="169">
        <v>0.16</v>
      </c>
      <c r="R18" s="173">
        <v>0.58</v>
      </c>
      <c r="S18" s="172">
        <v>5.4</v>
      </c>
      <c r="T18" s="121">
        <v>77.8</v>
      </c>
      <c r="U18" s="119">
        <v>40</v>
      </c>
      <c r="V18" s="193"/>
      <c r="W18" s="194">
        <f t="shared" si="0"/>
        <v>0.75</v>
      </c>
    </row>
    <row r="19" ht="12.95" customHeight="1" spans="1:23">
      <c r="A19" s="111">
        <v>13</v>
      </c>
      <c r="B19" s="112">
        <v>393</v>
      </c>
      <c r="C19" s="113">
        <v>219</v>
      </c>
      <c r="D19" s="123">
        <v>288</v>
      </c>
      <c r="E19" s="115">
        <v>1.66</v>
      </c>
      <c r="F19" s="117">
        <v>15.6</v>
      </c>
      <c r="G19" s="117">
        <v>22.4</v>
      </c>
      <c r="H19" s="118">
        <v>44</v>
      </c>
      <c r="I19" s="115">
        <v>5.06</v>
      </c>
      <c r="J19" s="61">
        <v>20</v>
      </c>
      <c r="K19" s="115">
        <v>0.51</v>
      </c>
      <c r="L19" s="169">
        <v>0.54</v>
      </c>
      <c r="M19" s="169">
        <v>7.69</v>
      </c>
      <c r="N19" s="114">
        <v>33</v>
      </c>
      <c r="O19" s="170">
        <v>3.37</v>
      </c>
      <c r="P19" s="114">
        <v>5</v>
      </c>
      <c r="Q19" s="169">
        <v>0.16</v>
      </c>
      <c r="R19" s="173">
        <v>0.47</v>
      </c>
      <c r="S19" s="169">
        <v>6.4</v>
      </c>
      <c r="T19" s="121">
        <v>77.1</v>
      </c>
      <c r="U19" s="119">
        <v>20</v>
      </c>
      <c r="V19" s="193"/>
      <c r="W19" s="194">
        <f t="shared" si="0"/>
        <v>0.714285714285714</v>
      </c>
    </row>
    <row r="20" ht="12.95" customHeight="1" spans="1:23">
      <c r="A20" s="111">
        <v>14</v>
      </c>
      <c r="B20" s="112">
        <v>274</v>
      </c>
      <c r="C20" s="113">
        <v>154</v>
      </c>
      <c r="D20" s="114">
        <v>150</v>
      </c>
      <c r="E20" s="115">
        <v>2.72</v>
      </c>
      <c r="F20" s="121">
        <v>18.9</v>
      </c>
      <c r="G20" s="117">
        <v>27.5</v>
      </c>
      <c r="H20" s="118">
        <v>46</v>
      </c>
      <c r="I20" s="171">
        <v>4.76</v>
      </c>
      <c r="J20" s="118">
        <v>18</v>
      </c>
      <c r="K20" s="115">
        <v>0.55</v>
      </c>
      <c r="L20" s="169">
        <v>0.52</v>
      </c>
      <c r="M20" s="169">
        <v>9.33</v>
      </c>
      <c r="N20" s="114">
        <v>32</v>
      </c>
      <c r="O20" s="170">
        <v>3.23</v>
      </c>
      <c r="P20" s="114">
        <v>5</v>
      </c>
      <c r="Q20" s="169">
        <v>0.16</v>
      </c>
      <c r="R20" s="173">
        <v>0.5</v>
      </c>
      <c r="S20" s="169">
        <v>7.74</v>
      </c>
      <c r="T20" s="121">
        <v>77.8</v>
      </c>
      <c r="U20" s="119" t="s">
        <v>131</v>
      </c>
      <c r="V20" s="193"/>
      <c r="W20" s="194">
        <f t="shared" si="0"/>
        <v>0.718545454545455</v>
      </c>
    </row>
    <row r="21" ht="12.95" customHeight="1" spans="1:23">
      <c r="A21" s="111">
        <v>15</v>
      </c>
      <c r="B21" s="112">
        <v>243</v>
      </c>
      <c r="C21" s="113">
        <v>136</v>
      </c>
      <c r="D21" s="114">
        <v>128</v>
      </c>
      <c r="E21" s="115">
        <v>2.52</v>
      </c>
      <c r="F21" s="116">
        <v>21.8</v>
      </c>
      <c r="G21" s="117">
        <v>33</v>
      </c>
      <c r="H21" s="118">
        <v>35</v>
      </c>
      <c r="I21" s="115">
        <v>4.46</v>
      </c>
      <c r="J21" s="118">
        <v>17</v>
      </c>
      <c r="K21" s="115">
        <v>0.52</v>
      </c>
      <c r="L21" s="169">
        <v>0.7</v>
      </c>
      <c r="M21" s="169">
        <v>9</v>
      </c>
      <c r="N21" s="114">
        <v>30</v>
      </c>
      <c r="O21" s="170">
        <v>3.63</v>
      </c>
      <c r="P21" s="114">
        <v>5</v>
      </c>
      <c r="Q21" s="169">
        <v>0.17</v>
      </c>
      <c r="R21" s="173">
        <v>0.68</v>
      </c>
      <c r="S21" s="169">
        <v>8.93</v>
      </c>
      <c r="T21" s="121">
        <v>78.4</v>
      </c>
      <c r="U21" s="119" t="s">
        <v>131</v>
      </c>
      <c r="V21" s="193"/>
      <c r="W21" s="194">
        <f t="shared" si="0"/>
        <v>0.729393939393939</v>
      </c>
    </row>
    <row r="22" ht="12" customHeight="1" spans="1:23">
      <c r="A22" s="111">
        <v>16</v>
      </c>
      <c r="B22" s="112">
        <v>218</v>
      </c>
      <c r="C22" s="113">
        <v>122</v>
      </c>
      <c r="D22" s="114">
        <v>166</v>
      </c>
      <c r="E22" s="115">
        <v>1.87</v>
      </c>
      <c r="F22" s="116">
        <v>22</v>
      </c>
      <c r="G22" s="117">
        <v>27.7</v>
      </c>
      <c r="H22" s="118">
        <v>37</v>
      </c>
      <c r="I22" s="115">
        <v>4.68</v>
      </c>
      <c r="J22" s="118">
        <v>18</v>
      </c>
      <c r="K22" s="115">
        <v>0.51</v>
      </c>
      <c r="L22" s="169">
        <v>0.72</v>
      </c>
      <c r="M22" s="169">
        <v>8.22</v>
      </c>
      <c r="N22" s="114">
        <v>28</v>
      </c>
      <c r="O22" s="170">
        <v>3.24</v>
      </c>
      <c r="P22" s="114">
        <v>5</v>
      </c>
      <c r="Q22" s="169">
        <v>0.16</v>
      </c>
      <c r="R22" s="173">
        <v>0.64</v>
      </c>
      <c r="S22" s="169">
        <v>7.51</v>
      </c>
      <c r="T22" s="121">
        <v>78.2</v>
      </c>
      <c r="U22" s="119" t="s">
        <v>131</v>
      </c>
      <c r="V22" s="193"/>
      <c r="W22" s="194">
        <f t="shared" si="0"/>
        <v>0.728880866425993</v>
      </c>
    </row>
    <row r="23" ht="12.95" customHeight="1" spans="1:23">
      <c r="A23" s="111">
        <v>17</v>
      </c>
      <c r="B23" s="112">
        <v>305</v>
      </c>
      <c r="C23" s="113">
        <v>170</v>
      </c>
      <c r="D23" s="114">
        <v>198</v>
      </c>
      <c r="E23" s="115">
        <v>2.44</v>
      </c>
      <c r="F23" s="116">
        <v>21.9</v>
      </c>
      <c r="G23" s="117">
        <v>27.3</v>
      </c>
      <c r="H23" s="118">
        <v>38</v>
      </c>
      <c r="I23" s="115">
        <v>4.58</v>
      </c>
      <c r="J23" s="118">
        <v>16</v>
      </c>
      <c r="K23" s="115">
        <v>0.53</v>
      </c>
      <c r="L23" s="169">
        <v>0.56</v>
      </c>
      <c r="M23" s="169">
        <v>7.66</v>
      </c>
      <c r="N23" s="114">
        <v>27</v>
      </c>
      <c r="O23" s="170">
        <v>3.22</v>
      </c>
      <c r="P23" s="114">
        <v>5</v>
      </c>
      <c r="Q23" s="169">
        <v>0.16</v>
      </c>
      <c r="R23" s="173">
        <v>0.43</v>
      </c>
      <c r="S23" s="169">
        <v>7.46</v>
      </c>
      <c r="T23" s="121">
        <v>77.9</v>
      </c>
      <c r="U23" s="119">
        <v>20</v>
      </c>
      <c r="V23" s="193"/>
      <c r="W23" s="194">
        <f t="shared" si="0"/>
        <v>0.726739926739927</v>
      </c>
    </row>
    <row r="24" ht="12.95" customHeight="1" spans="1:23">
      <c r="A24" s="111">
        <v>18</v>
      </c>
      <c r="B24" s="119">
        <v>247</v>
      </c>
      <c r="C24" s="113">
        <v>138</v>
      </c>
      <c r="D24" s="114">
        <v>166</v>
      </c>
      <c r="E24" s="115">
        <v>2.62</v>
      </c>
      <c r="F24" s="116">
        <v>20.9</v>
      </c>
      <c r="G24" s="117">
        <v>27.6</v>
      </c>
      <c r="H24" s="118">
        <v>38</v>
      </c>
      <c r="I24" s="115">
        <v>4.76</v>
      </c>
      <c r="J24" s="118">
        <v>16</v>
      </c>
      <c r="K24" s="115">
        <v>0.54</v>
      </c>
      <c r="L24" s="169">
        <v>0.64</v>
      </c>
      <c r="M24" s="169">
        <v>7.88</v>
      </c>
      <c r="N24" s="114">
        <v>32</v>
      </c>
      <c r="O24" s="170">
        <v>3.65</v>
      </c>
      <c r="P24" s="114">
        <v>5</v>
      </c>
      <c r="Q24" s="169">
        <v>0.15</v>
      </c>
      <c r="R24" s="173">
        <v>0.5</v>
      </c>
      <c r="S24" s="169">
        <v>7.81</v>
      </c>
      <c r="T24" s="121">
        <v>78.2</v>
      </c>
      <c r="U24" s="119" t="s">
        <v>131</v>
      </c>
      <c r="V24" s="193"/>
      <c r="W24" s="194">
        <f t="shared" si="0"/>
        <v>0.717028985507246</v>
      </c>
    </row>
    <row r="25" ht="12.95" customHeight="1" spans="1:23">
      <c r="A25" s="111">
        <v>19</v>
      </c>
      <c r="B25" s="119">
        <v>205</v>
      </c>
      <c r="C25" s="113">
        <v>114</v>
      </c>
      <c r="D25" s="114">
        <v>100</v>
      </c>
      <c r="E25" s="115">
        <v>1.92</v>
      </c>
      <c r="F25" s="117">
        <v>18</v>
      </c>
      <c r="G25" s="117">
        <v>23.4</v>
      </c>
      <c r="H25" s="118">
        <v>36</v>
      </c>
      <c r="I25" s="171">
        <v>4.39</v>
      </c>
      <c r="J25" s="118">
        <v>15</v>
      </c>
      <c r="K25" s="115">
        <v>0.52</v>
      </c>
      <c r="L25" s="169">
        <v>0.46</v>
      </c>
      <c r="M25" s="169">
        <v>7.46</v>
      </c>
      <c r="N25" s="114">
        <v>27</v>
      </c>
      <c r="O25" s="170">
        <v>3.06</v>
      </c>
      <c r="P25" s="114">
        <v>5</v>
      </c>
      <c r="Q25" s="169">
        <v>0.16</v>
      </c>
      <c r="R25" s="173">
        <v>0.45</v>
      </c>
      <c r="S25" s="169">
        <v>6.62</v>
      </c>
      <c r="T25" s="121">
        <v>77.6</v>
      </c>
      <c r="U25" s="119" t="s">
        <v>131</v>
      </c>
      <c r="V25" s="193"/>
      <c r="W25" s="194">
        <f t="shared" si="0"/>
        <v>0.717094017094017</v>
      </c>
    </row>
    <row r="26" ht="12.95" customHeight="1" spans="1:23">
      <c r="A26" s="111">
        <v>20</v>
      </c>
      <c r="B26" s="119">
        <v>234</v>
      </c>
      <c r="C26" s="113">
        <v>132</v>
      </c>
      <c r="D26" s="114">
        <v>104</v>
      </c>
      <c r="E26" s="115">
        <v>1.24</v>
      </c>
      <c r="F26" s="117">
        <v>13</v>
      </c>
      <c r="G26" s="117">
        <v>19.3</v>
      </c>
      <c r="H26" s="118">
        <v>41</v>
      </c>
      <c r="I26" s="115">
        <v>5.04</v>
      </c>
      <c r="J26" s="118">
        <v>16</v>
      </c>
      <c r="K26" s="115">
        <v>0.52</v>
      </c>
      <c r="L26" s="169">
        <v>0.52</v>
      </c>
      <c r="M26" s="169">
        <v>6.89</v>
      </c>
      <c r="N26" s="114">
        <v>34</v>
      </c>
      <c r="O26" s="170">
        <v>3.75</v>
      </c>
      <c r="P26" s="114">
        <v>5</v>
      </c>
      <c r="Q26" s="169">
        <v>0.18</v>
      </c>
      <c r="R26" s="173">
        <v>0.51</v>
      </c>
      <c r="S26" s="169">
        <v>6.27</v>
      </c>
      <c r="T26" s="121">
        <v>77.2</v>
      </c>
      <c r="U26" s="119">
        <v>40</v>
      </c>
      <c r="V26" s="193"/>
      <c r="W26" s="194">
        <f t="shared" si="0"/>
        <v>0.675129533678756</v>
      </c>
    </row>
    <row r="27" ht="12.95" customHeight="1" spans="1:23">
      <c r="A27" s="111">
        <v>21</v>
      </c>
      <c r="B27" s="119">
        <v>356</v>
      </c>
      <c r="C27" s="113">
        <v>197</v>
      </c>
      <c r="D27" s="114">
        <v>220</v>
      </c>
      <c r="E27" s="115">
        <v>2.27</v>
      </c>
      <c r="F27" s="121">
        <v>16.8</v>
      </c>
      <c r="G27" s="117">
        <v>22</v>
      </c>
      <c r="H27" s="118">
        <v>41</v>
      </c>
      <c r="I27" s="115">
        <v>4.69</v>
      </c>
      <c r="J27" s="118">
        <v>17</v>
      </c>
      <c r="K27" s="115">
        <v>0.52</v>
      </c>
      <c r="L27" s="169">
        <v>0.57</v>
      </c>
      <c r="M27" s="169">
        <v>7.94</v>
      </c>
      <c r="N27" s="114">
        <v>32</v>
      </c>
      <c r="O27" s="170">
        <v>3.14</v>
      </c>
      <c r="P27" s="114">
        <v>5</v>
      </c>
      <c r="Q27" s="169">
        <v>0.23</v>
      </c>
      <c r="R27" s="173">
        <v>0.51</v>
      </c>
      <c r="S27" s="169">
        <v>7.31</v>
      </c>
      <c r="T27" s="121">
        <v>78.1</v>
      </c>
      <c r="U27" s="119" t="s">
        <v>131</v>
      </c>
      <c r="V27" s="193"/>
      <c r="W27" s="194">
        <f t="shared" si="0"/>
        <v>0.667727272727273</v>
      </c>
    </row>
    <row r="28" ht="12.95" customHeight="1" spans="1:23">
      <c r="A28" s="111">
        <v>22</v>
      </c>
      <c r="B28" s="119">
        <v>248</v>
      </c>
      <c r="C28" s="113">
        <v>139</v>
      </c>
      <c r="D28" s="114">
        <v>150</v>
      </c>
      <c r="E28" s="115">
        <v>2.28</v>
      </c>
      <c r="F28" s="121">
        <v>17.4</v>
      </c>
      <c r="G28" s="117">
        <v>22.6</v>
      </c>
      <c r="H28" s="118">
        <v>44</v>
      </c>
      <c r="I28" s="115">
        <v>5.2</v>
      </c>
      <c r="J28" s="118">
        <v>19</v>
      </c>
      <c r="K28" s="115">
        <v>0.53</v>
      </c>
      <c r="L28" s="169">
        <v>0.72</v>
      </c>
      <c r="M28" s="169">
        <v>8.2</v>
      </c>
      <c r="N28" s="114">
        <v>33</v>
      </c>
      <c r="O28" s="170">
        <v>3.34</v>
      </c>
      <c r="P28" s="114">
        <v>5</v>
      </c>
      <c r="Q28" s="169">
        <v>0.28</v>
      </c>
      <c r="R28" s="173">
        <v>0.69</v>
      </c>
      <c r="S28" s="169">
        <v>8.15</v>
      </c>
      <c r="T28" s="121">
        <v>78</v>
      </c>
      <c r="U28" s="119">
        <v>40</v>
      </c>
      <c r="V28" s="193"/>
      <c r="W28" s="194">
        <f t="shared" si="0"/>
        <v>0.639380530973451</v>
      </c>
    </row>
    <row r="29" ht="12.95" customHeight="1" spans="1:23">
      <c r="A29" s="111">
        <v>23</v>
      </c>
      <c r="B29" s="119">
        <v>213</v>
      </c>
      <c r="C29" s="113">
        <v>119</v>
      </c>
      <c r="D29" s="114">
        <v>106</v>
      </c>
      <c r="E29" s="115">
        <v>1.5</v>
      </c>
      <c r="F29" s="121">
        <v>15.8</v>
      </c>
      <c r="G29" s="117">
        <v>20.9</v>
      </c>
      <c r="H29" s="118">
        <v>36</v>
      </c>
      <c r="I29" s="171">
        <v>4.38</v>
      </c>
      <c r="J29" s="118">
        <v>13</v>
      </c>
      <c r="K29" s="115">
        <v>0.51</v>
      </c>
      <c r="L29" s="169">
        <v>0.7</v>
      </c>
      <c r="M29" s="116">
        <v>11</v>
      </c>
      <c r="N29" s="114">
        <v>24</v>
      </c>
      <c r="O29" s="170">
        <v>2.88</v>
      </c>
      <c r="P29" s="114">
        <v>5</v>
      </c>
      <c r="Q29" s="169">
        <v>0.18</v>
      </c>
      <c r="R29" s="173">
        <v>0.65</v>
      </c>
      <c r="S29" s="116">
        <v>10.6</v>
      </c>
      <c r="T29" s="121">
        <v>77.5</v>
      </c>
      <c r="U29" s="119" t="s">
        <v>131</v>
      </c>
      <c r="V29" s="193"/>
      <c r="W29" s="194">
        <f t="shared" si="0"/>
        <v>0.492822966507177</v>
      </c>
    </row>
    <row r="30" ht="12.95" customHeight="1" spans="1:23">
      <c r="A30" s="111">
        <v>24</v>
      </c>
      <c r="B30" s="119">
        <v>262</v>
      </c>
      <c r="C30" s="113">
        <v>147</v>
      </c>
      <c r="D30" s="114">
        <v>142</v>
      </c>
      <c r="E30" s="115">
        <v>4.94</v>
      </c>
      <c r="F30" s="124">
        <v>28</v>
      </c>
      <c r="G30" s="125">
        <v>34.3</v>
      </c>
      <c r="H30" s="118">
        <v>43</v>
      </c>
      <c r="I30" s="115">
        <v>4.56</v>
      </c>
      <c r="J30" s="118">
        <v>20</v>
      </c>
      <c r="K30" s="115">
        <v>0.52</v>
      </c>
      <c r="L30" s="169">
        <v>0.62</v>
      </c>
      <c r="M30" s="169">
        <v>9.1</v>
      </c>
      <c r="N30" s="114">
        <v>32</v>
      </c>
      <c r="O30" s="170">
        <v>3.2</v>
      </c>
      <c r="P30" s="114">
        <v>5</v>
      </c>
      <c r="Q30" s="169">
        <v>0.15</v>
      </c>
      <c r="R30" s="169">
        <v>0.46</v>
      </c>
      <c r="S30" s="169">
        <v>8.52</v>
      </c>
      <c r="T30" s="121">
        <v>77.3</v>
      </c>
      <c r="U30" s="119" t="s">
        <v>131</v>
      </c>
      <c r="V30" s="193"/>
      <c r="W30" s="194">
        <f t="shared" si="0"/>
        <v>0.751603498542274</v>
      </c>
    </row>
    <row r="31" ht="12.95" customHeight="1" spans="1:23">
      <c r="A31" s="111">
        <v>25</v>
      </c>
      <c r="B31" s="119">
        <v>363</v>
      </c>
      <c r="C31" s="113">
        <v>196</v>
      </c>
      <c r="D31" s="114">
        <v>188</v>
      </c>
      <c r="E31" s="115">
        <v>2.56</v>
      </c>
      <c r="F31" s="117">
        <v>26.5</v>
      </c>
      <c r="G31" s="125">
        <v>31.9</v>
      </c>
      <c r="H31" s="118">
        <v>36</v>
      </c>
      <c r="I31" s="115">
        <v>3.55</v>
      </c>
      <c r="J31" s="118">
        <v>16</v>
      </c>
      <c r="K31" s="115">
        <v>0.52</v>
      </c>
      <c r="L31" s="169">
        <v>0.62</v>
      </c>
      <c r="M31" s="172">
        <v>8.9</v>
      </c>
      <c r="N31" s="114">
        <v>33</v>
      </c>
      <c r="O31" s="170">
        <v>3.11</v>
      </c>
      <c r="P31" s="114">
        <v>5</v>
      </c>
      <c r="Q31" s="169">
        <v>0.16</v>
      </c>
      <c r="R31" s="169">
        <v>0.6</v>
      </c>
      <c r="S31" s="172">
        <v>8.68</v>
      </c>
      <c r="T31" s="121">
        <v>77.8</v>
      </c>
      <c r="U31" s="119" t="s">
        <v>131</v>
      </c>
      <c r="V31" s="193"/>
      <c r="W31" s="194">
        <f t="shared" si="0"/>
        <v>0.727899686520376</v>
      </c>
    </row>
    <row r="32" ht="12.95" customHeight="1" spans="1:23">
      <c r="A32" s="111">
        <v>26</v>
      </c>
      <c r="B32" s="119">
        <v>236</v>
      </c>
      <c r="C32" s="113">
        <v>134</v>
      </c>
      <c r="D32" s="114">
        <v>140</v>
      </c>
      <c r="E32" s="115">
        <v>2.21</v>
      </c>
      <c r="F32" s="116">
        <v>26.7</v>
      </c>
      <c r="G32" s="117">
        <v>32</v>
      </c>
      <c r="H32" s="118">
        <v>41</v>
      </c>
      <c r="I32" s="115">
        <v>4.22</v>
      </c>
      <c r="J32" s="118">
        <v>20</v>
      </c>
      <c r="K32" s="115">
        <v>0.53</v>
      </c>
      <c r="L32" s="169">
        <v>0.74</v>
      </c>
      <c r="M32" s="169">
        <v>9.84</v>
      </c>
      <c r="N32" s="114">
        <v>31</v>
      </c>
      <c r="O32" s="170">
        <v>3.47</v>
      </c>
      <c r="P32" s="114">
        <v>5</v>
      </c>
      <c r="Q32" s="169">
        <v>0.16</v>
      </c>
      <c r="R32" s="169">
        <v>0.64</v>
      </c>
      <c r="S32" s="169">
        <v>9.66</v>
      </c>
      <c r="T32" s="121">
        <v>78.1</v>
      </c>
      <c r="U32" s="119">
        <v>20</v>
      </c>
      <c r="V32" s="193"/>
      <c r="W32" s="194">
        <f t="shared" si="0"/>
        <v>0.698125</v>
      </c>
    </row>
    <row r="33" ht="12.95" customHeight="1" spans="1:23">
      <c r="A33" s="111">
        <v>27</v>
      </c>
      <c r="B33" s="119">
        <v>218</v>
      </c>
      <c r="C33" s="113">
        <v>122</v>
      </c>
      <c r="D33" s="114">
        <v>122</v>
      </c>
      <c r="E33" s="115">
        <v>1.95</v>
      </c>
      <c r="F33" s="121">
        <v>25.7</v>
      </c>
      <c r="G33" s="117">
        <v>30.9</v>
      </c>
      <c r="H33" s="118">
        <v>37</v>
      </c>
      <c r="I33" s="115">
        <v>4.08</v>
      </c>
      <c r="J33" s="118">
        <v>19</v>
      </c>
      <c r="K33" s="115">
        <v>0.54</v>
      </c>
      <c r="L33" s="169">
        <v>0.44</v>
      </c>
      <c r="M33" s="169">
        <v>9.05</v>
      </c>
      <c r="N33" s="114">
        <v>31</v>
      </c>
      <c r="O33" s="170">
        <v>3.11</v>
      </c>
      <c r="P33" s="114">
        <v>5</v>
      </c>
      <c r="Q33" s="169">
        <v>0.16</v>
      </c>
      <c r="R33" s="169">
        <v>0.43</v>
      </c>
      <c r="S33" s="169">
        <v>8.85</v>
      </c>
      <c r="T33" s="121">
        <v>78.3</v>
      </c>
      <c r="U33" s="119">
        <v>40</v>
      </c>
      <c r="V33" s="193"/>
      <c r="W33" s="194">
        <f t="shared" si="0"/>
        <v>0.713592233009709</v>
      </c>
    </row>
    <row r="34" ht="12.95" customHeight="1" spans="1:23">
      <c r="A34" s="111">
        <v>28</v>
      </c>
      <c r="B34" s="119">
        <v>288</v>
      </c>
      <c r="C34" s="113">
        <v>159</v>
      </c>
      <c r="D34" s="114">
        <v>204</v>
      </c>
      <c r="E34" s="115">
        <v>1.65</v>
      </c>
      <c r="F34" s="116">
        <v>13</v>
      </c>
      <c r="G34" s="117">
        <v>18.5</v>
      </c>
      <c r="H34" s="118">
        <v>45</v>
      </c>
      <c r="I34" s="115">
        <v>4.69</v>
      </c>
      <c r="J34" s="118">
        <v>18</v>
      </c>
      <c r="K34" s="115">
        <v>0.52</v>
      </c>
      <c r="L34" s="169">
        <v>0.47</v>
      </c>
      <c r="M34" s="169">
        <v>8.01</v>
      </c>
      <c r="N34" s="114">
        <v>31</v>
      </c>
      <c r="O34" s="170">
        <v>3.22</v>
      </c>
      <c r="P34" s="114">
        <v>5</v>
      </c>
      <c r="Q34" s="169">
        <v>0.16</v>
      </c>
      <c r="R34" s="169">
        <v>0.44</v>
      </c>
      <c r="S34" s="169">
        <v>7.51</v>
      </c>
      <c r="T34" s="121">
        <v>77.6</v>
      </c>
      <c r="U34" s="119">
        <v>40</v>
      </c>
      <c r="V34" s="193"/>
      <c r="W34" s="194">
        <f t="shared" si="0"/>
        <v>0.594054054054054</v>
      </c>
    </row>
    <row r="35" ht="12.95" customHeight="1" spans="1:23">
      <c r="A35" s="111">
        <v>29</v>
      </c>
      <c r="B35" s="119">
        <v>281</v>
      </c>
      <c r="C35" s="113">
        <v>156</v>
      </c>
      <c r="D35" s="114">
        <v>192</v>
      </c>
      <c r="E35" s="115">
        <v>3.01</v>
      </c>
      <c r="F35" s="116">
        <v>29.9</v>
      </c>
      <c r="G35" s="117">
        <v>35.3</v>
      </c>
      <c r="H35" s="118">
        <v>42</v>
      </c>
      <c r="I35" s="115">
        <v>4.26</v>
      </c>
      <c r="J35" s="118">
        <v>19</v>
      </c>
      <c r="K35" s="115">
        <v>0.54</v>
      </c>
      <c r="L35" s="169">
        <v>0.8</v>
      </c>
      <c r="M35" s="169">
        <v>8.95</v>
      </c>
      <c r="N35" s="114">
        <v>33</v>
      </c>
      <c r="O35" s="170">
        <v>3.08</v>
      </c>
      <c r="P35" s="114">
        <v>5</v>
      </c>
      <c r="Q35" s="169">
        <v>0.19</v>
      </c>
      <c r="R35" s="169">
        <v>0.74</v>
      </c>
      <c r="S35" s="169">
        <v>8.32</v>
      </c>
      <c r="T35" s="121">
        <v>77.9</v>
      </c>
      <c r="U35" s="119">
        <v>60</v>
      </c>
      <c r="V35" s="193"/>
      <c r="W35" s="194">
        <f t="shared" si="0"/>
        <v>0.764305949008499</v>
      </c>
    </row>
    <row r="36" ht="12.95" customHeight="1" spans="1:23">
      <c r="A36" s="111">
        <v>30</v>
      </c>
      <c r="B36" s="119">
        <v>285</v>
      </c>
      <c r="C36" s="113">
        <v>159</v>
      </c>
      <c r="D36" s="114">
        <v>190</v>
      </c>
      <c r="E36" s="115">
        <v>2.92</v>
      </c>
      <c r="F36" s="116">
        <v>21.5</v>
      </c>
      <c r="G36" s="117">
        <v>27.6</v>
      </c>
      <c r="H36" s="118">
        <v>34</v>
      </c>
      <c r="I36" s="115">
        <v>4.12</v>
      </c>
      <c r="J36" s="118">
        <v>18</v>
      </c>
      <c r="K36" s="115">
        <v>0.53</v>
      </c>
      <c r="L36" s="169">
        <v>0.6</v>
      </c>
      <c r="M36" s="169">
        <v>9.44</v>
      </c>
      <c r="N36" s="114">
        <v>28</v>
      </c>
      <c r="O36" s="170">
        <v>2.88</v>
      </c>
      <c r="P36" s="114">
        <v>5</v>
      </c>
      <c r="Q36" s="169">
        <v>0.2</v>
      </c>
      <c r="R36" s="169">
        <v>0.57</v>
      </c>
      <c r="S36" s="169">
        <v>8.95</v>
      </c>
      <c r="T36" s="121">
        <v>78.1</v>
      </c>
      <c r="U36" s="119">
        <v>20</v>
      </c>
      <c r="V36" s="193"/>
      <c r="W36" s="194">
        <f t="shared" si="0"/>
        <v>0.675724637681159</v>
      </c>
    </row>
    <row r="37" ht="12.95" customHeight="1" spans="1:23">
      <c r="A37" s="111">
        <v>31</v>
      </c>
      <c r="B37" s="119">
        <v>270</v>
      </c>
      <c r="C37" s="113">
        <v>152</v>
      </c>
      <c r="D37" s="114">
        <v>102</v>
      </c>
      <c r="E37" s="115">
        <v>2.22</v>
      </c>
      <c r="F37" s="116">
        <v>24</v>
      </c>
      <c r="G37" s="117">
        <v>29.7</v>
      </c>
      <c r="H37" s="118">
        <v>41</v>
      </c>
      <c r="I37" s="115">
        <v>4.22</v>
      </c>
      <c r="J37" s="118">
        <v>16</v>
      </c>
      <c r="K37" s="115">
        <v>0.52</v>
      </c>
      <c r="L37" s="169">
        <v>0.41</v>
      </c>
      <c r="M37" s="173">
        <v>9.54</v>
      </c>
      <c r="N37" s="114">
        <v>35</v>
      </c>
      <c r="O37" s="170">
        <v>3.06</v>
      </c>
      <c r="P37" s="114">
        <v>5</v>
      </c>
      <c r="Q37" s="169">
        <v>0.21</v>
      </c>
      <c r="R37" s="169">
        <v>0.34</v>
      </c>
      <c r="S37" s="169">
        <v>9.25</v>
      </c>
      <c r="T37" s="121">
        <v>77.7</v>
      </c>
      <c r="U37" s="119" t="s">
        <v>131</v>
      </c>
      <c r="V37" s="193"/>
      <c r="W37" s="194">
        <f t="shared" si="0"/>
        <v>0.688552188552189</v>
      </c>
    </row>
    <row r="38" ht="12.95" customHeight="1" spans="1:21">
      <c r="A38" s="111" t="s">
        <v>71</v>
      </c>
      <c r="B38" s="114">
        <f>ROUND(AVERAGE(B7:B37),0)</f>
        <v>262</v>
      </c>
      <c r="C38" s="114">
        <f>ROUND(AVERAGE(C7:C37),0)</f>
        <v>147</v>
      </c>
      <c r="D38" s="114">
        <f>ROUND(AVERAGE(D7:D37),0)</f>
        <v>160</v>
      </c>
      <c r="E38" s="115">
        <f>ROUND(AVERAGE(E7:E37),2)</f>
        <v>2.46</v>
      </c>
      <c r="F38" s="121">
        <f>ROUND(AVERAGE(F7:F37),1)</f>
        <v>21.1</v>
      </c>
      <c r="G38" s="121">
        <f>ROUND(AVERAGE(G7:G37),1)</f>
        <v>27</v>
      </c>
      <c r="H38" s="126">
        <f>ROUND(AVERAGE(H7:H37),1)</f>
        <v>37.4</v>
      </c>
      <c r="I38" s="174">
        <f>ROUND(AVERAGE(I7:I37),2)</f>
        <v>4.29</v>
      </c>
      <c r="J38" s="175">
        <f>ROUND(AVERAGE(J7:J37),2)</f>
        <v>16.39</v>
      </c>
      <c r="K38" s="174">
        <f>ROUND(AVERAGE(K7:K37),2)</f>
        <v>0.53</v>
      </c>
      <c r="L38" s="174">
        <f>ROUND(AVERAGE(L7:L37),2)</f>
        <v>0.55</v>
      </c>
      <c r="M38" s="173">
        <f>ROUND(AVERAGE(M7:M37),1)</f>
        <v>8.1</v>
      </c>
      <c r="N38" s="114">
        <f>ROUND(AVERAGE(N7:N37),1)</f>
        <v>29</v>
      </c>
      <c r="O38" s="115">
        <f t="shared" ref="O38:T38" si="1">ROUND(AVERAGE(O7:O37),2)</f>
        <v>3.08</v>
      </c>
      <c r="P38" s="115">
        <f t="shared" si="1"/>
        <v>5.06</v>
      </c>
      <c r="Q38" s="169">
        <f t="shared" si="1"/>
        <v>0.16</v>
      </c>
      <c r="R38" s="115">
        <f t="shared" si="1"/>
        <v>0.49</v>
      </c>
      <c r="S38" s="173">
        <f t="shared" si="1"/>
        <v>7.5</v>
      </c>
      <c r="T38" s="117">
        <f t="shared" si="1"/>
        <v>77.86</v>
      </c>
      <c r="U38" s="119" t="s">
        <v>131</v>
      </c>
    </row>
    <row r="39" ht="21" customHeight="1" spans="1:21">
      <c r="A39" s="127" t="s">
        <v>73</v>
      </c>
      <c r="B39" s="128"/>
      <c r="C39" s="128"/>
      <c r="D39" s="129"/>
      <c r="E39" s="130"/>
      <c r="F39" s="131"/>
      <c r="H39"/>
      <c r="I39"/>
      <c r="J39" s="127" t="s">
        <v>74</v>
      </c>
      <c r="K39" s="176"/>
      <c r="L39" s="176"/>
      <c r="M39" s="176"/>
      <c r="N39" s="127"/>
      <c r="O39" s="177"/>
      <c r="P39" s="177"/>
      <c r="Q39" s="195" t="s">
        <v>150</v>
      </c>
      <c r="R39" s="195"/>
      <c r="S39" s="195"/>
      <c r="T39" s="195"/>
      <c r="U39" s="196"/>
    </row>
    <row r="40" ht="21" customHeight="1" spans="1:21">
      <c r="A40" s="132"/>
      <c r="B40" s="133"/>
      <c r="C40" s="134"/>
      <c r="D40" s="135"/>
      <c r="E40" s="136"/>
      <c r="F40" s="137"/>
      <c r="H40"/>
      <c r="I40"/>
      <c r="J40" s="177"/>
      <c r="K40" s="177"/>
      <c r="L40" s="177"/>
      <c r="M40" s="177"/>
      <c r="N40" s="132"/>
      <c r="O40" s="177"/>
      <c r="P40" s="177"/>
      <c r="Q40" s="197"/>
      <c r="R40" s="197"/>
      <c r="S40" s="197"/>
      <c r="T40" s="197"/>
      <c r="U40" s="196"/>
    </row>
    <row r="41" ht="15.75" spans="2:19">
      <c r="B41" s="138" t="s">
        <v>112</v>
      </c>
      <c r="C41" s="138" t="s">
        <v>151</v>
      </c>
      <c r="D41" s="139" t="s">
        <v>152</v>
      </c>
      <c r="E41" s="138" t="s">
        <v>153</v>
      </c>
      <c r="F41" s="138" t="s">
        <v>154</v>
      </c>
      <c r="G41" s="139" t="s">
        <v>152</v>
      </c>
      <c r="H41" s="138" t="s">
        <v>153</v>
      </c>
      <c r="I41" s="139" t="s">
        <v>155</v>
      </c>
      <c r="J41" s="177"/>
      <c r="K41" s="177"/>
      <c r="L41" s="177"/>
      <c r="S41" s="198"/>
    </row>
    <row r="42" ht="30" spans="2:20">
      <c r="B42" s="138"/>
      <c r="C42" s="138"/>
      <c r="D42" s="140" t="s">
        <v>156</v>
      </c>
      <c r="E42" s="138"/>
      <c r="F42" s="138"/>
      <c r="G42" s="140" t="s">
        <v>156</v>
      </c>
      <c r="H42" s="138"/>
      <c r="I42" s="140" t="s">
        <v>157</v>
      </c>
      <c r="J42" s="177"/>
      <c r="K42" s="177"/>
      <c r="L42" s="177"/>
      <c r="M42" s="178"/>
      <c r="N42" s="178"/>
      <c r="O42" s="178"/>
      <c r="P42" s="178"/>
      <c r="Q42" s="178"/>
      <c r="R42" s="178"/>
      <c r="S42" s="199"/>
      <c r="T42" s="199"/>
    </row>
    <row r="43" ht="18" spans="2:18">
      <c r="B43" s="141" t="s">
        <v>158</v>
      </c>
      <c r="C43" s="142">
        <f>B38</f>
        <v>262</v>
      </c>
      <c r="D43" s="143">
        <f>MAX(B7:B37)</f>
        <v>393</v>
      </c>
      <c r="E43" s="143">
        <f>MIN(B7:B37)</f>
        <v>174</v>
      </c>
      <c r="F43" s="144">
        <f>N38</f>
        <v>29</v>
      </c>
      <c r="G43" s="145">
        <f>MAX(N7:N37)</f>
        <v>35</v>
      </c>
      <c r="H43" s="143">
        <f>MIN(N7:N37)</f>
        <v>20</v>
      </c>
      <c r="I43" s="179">
        <f t="shared" ref="I43:I48" si="2">1-F43/C43</f>
        <v>0.889312977099237</v>
      </c>
      <c r="J43" s="161"/>
      <c r="K43" s="141" t="s">
        <v>159</v>
      </c>
      <c r="L43" s="180">
        <f>C44/C43</f>
        <v>0.561068702290076</v>
      </c>
      <c r="M43" s="181"/>
      <c r="N43" s="182"/>
      <c r="O43" s="182"/>
      <c r="P43" s="182"/>
      <c r="Q43" s="181"/>
      <c r="R43" s="186"/>
    </row>
    <row r="44" ht="17.25" spans="2:18">
      <c r="B44" s="146" t="s">
        <v>160</v>
      </c>
      <c r="C44" s="147">
        <f>C38</f>
        <v>147</v>
      </c>
      <c r="D44" s="148">
        <f>MAX(C7:C37)</f>
        <v>219</v>
      </c>
      <c r="E44" s="149">
        <f>MIN(C7:C37)</f>
        <v>97.5</v>
      </c>
      <c r="F44" s="150" t="s">
        <v>161</v>
      </c>
      <c r="G44" s="149" t="s">
        <v>161</v>
      </c>
      <c r="H44" s="149" t="s">
        <v>161</v>
      </c>
      <c r="I44" s="183">
        <f>1-2/C44</f>
        <v>0.986394557823129</v>
      </c>
      <c r="J44" s="161"/>
      <c r="K44" s="146" t="s">
        <v>162</v>
      </c>
      <c r="L44" s="184">
        <f>C44/C48</f>
        <v>5.44444444444444</v>
      </c>
      <c r="M44" s="181"/>
      <c r="N44" s="182"/>
      <c r="O44" s="182"/>
      <c r="P44" s="182"/>
      <c r="Q44" s="181"/>
      <c r="R44" s="186"/>
    </row>
    <row r="45" ht="17.25" spans="2:18">
      <c r="B45" s="146" t="s">
        <v>121</v>
      </c>
      <c r="C45" s="151">
        <f>D38</f>
        <v>160</v>
      </c>
      <c r="D45" s="149">
        <f>MAX(D7:D37)</f>
        <v>288</v>
      </c>
      <c r="E45" s="152">
        <f>MIN(D7:D37)</f>
        <v>80</v>
      </c>
      <c r="F45" s="153">
        <f>P38</f>
        <v>5.06</v>
      </c>
      <c r="G45" s="154">
        <f>MAX(P7:P37)</f>
        <v>7</v>
      </c>
      <c r="H45" s="154">
        <f>MIN(P7:P37)</f>
        <v>5</v>
      </c>
      <c r="I45" s="183">
        <f t="shared" si="2"/>
        <v>0.968375</v>
      </c>
      <c r="J45" s="161"/>
      <c r="K45" s="146" t="s">
        <v>163</v>
      </c>
      <c r="L45" s="185">
        <f>C44/C46</f>
        <v>59.7560975609756</v>
      </c>
      <c r="M45" s="186"/>
      <c r="N45" s="186"/>
      <c r="O45" s="186"/>
      <c r="P45" s="186"/>
      <c r="Q45" s="186"/>
      <c r="R45" s="186"/>
    </row>
    <row r="46" ht="17.25" spans="2:12">
      <c r="B46" s="146" t="s">
        <v>123</v>
      </c>
      <c r="C46" s="153">
        <f>E38</f>
        <v>2.46</v>
      </c>
      <c r="D46" s="149">
        <f>MAX(E7:E37)</f>
        <v>4.94</v>
      </c>
      <c r="E46" s="149">
        <f>MIN(E7:E37)</f>
        <v>1.24</v>
      </c>
      <c r="F46" s="153">
        <f>Q38</f>
        <v>0.16</v>
      </c>
      <c r="G46" s="154">
        <f>MAX(Q7:Q37)</f>
        <v>0.28</v>
      </c>
      <c r="H46" s="154">
        <f>MIN(Q7:Q37)</f>
        <v>0.09</v>
      </c>
      <c r="I46" s="183">
        <f t="shared" si="2"/>
        <v>0.934959349593496</v>
      </c>
      <c r="J46" s="161"/>
      <c r="K46" s="146"/>
      <c r="L46" s="187"/>
    </row>
    <row r="47" ht="17.25" spans="2:12">
      <c r="B47" s="146" t="s">
        <v>164</v>
      </c>
      <c r="C47" s="147">
        <f>F38</f>
        <v>21.1</v>
      </c>
      <c r="D47" s="149">
        <f>MAX(F7:F37)</f>
        <v>31.3</v>
      </c>
      <c r="E47" s="149">
        <f>MIN(F7:F37)</f>
        <v>13</v>
      </c>
      <c r="F47" s="153">
        <f>R38</f>
        <v>0.49</v>
      </c>
      <c r="G47" s="149">
        <f>MAX(R7:R37)</f>
        <v>0.74</v>
      </c>
      <c r="H47" s="154">
        <f>MIN(R7:R37)</f>
        <v>0.28</v>
      </c>
      <c r="I47" s="183">
        <f t="shared" si="2"/>
        <v>0.976777251184834</v>
      </c>
      <c r="J47" s="161"/>
      <c r="K47" s="146"/>
      <c r="L47" s="187"/>
    </row>
    <row r="48" ht="17.25" spans="2:12">
      <c r="B48" s="155" t="s">
        <v>126</v>
      </c>
      <c r="C48" s="156">
        <f>G38</f>
        <v>27</v>
      </c>
      <c r="D48" s="157">
        <f>MAX(G7:G37)</f>
        <v>36.6</v>
      </c>
      <c r="E48" s="157">
        <f>MIN(G7:G37)</f>
        <v>18.5</v>
      </c>
      <c r="F48" s="158">
        <f>S38</f>
        <v>7.5</v>
      </c>
      <c r="G48" s="159">
        <f>MAX(S7:S37)</f>
        <v>10.6</v>
      </c>
      <c r="H48" s="157">
        <f>MIN(S7:S37)</f>
        <v>5.4</v>
      </c>
      <c r="I48" s="188">
        <f t="shared" si="2"/>
        <v>0.722222222222222</v>
      </c>
      <c r="J48" s="161"/>
      <c r="K48" s="155"/>
      <c r="L48" s="189"/>
    </row>
    <row r="49" ht="17.25" spans="2:12">
      <c r="B49" s="160"/>
      <c r="C49" s="161"/>
      <c r="D49" s="161"/>
      <c r="E49" s="161"/>
      <c r="F49" s="161"/>
      <c r="G49" s="161"/>
      <c r="H49" s="162"/>
      <c r="I49" s="161"/>
      <c r="J49" s="161"/>
      <c r="K49" s="162"/>
      <c r="L49" s="161"/>
    </row>
    <row r="50" spans="2:2">
      <c r="B50" s="163"/>
    </row>
    <row r="51" spans="2:2">
      <c r="B51" s="163"/>
    </row>
    <row r="52" spans="2:2">
      <c r="B52" s="163"/>
    </row>
    <row r="53" spans="2:2">
      <c r="B53" s="163"/>
    </row>
    <row r="54" spans="2:2">
      <c r="B54" s="163"/>
    </row>
    <row r="55" spans="2:2">
      <c r="B55" s="163"/>
    </row>
    <row r="56" spans="2:2">
      <c r="B56" s="163"/>
    </row>
    <row r="57" spans="2:2">
      <c r="B57" s="163"/>
    </row>
    <row r="58" spans="2:2">
      <c r="B58" s="163"/>
    </row>
    <row r="59" spans="2:2">
      <c r="B59" s="163"/>
    </row>
    <row r="60" spans="2:2">
      <c r="B60" s="163"/>
    </row>
    <row r="61" spans="2:2">
      <c r="B61" s="163"/>
    </row>
    <row r="62" spans="2:2">
      <c r="B62" s="163"/>
    </row>
    <row r="63" spans="2:2">
      <c r="B63" s="163"/>
    </row>
    <row r="64" spans="2:2">
      <c r="B64" s="163"/>
    </row>
    <row r="65" spans="2:2">
      <c r="B65" s="163"/>
    </row>
    <row r="66" spans="2:2">
      <c r="B66" s="163"/>
    </row>
    <row r="67" spans="2:2">
      <c r="B67" s="163"/>
    </row>
    <row r="68" spans="2:2">
      <c r="B68" s="163"/>
    </row>
  </sheetData>
  <mergeCells count="15">
    <mergeCell ref="A1:U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abSelected="1" workbookViewId="0">
      <selection activeCell="A1" sqref="A1:J38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165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44682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166</v>
      </c>
      <c r="B3" s="6" t="s">
        <v>167</v>
      </c>
      <c r="C3" s="6" t="s">
        <v>168</v>
      </c>
      <c r="D3" s="6" t="s">
        <v>169</v>
      </c>
      <c r="E3" s="60" t="s">
        <v>170</v>
      </c>
      <c r="F3" s="60" t="s">
        <v>171</v>
      </c>
      <c r="G3" s="61" t="s">
        <v>172</v>
      </c>
      <c r="H3" s="62" t="s">
        <v>173</v>
      </c>
      <c r="I3" s="60" t="s">
        <v>174</v>
      </c>
      <c r="J3" s="6" t="s">
        <v>175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176</v>
      </c>
      <c r="E5" s="60" t="s">
        <v>177</v>
      </c>
      <c r="F5" s="60" t="s">
        <v>178</v>
      </c>
      <c r="G5" s="61" t="s">
        <v>178</v>
      </c>
      <c r="H5" s="62" t="s">
        <v>179</v>
      </c>
      <c r="I5" s="60" t="s">
        <v>179</v>
      </c>
      <c r="J5" s="6"/>
    </row>
    <row r="6" customHeight="1" spans="1:10">
      <c r="A6" s="64" t="s">
        <v>180</v>
      </c>
      <c r="B6" s="65" t="s">
        <v>181</v>
      </c>
      <c r="C6" s="65" t="s">
        <v>182</v>
      </c>
      <c r="D6" s="65">
        <v>31</v>
      </c>
      <c r="E6" s="65">
        <v>2</v>
      </c>
      <c r="F6" s="65">
        <v>62</v>
      </c>
      <c r="G6" s="65">
        <v>31</v>
      </c>
      <c r="H6" s="66">
        <v>0.5</v>
      </c>
      <c r="I6" s="66">
        <v>1</v>
      </c>
      <c r="J6" s="65"/>
    </row>
    <row r="7" customHeight="1" spans="1:10">
      <c r="A7" s="64"/>
      <c r="B7" s="65"/>
      <c r="C7" s="65" t="s">
        <v>183</v>
      </c>
      <c r="D7" s="65">
        <v>31</v>
      </c>
      <c r="E7" s="65">
        <v>2</v>
      </c>
      <c r="F7" s="65">
        <v>62</v>
      </c>
      <c r="G7" s="65">
        <v>31</v>
      </c>
      <c r="H7" s="66">
        <v>0.5</v>
      </c>
      <c r="I7" s="66">
        <v>1</v>
      </c>
      <c r="J7" s="65"/>
    </row>
    <row r="8" customHeight="1" spans="1:10">
      <c r="A8" s="64"/>
      <c r="B8" s="65" t="s">
        <v>184</v>
      </c>
      <c r="C8" s="65" t="s">
        <v>72</v>
      </c>
      <c r="D8" s="65">
        <v>31</v>
      </c>
      <c r="E8" s="65">
        <v>2</v>
      </c>
      <c r="F8" s="65">
        <v>62</v>
      </c>
      <c r="G8" s="65">
        <v>31</v>
      </c>
      <c r="H8" s="66">
        <v>0.5</v>
      </c>
      <c r="I8" s="66">
        <v>1</v>
      </c>
      <c r="J8" s="65"/>
    </row>
    <row r="9" customHeight="1" spans="1:10">
      <c r="A9" s="64"/>
      <c r="B9" s="65" t="s">
        <v>185</v>
      </c>
      <c r="C9" s="65" t="s">
        <v>72</v>
      </c>
      <c r="D9" s="65">
        <v>31</v>
      </c>
      <c r="E9" s="65">
        <v>2</v>
      </c>
      <c r="F9" s="65">
        <v>62</v>
      </c>
      <c r="G9" s="65">
        <v>31</v>
      </c>
      <c r="H9" s="66">
        <v>0.5</v>
      </c>
      <c r="I9" s="66">
        <v>1</v>
      </c>
      <c r="J9" s="65"/>
    </row>
    <row r="10" customHeight="1" spans="1:10">
      <c r="A10" s="64"/>
      <c r="B10" s="65" t="s">
        <v>186</v>
      </c>
      <c r="C10" s="65" t="s">
        <v>182</v>
      </c>
      <c r="D10" s="65">
        <v>31</v>
      </c>
      <c r="E10" s="65">
        <v>24</v>
      </c>
      <c r="F10" s="65">
        <v>744</v>
      </c>
      <c r="G10" s="65">
        <v>0</v>
      </c>
      <c r="H10" s="66">
        <v>0</v>
      </c>
      <c r="I10" s="66">
        <v>1</v>
      </c>
      <c r="J10" s="65"/>
    </row>
    <row r="11" customHeight="1" spans="1:10">
      <c r="A11" s="64"/>
      <c r="B11" s="65"/>
      <c r="C11" s="65" t="s">
        <v>183</v>
      </c>
      <c r="D11" s="65">
        <v>31</v>
      </c>
      <c r="E11" s="65">
        <v>24</v>
      </c>
      <c r="F11" s="65">
        <v>744</v>
      </c>
      <c r="G11" s="65">
        <v>506</v>
      </c>
      <c r="H11" s="66">
        <v>0.68010752688172</v>
      </c>
      <c r="I11" s="66">
        <v>1</v>
      </c>
      <c r="J11" s="65"/>
    </row>
    <row r="12" customHeight="1" spans="1:10">
      <c r="A12" s="64"/>
      <c r="B12" s="65"/>
      <c r="C12" s="65" t="s">
        <v>187</v>
      </c>
      <c r="D12" s="65">
        <v>31</v>
      </c>
      <c r="E12" s="65">
        <v>24</v>
      </c>
      <c r="F12" s="65">
        <v>744</v>
      </c>
      <c r="G12" s="65">
        <v>736</v>
      </c>
      <c r="H12" s="66">
        <v>0.989247311827957</v>
      </c>
      <c r="I12" s="66">
        <v>1</v>
      </c>
      <c r="J12" s="65"/>
    </row>
    <row r="13" customHeight="1" spans="1:10">
      <c r="A13" s="64"/>
      <c r="B13" s="65"/>
      <c r="C13" s="65" t="s">
        <v>188</v>
      </c>
      <c r="D13" s="65">
        <v>31</v>
      </c>
      <c r="E13" s="65">
        <v>24</v>
      </c>
      <c r="F13" s="65">
        <v>744</v>
      </c>
      <c r="G13" s="65">
        <v>262</v>
      </c>
      <c r="H13" s="66">
        <v>0.352150537634409</v>
      </c>
      <c r="I13" s="66">
        <v>1</v>
      </c>
      <c r="J13" s="65"/>
    </row>
    <row r="14" customHeight="1" spans="1:10">
      <c r="A14" s="64"/>
      <c r="B14" s="65"/>
      <c r="C14" s="65" t="s">
        <v>189</v>
      </c>
      <c r="D14" s="65">
        <v>31</v>
      </c>
      <c r="E14" s="65">
        <v>24</v>
      </c>
      <c r="F14" s="65">
        <v>744</v>
      </c>
      <c r="G14" s="65">
        <v>684</v>
      </c>
      <c r="H14" s="66">
        <v>0.919354838709677</v>
      </c>
      <c r="I14" s="66">
        <v>1</v>
      </c>
      <c r="J14" s="65"/>
    </row>
    <row r="15" customHeight="1" spans="1:10">
      <c r="A15" s="64"/>
      <c r="B15" s="65" t="s">
        <v>190</v>
      </c>
      <c r="C15" s="65" t="s">
        <v>182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 t="s">
        <v>191</v>
      </c>
    </row>
    <row r="16" customHeight="1" spans="1:10">
      <c r="A16" s="64"/>
      <c r="B16" s="65"/>
      <c r="C16" s="65" t="s">
        <v>183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 t="s">
        <v>191</v>
      </c>
    </row>
    <row r="17" customHeight="1" spans="1:10">
      <c r="A17" s="64"/>
      <c r="B17" s="65"/>
      <c r="C17" s="65" t="s">
        <v>187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 t="s">
        <v>191</v>
      </c>
    </row>
    <row r="18" customHeight="1" spans="1:10">
      <c r="A18" s="64"/>
      <c r="B18" s="65"/>
      <c r="C18" s="65" t="s">
        <v>188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 t="s">
        <v>191</v>
      </c>
    </row>
    <row r="19" customHeight="1" spans="1:10">
      <c r="A19" s="64"/>
      <c r="B19" s="65"/>
      <c r="C19" s="65" t="s">
        <v>189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 t="s">
        <v>191</v>
      </c>
    </row>
    <row r="20" customHeight="1" spans="1:10">
      <c r="A20" s="64"/>
      <c r="B20" s="65"/>
      <c r="C20" s="65" t="s">
        <v>192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 t="s">
        <v>191</v>
      </c>
    </row>
    <row r="21" customHeight="1" spans="1:10">
      <c r="A21" s="64"/>
      <c r="B21" s="65" t="s">
        <v>184</v>
      </c>
      <c r="C21" s="65" t="s">
        <v>182</v>
      </c>
      <c r="D21" s="65">
        <v>31</v>
      </c>
      <c r="E21" s="65">
        <v>2</v>
      </c>
      <c r="F21" s="65">
        <v>62</v>
      </c>
      <c r="G21" s="65">
        <v>15.5</v>
      </c>
      <c r="H21" s="66">
        <v>0.25</v>
      </c>
      <c r="I21" s="66">
        <v>1</v>
      </c>
      <c r="J21" s="65" t="s">
        <v>191</v>
      </c>
    </row>
    <row r="22" customHeight="1" spans="1:10">
      <c r="A22" s="64"/>
      <c r="B22" s="65"/>
      <c r="C22" s="65" t="s">
        <v>183</v>
      </c>
      <c r="D22" s="65">
        <v>31</v>
      </c>
      <c r="E22" s="65">
        <v>2</v>
      </c>
      <c r="F22" s="65">
        <v>62</v>
      </c>
      <c r="G22" s="65">
        <v>15.5</v>
      </c>
      <c r="H22" s="66">
        <v>0.25</v>
      </c>
      <c r="I22" s="66">
        <v>1</v>
      </c>
      <c r="J22" s="65" t="s">
        <v>191</v>
      </c>
    </row>
    <row r="23" customHeight="1" spans="1:10">
      <c r="A23" s="64"/>
      <c r="B23" s="65" t="s">
        <v>185</v>
      </c>
      <c r="C23" s="65" t="s">
        <v>182</v>
      </c>
      <c r="D23" s="65">
        <v>31</v>
      </c>
      <c r="E23" s="65">
        <v>2</v>
      </c>
      <c r="F23" s="65">
        <v>62</v>
      </c>
      <c r="G23" s="65">
        <v>15.5</v>
      </c>
      <c r="H23" s="66">
        <v>0.25</v>
      </c>
      <c r="I23" s="66">
        <v>1</v>
      </c>
      <c r="J23" s="65" t="s">
        <v>191</v>
      </c>
    </row>
    <row r="24" customHeight="1" spans="1:10">
      <c r="A24" s="64"/>
      <c r="B24" s="65"/>
      <c r="C24" s="65" t="s">
        <v>183</v>
      </c>
      <c r="D24" s="65">
        <v>31</v>
      </c>
      <c r="E24" s="65">
        <v>2</v>
      </c>
      <c r="F24" s="65">
        <v>62</v>
      </c>
      <c r="G24" s="65">
        <v>15.5</v>
      </c>
      <c r="H24" s="66">
        <v>0.25</v>
      </c>
      <c r="I24" s="66">
        <v>1</v>
      </c>
      <c r="J24" s="65" t="s">
        <v>191</v>
      </c>
    </row>
    <row r="25" customHeight="1" spans="1:10">
      <c r="A25" s="64"/>
      <c r="B25" s="65" t="s">
        <v>193</v>
      </c>
      <c r="C25" s="65" t="s">
        <v>182</v>
      </c>
      <c r="D25" s="65">
        <v>31</v>
      </c>
      <c r="E25" s="65">
        <v>24</v>
      </c>
      <c r="F25" s="65">
        <v>744</v>
      </c>
      <c r="G25" s="65">
        <v>15.5</v>
      </c>
      <c r="H25" s="66">
        <v>0.0208333333333333</v>
      </c>
      <c r="I25" s="66">
        <v>0.02</v>
      </c>
      <c r="J25" s="65"/>
    </row>
    <row r="26" customHeight="1" spans="1:10">
      <c r="A26" s="64"/>
      <c r="B26" s="65" t="s">
        <v>194</v>
      </c>
      <c r="C26" s="65" t="s">
        <v>182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 t="s">
        <v>191</v>
      </c>
    </row>
    <row r="27" customHeight="1" spans="1:10">
      <c r="A27" s="64"/>
      <c r="B27" s="65" t="s">
        <v>193</v>
      </c>
      <c r="C27" s="65" t="s">
        <v>183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0</v>
      </c>
      <c r="J27" s="65"/>
    </row>
    <row r="28" customHeight="1" spans="1:10">
      <c r="A28" s="64"/>
      <c r="B28" s="65" t="s">
        <v>194</v>
      </c>
      <c r="C28" s="65" t="s">
        <v>183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 t="s">
        <v>191</v>
      </c>
    </row>
    <row r="29" customHeight="1" spans="1:10">
      <c r="A29" s="64"/>
      <c r="B29" s="65" t="s">
        <v>193</v>
      </c>
      <c r="C29" s="65" t="s">
        <v>187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 t="s">
        <v>191</v>
      </c>
    </row>
    <row r="30" customHeight="1" spans="1:10">
      <c r="A30" s="64"/>
      <c r="B30" s="65" t="s">
        <v>194</v>
      </c>
      <c r="C30" s="65" t="s">
        <v>187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 t="s">
        <v>191</v>
      </c>
    </row>
    <row r="31" customHeight="1" spans="1:10">
      <c r="A31" s="64"/>
      <c r="B31" s="65" t="s">
        <v>193</v>
      </c>
      <c r="C31" s="65" t="s">
        <v>188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0</v>
      </c>
      <c r="J31" s="65"/>
    </row>
    <row r="32" customHeight="1" spans="1:10">
      <c r="A32" s="64"/>
      <c r="B32" s="65" t="s">
        <v>194</v>
      </c>
      <c r="C32" s="65" t="s">
        <v>188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 t="s">
        <v>191</v>
      </c>
    </row>
    <row r="33" customHeight="1" spans="1:10">
      <c r="A33" s="64"/>
      <c r="B33" s="65" t="s">
        <v>195</v>
      </c>
      <c r="C33" s="65" t="s">
        <v>182</v>
      </c>
      <c r="D33" s="65">
        <v>31</v>
      </c>
      <c r="E33" s="65">
        <v>24</v>
      </c>
      <c r="F33" s="65">
        <v>744</v>
      </c>
      <c r="G33" s="65">
        <v>268</v>
      </c>
      <c r="H33" s="66">
        <v>0.360215053763441</v>
      </c>
      <c r="I33" s="66">
        <v>1</v>
      </c>
      <c r="J33" s="65" t="s">
        <v>196</v>
      </c>
    </row>
    <row r="34" customHeight="1" spans="1:10">
      <c r="A34" s="64"/>
      <c r="B34" s="65"/>
      <c r="C34" s="65" t="s">
        <v>183</v>
      </c>
      <c r="D34" s="65">
        <v>31</v>
      </c>
      <c r="E34" s="65">
        <v>24</v>
      </c>
      <c r="F34" s="65">
        <v>744</v>
      </c>
      <c r="G34" s="65">
        <v>126</v>
      </c>
      <c r="H34" s="66">
        <v>0.169354838709677</v>
      </c>
      <c r="I34" s="66">
        <v>1</v>
      </c>
      <c r="J34" s="65"/>
    </row>
    <row r="35" customHeight="1" spans="1:10">
      <c r="A35" s="64"/>
      <c r="B35" s="65"/>
      <c r="C35" s="65" t="s">
        <v>187</v>
      </c>
      <c r="D35" s="65">
        <v>31</v>
      </c>
      <c r="E35" s="65">
        <v>24</v>
      </c>
      <c r="F35" s="65">
        <v>744</v>
      </c>
      <c r="G35" s="65">
        <v>310</v>
      </c>
      <c r="H35" s="66">
        <v>0.416666666666667</v>
      </c>
      <c r="I35" s="66">
        <v>1</v>
      </c>
      <c r="J35" s="65" t="s">
        <v>197</v>
      </c>
    </row>
    <row r="36" customHeight="1" spans="1:10">
      <c r="A36" s="64"/>
      <c r="B36" s="65"/>
      <c r="C36" s="65" t="s">
        <v>188</v>
      </c>
      <c r="D36" s="65">
        <v>31</v>
      </c>
      <c r="E36" s="65">
        <v>24</v>
      </c>
      <c r="F36" s="65">
        <v>744</v>
      </c>
      <c r="G36" s="65">
        <v>234</v>
      </c>
      <c r="H36" s="66">
        <v>0.314516129032258</v>
      </c>
      <c r="I36" s="66">
        <v>1</v>
      </c>
      <c r="J36" s="65"/>
    </row>
    <row r="37" customHeight="1" spans="1:10">
      <c r="A37" s="64"/>
      <c r="B37" s="65"/>
      <c r="C37" s="65" t="s">
        <v>189</v>
      </c>
      <c r="D37" s="65">
        <v>31</v>
      </c>
      <c r="E37" s="65">
        <v>24</v>
      </c>
      <c r="F37" s="65">
        <v>744</v>
      </c>
      <c r="G37" s="65">
        <v>632</v>
      </c>
      <c r="H37" s="66">
        <v>0.849462365591398</v>
      </c>
      <c r="I37" s="66">
        <v>1</v>
      </c>
      <c r="J37" s="65" t="s">
        <v>198</v>
      </c>
    </row>
    <row r="38" customHeight="1" spans="1:10">
      <c r="A38" s="67" t="s">
        <v>73</v>
      </c>
      <c r="B38" s="67"/>
      <c r="C38" s="15"/>
      <c r="D38" s="15"/>
      <c r="E38" s="68" t="s">
        <v>74</v>
      </c>
      <c r="F38" s="68"/>
      <c r="G38" s="69"/>
      <c r="H38" s="10" t="s">
        <v>150</v>
      </c>
      <c r="I38" s="10"/>
      <c r="J38" s="10"/>
    </row>
    <row r="39" ht="34" customHeight="1"/>
    <row r="46" ht="33" customHeight="1" spans="1:10">
      <c r="A46" s="57" t="s">
        <v>165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44682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166</v>
      </c>
      <c r="B48" s="6" t="s">
        <v>167</v>
      </c>
      <c r="C48" s="6" t="s">
        <v>168</v>
      </c>
      <c r="D48" s="6" t="s">
        <v>169</v>
      </c>
      <c r="E48" s="60" t="s">
        <v>170</v>
      </c>
      <c r="F48" s="60" t="s">
        <v>171</v>
      </c>
      <c r="G48" s="61" t="s">
        <v>172</v>
      </c>
      <c r="H48" s="62" t="s">
        <v>173</v>
      </c>
      <c r="I48" s="60" t="s">
        <v>174</v>
      </c>
      <c r="J48" s="6" t="s">
        <v>175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176</v>
      </c>
      <c r="E50" s="72" t="s">
        <v>177</v>
      </c>
      <c r="F50" s="72" t="s">
        <v>178</v>
      </c>
      <c r="G50" s="73" t="s">
        <v>178</v>
      </c>
      <c r="H50" s="74" t="s">
        <v>179</v>
      </c>
      <c r="I50" s="60" t="s">
        <v>179</v>
      </c>
      <c r="J50" s="6"/>
    </row>
    <row r="51" customHeight="1" spans="1:10">
      <c r="A51" s="75" t="s">
        <v>199</v>
      </c>
      <c r="B51" s="64" t="s">
        <v>200</v>
      </c>
      <c r="C51" s="65" t="s">
        <v>182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7">
        <v>1</v>
      </c>
      <c r="J51" s="65"/>
    </row>
    <row r="52" customHeight="1" spans="1:10">
      <c r="A52" s="76"/>
      <c r="B52" s="65"/>
      <c r="C52" s="65" t="s">
        <v>183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7">
        <v>1</v>
      </c>
      <c r="J52" s="65"/>
    </row>
    <row r="53" customHeight="1" spans="1:10">
      <c r="A53" s="76"/>
      <c r="B53" s="65"/>
      <c r="C53" s="65" t="s">
        <v>187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7">
        <v>1</v>
      </c>
      <c r="J53" s="65"/>
    </row>
    <row r="54" customHeight="1" spans="1:10">
      <c r="A54" s="76"/>
      <c r="B54" s="65"/>
      <c r="C54" s="65" t="s">
        <v>188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7">
        <v>1</v>
      </c>
      <c r="J54" s="65"/>
    </row>
    <row r="55" customHeight="1" spans="1:10">
      <c r="A55" s="76"/>
      <c r="B55" s="65"/>
      <c r="C55" s="65" t="s">
        <v>189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7">
        <v>1</v>
      </c>
      <c r="J55" s="65"/>
    </row>
    <row r="56" customHeight="1" spans="1:10">
      <c r="A56" s="76"/>
      <c r="B56" s="65"/>
      <c r="C56" s="65" t="s">
        <v>192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7">
        <v>1</v>
      </c>
      <c r="J56" s="65"/>
    </row>
    <row r="57" customHeight="1" spans="1:10">
      <c r="A57" s="76"/>
      <c r="B57" s="65"/>
      <c r="C57" s="65" t="s">
        <v>201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7">
        <v>1</v>
      </c>
      <c r="J57" s="65"/>
    </row>
    <row r="58" customHeight="1" spans="1:10">
      <c r="A58" s="76"/>
      <c r="B58" s="65"/>
      <c r="C58" s="65" t="s">
        <v>202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7">
        <v>1</v>
      </c>
      <c r="J58" s="65"/>
    </row>
    <row r="59" customHeight="1" spans="1:10">
      <c r="A59" s="76"/>
      <c r="B59" s="65"/>
      <c r="C59" s="65" t="s">
        <v>203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7">
        <v>1</v>
      </c>
      <c r="J59" s="65"/>
    </row>
    <row r="60" customHeight="1" spans="1:10">
      <c r="A60" s="76"/>
      <c r="B60" s="65"/>
      <c r="C60" s="65" t="s">
        <v>204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7">
        <v>1</v>
      </c>
      <c r="J60" s="65"/>
    </row>
    <row r="61" customHeight="1" spans="1:10">
      <c r="A61" s="76"/>
      <c r="B61" s="65"/>
      <c r="C61" s="65" t="s">
        <v>205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7">
        <v>1</v>
      </c>
      <c r="J61" s="65"/>
    </row>
    <row r="62" customHeight="1" spans="1:10">
      <c r="A62" s="76"/>
      <c r="B62" s="65"/>
      <c r="C62" s="65" t="s">
        <v>206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7">
        <v>1</v>
      </c>
      <c r="J62" s="65"/>
    </row>
    <row r="63" customHeight="1" spans="1:10">
      <c r="A63" s="76"/>
      <c r="B63" s="65"/>
      <c r="C63" s="65" t="s">
        <v>207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7">
        <v>1</v>
      </c>
      <c r="J63" s="65"/>
    </row>
    <row r="64" customHeight="1" spans="1:10">
      <c r="A64" s="76"/>
      <c r="B64" s="65"/>
      <c r="C64" s="65" t="s">
        <v>208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7">
        <v>1</v>
      </c>
      <c r="J64" s="65"/>
    </row>
    <row r="65" customHeight="1" spans="1:10">
      <c r="A65" s="76"/>
      <c r="B65" s="65"/>
      <c r="C65" s="65" t="s">
        <v>209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7">
        <v>1</v>
      </c>
      <c r="J65" s="65"/>
    </row>
    <row r="66" customHeight="1" spans="1:10">
      <c r="A66" s="76"/>
      <c r="B66" s="65"/>
      <c r="C66" s="65" t="s">
        <v>210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7">
        <v>1</v>
      </c>
      <c r="J66" s="65"/>
    </row>
    <row r="67" customHeight="1" spans="1:10">
      <c r="A67" s="76"/>
      <c r="B67" s="65"/>
      <c r="C67" s="65" t="s">
        <v>211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7">
        <v>1</v>
      </c>
      <c r="J67" s="65"/>
    </row>
    <row r="68" customHeight="1" spans="1:10">
      <c r="A68" s="76"/>
      <c r="B68" s="65"/>
      <c r="C68" s="65" t="s">
        <v>212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7">
        <v>1</v>
      </c>
      <c r="J68" s="65"/>
    </row>
    <row r="69" customHeight="1" spans="1:10">
      <c r="A69" s="76"/>
      <c r="B69" s="64" t="s">
        <v>213</v>
      </c>
      <c r="C69" s="65" t="s">
        <v>214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7">
        <v>1</v>
      </c>
      <c r="J69" s="65"/>
    </row>
    <row r="70" customHeight="1" spans="1:10">
      <c r="A70" s="76"/>
      <c r="B70" s="65"/>
      <c r="C70" s="65" t="s">
        <v>215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7">
        <v>1</v>
      </c>
      <c r="J70" s="65"/>
    </row>
    <row r="71" customHeight="1" spans="1:10">
      <c r="A71" s="76"/>
      <c r="B71" s="65"/>
      <c r="C71" s="65" t="s">
        <v>216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7">
        <v>1</v>
      </c>
      <c r="J71" s="65"/>
    </row>
    <row r="72" customHeight="1" spans="1:10">
      <c r="A72" s="76"/>
      <c r="B72" s="65"/>
      <c r="C72" s="65" t="s">
        <v>217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7">
        <v>1</v>
      </c>
      <c r="J72" s="65"/>
    </row>
    <row r="73" customHeight="1" spans="1:10">
      <c r="A73" s="76"/>
      <c r="B73" s="65"/>
      <c r="C73" s="65" t="s">
        <v>218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7">
        <v>1</v>
      </c>
      <c r="J73" s="65"/>
    </row>
    <row r="74" customHeight="1" spans="1:10">
      <c r="A74" s="76"/>
      <c r="B74" s="65"/>
      <c r="C74" s="65" t="s">
        <v>219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7">
        <v>1</v>
      </c>
      <c r="J74" s="65"/>
    </row>
    <row r="75" customHeight="1" spans="1:10">
      <c r="A75" s="76"/>
      <c r="B75" s="65"/>
      <c r="C75" s="65" t="s">
        <v>220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7">
        <v>1</v>
      </c>
      <c r="J75" s="65"/>
    </row>
    <row r="76" customHeight="1" spans="1:10">
      <c r="A76" s="76"/>
      <c r="B76" s="65"/>
      <c r="C76" s="65" t="s">
        <v>221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7">
        <v>1</v>
      </c>
      <c r="J76" s="65"/>
    </row>
    <row r="77" customHeight="1" spans="1:10">
      <c r="A77" s="76"/>
      <c r="B77" s="65"/>
      <c r="C77" s="65" t="s">
        <v>222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7">
        <v>1</v>
      </c>
      <c r="J77" s="65"/>
    </row>
    <row r="78" customHeight="1" spans="1:10">
      <c r="A78" s="76"/>
      <c r="B78" s="65"/>
      <c r="C78" s="65" t="s">
        <v>223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7">
        <v>1</v>
      </c>
      <c r="J78" s="65"/>
    </row>
    <row r="79" customHeight="1" spans="1:10">
      <c r="A79" s="76"/>
      <c r="B79" s="65"/>
      <c r="C79" s="65" t="s">
        <v>224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7">
        <v>1</v>
      </c>
      <c r="J79" s="65"/>
    </row>
    <row r="80" customHeight="1" spans="1:10">
      <c r="A80" s="76"/>
      <c r="B80" s="65"/>
      <c r="C80" s="65" t="s">
        <v>225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7">
        <v>1</v>
      </c>
      <c r="J80" s="65"/>
    </row>
    <row r="81" customHeight="1" spans="1:10">
      <c r="A81" s="76"/>
      <c r="B81" s="65"/>
      <c r="C81" s="65" t="s">
        <v>226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7">
        <v>1</v>
      </c>
      <c r="J81" s="65"/>
    </row>
    <row r="82" customHeight="1" spans="1:10">
      <c r="A82" s="76"/>
      <c r="B82" s="65"/>
      <c r="C82" s="65" t="s">
        <v>227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7">
        <v>1</v>
      </c>
      <c r="J82" s="65"/>
    </row>
    <row r="83" customHeight="1" spans="1:10">
      <c r="A83" s="76"/>
      <c r="B83" s="65"/>
      <c r="C83" s="65" t="s">
        <v>228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7">
        <v>1</v>
      </c>
      <c r="J83" s="65"/>
    </row>
    <row r="84" customHeight="1" spans="1:10">
      <c r="A84" s="76"/>
      <c r="B84" s="65"/>
      <c r="C84" s="65" t="s">
        <v>229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7">
        <v>1</v>
      </c>
      <c r="J84" s="65"/>
    </row>
    <row r="85" customHeight="1" spans="1:10">
      <c r="A85" s="76"/>
      <c r="B85" s="65"/>
      <c r="C85" s="65" t="s">
        <v>230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7">
        <v>1</v>
      </c>
      <c r="J85" s="65"/>
    </row>
    <row r="86" customHeight="1" spans="1:10">
      <c r="A86" s="78"/>
      <c r="B86" s="65"/>
      <c r="C86" s="65" t="s">
        <v>231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7">
        <v>1</v>
      </c>
      <c r="J86" s="65"/>
    </row>
    <row r="87" customHeight="1" spans="1:10">
      <c r="A87" s="67" t="s">
        <v>73</v>
      </c>
      <c r="B87" s="67"/>
      <c r="C87" s="15"/>
      <c r="D87" s="15"/>
      <c r="E87" s="68" t="s">
        <v>74</v>
      </c>
      <c r="F87" s="68"/>
      <c r="G87" s="69"/>
      <c r="H87" s="10" t="str">
        <f>H38</f>
        <v>制表时间：2022/6/6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165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44682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166</v>
      </c>
      <c r="B93" s="6" t="s">
        <v>167</v>
      </c>
      <c r="C93" s="6" t="s">
        <v>168</v>
      </c>
      <c r="D93" s="6" t="s">
        <v>169</v>
      </c>
      <c r="E93" s="60" t="s">
        <v>170</v>
      </c>
      <c r="F93" s="60" t="s">
        <v>171</v>
      </c>
      <c r="G93" s="61" t="s">
        <v>172</v>
      </c>
      <c r="H93" s="62" t="s">
        <v>173</v>
      </c>
      <c r="I93" s="60" t="s">
        <v>174</v>
      </c>
      <c r="J93" s="6" t="s">
        <v>175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176</v>
      </c>
      <c r="E95" s="60" t="s">
        <v>177</v>
      </c>
      <c r="F95" s="60" t="s">
        <v>178</v>
      </c>
      <c r="G95" s="61" t="s">
        <v>178</v>
      </c>
      <c r="H95" s="62" t="s">
        <v>179</v>
      </c>
      <c r="I95" s="60" t="s">
        <v>179</v>
      </c>
      <c r="J95" s="6"/>
    </row>
    <row r="96" customHeight="1" spans="1:10">
      <c r="A96" s="64" t="s">
        <v>199</v>
      </c>
      <c r="B96" s="64" t="s">
        <v>232</v>
      </c>
      <c r="C96" s="65" t="s">
        <v>182</v>
      </c>
      <c r="D96" s="65">
        <v>31</v>
      </c>
      <c r="E96" s="65">
        <v>24</v>
      </c>
      <c r="F96" s="65">
        <v>744</v>
      </c>
      <c r="G96" s="65">
        <v>0</v>
      </c>
      <c r="H96" s="79">
        <v>0</v>
      </c>
      <c r="I96" s="66">
        <v>1</v>
      </c>
      <c r="J96" s="65"/>
    </row>
    <row r="97" customHeight="1" spans="1:10">
      <c r="A97" s="65"/>
      <c r="B97" s="65"/>
      <c r="C97" s="65" t="s">
        <v>183</v>
      </c>
      <c r="D97" s="65">
        <v>31</v>
      </c>
      <c r="E97" s="65">
        <v>24</v>
      </c>
      <c r="F97" s="65">
        <v>744</v>
      </c>
      <c r="G97" s="65">
        <v>0</v>
      </c>
      <c r="H97" s="79">
        <v>0</v>
      </c>
      <c r="I97" s="66">
        <v>1</v>
      </c>
      <c r="J97" s="65"/>
    </row>
    <row r="98" customHeight="1" spans="1:10">
      <c r="A98" s="65"/>
      <c r="B98" s="64" t="s">
        <v>233</v>
      </c>
      <c r="C98" s="65" t="s">
        <v>182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 t="s">
        <v>234</v>
      </c>
    </row>
    <row r="99" customHeight="1" spans="1:10">
      <c r="A99" s="65"/>
      <c r="B99" s="65"/>
      <c r="C99" s="65" t="s">
        <v>183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 t="s">
        <v>234</v>
      </c>
    </row>
    <row r="100" customHeight="1" spans="1:10">
      <c r="A100" s="65"/>
      <c r="B100" s="65"/>
      <c r="C100" s="65" t="s">
        <v>187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 t="s">
        <v>234</v>
      </c>
    </row>
    <row r="101" customHeight="1" spans="1:10">
      <c r="A101" s="65"/>
      <c r="B101" s="65"/>
      <c r="C101" s="65" t="s">
        <v>188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 t="s">
        <v>234</v>
      </c>
    </row>
    <row r="102" customHeight="1" spans="1:10">
      <c r="A102" s="65"/>
      <c r="B102" s="65"/>
      <c r="C102" s="65" t="s">
        <v>189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 t="s">
        <v>234</v>
      </c>
    </row>
    <row r="103" customHeight="1" spans="1:10">
      <c r="A103" s="65"/>
      <c r="B103" s="65"/>
      <c r="C103" s="65" t="s">
        <v>192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 t="s">
        <v>234</v>
      </c>
    </row>
    <row r="104" customHeight="1" spans="1:10">
      <c r="A104" s="65"/>
      <c r="B104" s="64" t="s">
        <v>235</v>
      </c>
      <c r="C104" s="65" t="s">
        <v>182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 t="s">
        <v>234</v>
      </c>
    </row>
    <row r="105" customHeight="1" spans="1:10">
      <c r="A105" s="65"/>
      <c r="B105" s="65"/>
      <c r="C105" s="65" t="s">
        <v>183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 t="s">
        <v>234</v>
      </c>
    </row>
    <row r="106" customHeight="1" spans="1:10">
      <c r="A106" s="65"/>
      <c r="B106" s="65"/>
      <c r="C106" s="65" t="s">
        <v>187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 t="s">
        <v>234</v>
      </c>
    </row>
    <row r="107" customHeight="1" spans="1:10">
      <c r="A107" s="65"/>
      <c r="B107" s="64" t="s">
        <v>236</v>
      </c>
      <c r="C107" s="65" t="s">
        <v>182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 t="s">
        <v>234</v>
      </c>
    </row>
    <row r="108" customHeight="1" spans="1:10">
      <c r="A108" s="65"/>
      <c r="B108" s="65"/>
      <c r="C108" s="65" t="s">
        <v>183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 t="s">
        <v>234</v>
      </c>
    </row>
    <row r="109" customHeight="1" spans="1:10">
      <c r="A109" s="65"/>
      <c r="B109" s="65"/>
      <c r="C109" s="65" t="s">
        <v>187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 t="s">
        <v>234</v>
      </c>
    </row>
    <row r="110" customHeight="1" spans="1:10">
      <c r="A110" s="65"/>
      <c r="B110" s="65"/>
      <c r="C110" s="65" t="s">
        <v>188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 t="s">
        <v>234</v>
      </c>
    </row>
    <row r="111" customHeight="1" spans="1:10">
      <c r="A111" s="80" t="s">
        <v>237</v>
      </c>
      <c r="B111" s="80" t="s">
        <v>238</v>
      </c>
      <c r="C111" s="65" t="s">
        <v>182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/>
    </row>
    <row r="112" customHeight="1" spans="1:10">
      <c r="A112" s="81"/>
      <c r="B112" s="82"/>
      <c r="C112" s="65" t="s">
        <v>183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/>
    </row>
    <row r="113" customHeight="1" spans="1:10">
      <c r="A113" s="81"/>
      <c r="B113" s="82"/>
      <c r="C113" s="65" t="s">
        <v>187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/>
    </row>
    <row r="114" customHeight="1" spans="1:10">
      <c r="A114" s="81"/>
      <c r="B114" s="82"/>
      <c r="C114" s="65" t="s">
        <v>188</v>
      </c>
      <c r="D114" s="65">
        <v>31</v>
      </c>
      <c r="E114" s="65">
        <v>24</v>
      </c>
      <c r="F114" s="65">
        <v>744</v>
      </c>
      <c r="G114" s="65">
        <v>744</v>
      </c>
      <c r="H114" s="66">
        <v>1</v>
      </c>
      <c r="I114" s="66">
        <v>1</v>
      </c>
      <c r="J114" s="65"/>
    </row>
    <row r="115" customHeight="1" spans="1:10">
      <c r="A115" s="81"/>
      <c r="B115" s="82"/>
      <c r="C115" s="65" t="s">
        <v>189</v>
      </c>
      <c r="D115" s="65">
        <v>31</v>
      </c>
      <c r="E115" s="65">
        <v>24</v>
      </c>
      <c r="F115" s="65">
        <v>744</v>
      </c>
      <c r="G115" s="65">
        <v>744</v>
      </c>
      <c r="H115" s="66">
        <v>1</v>
      </c>
      <c r="I115" s="66">
        <v>1</v>
      </c>
      <c r="J115" s="65"/>
    </row>
    <row r="116" customHeight="1" spans="1:10">
      <c r="A116" s="81"/>
      <c r="B116" s="82"/>
      <c r="C116" s="65" t="s">
        <v>192</v>
      </c>
      <c r="D116" s="65">
        <v>31</v>
      </c>
      <c r="E116" s="65">
        <v>24</v>
      </c>
      <c r="F116" s="65">
        <v>744</v>
      </c>
      <c r="G116" s="65">
        <v>744</v>
      </c>
      <c r="H116" s="66">
        <v>1</v>
      </c>
      <c r="I116" s="66">
        <v>1</v>
      </c>
      <c r="J116" s="65"/>
    </row>
    <row r="117" customHeight="1" spans="1:10">
      <c r="A117" s="81"/>
      <c r="B117" s="82"/>
      <c r="C117" s="65" t="s">
        <v>201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/>
    </row>
    <row r="118" customHeight="1" spans="1:10">
      <c r="A118" s="81"/>
      <c r="B118" s="82"/>
      <c r="C118" s="65" t="s">
        <v>202</v>
      </c>
      <c r="D118" s="65">
        <v>31</v>
      </c>
      <c r="E118" s="65">
        <v>24</v>
      </c>
      <c r="F118" s="65">
        <v>744</v>
      </c>
      <c r="G118" s="65">
        <v>744</v>
      </c>
      <c r="H118" s="66">
        <v>1</v>
      </c>
      <c r="I118" s="66">
        <v>1</v>
      </c>
      <c r="J118" s="65"/>
    </row>
    <row r="119" customHeight="1" spans="1:10">
      <c r="A119" s="81"/>
      <c r="B119" s="82"/>
      <c r="C119" s="65" t="s">
        <v>203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/>
    </row>
    <row r="120" customHeight="1" spans="1:10">
      <c r="A120" s="81"/>
      <c r="B120" s="82"/>
      <c r="C120" s="65" t="s">
        <v>204</v>
      </c>
      <c r="D120" s="65">
        <v>31</v>
      </c>
      <c r="E120" s="65">
        <v>24</v>
      </c>
      <c r="F120" s="65">
        <v>744</v>
      </c>
      <c r="G120" s="65">
        <v>744</v>
      </c>
      <c r="H120" s="66">
        <v>1</v>
      </c>
      <c r="I120" s="66">
        <v>1</v>
      </c>
      <c r="J120" s="65"/>
    </row>
    <row r="121" customHeight="1" spans="1:10">
      <c r="A121" s="81"/>
      <c r="B121" s="82"/>
      <c r="C121" s="65" t="s">
        <v>205</v>
      </c>
      <c r="D121" s="65">
        <v>31</v>
      </c>
      <c r="E121" s="65">
        <v>24</v>
      </c>
      <c r="F121" s="65">
        <v>744</v>
      </c>
      <c r="G121" s="65">
        <v>744</v>
      </c>
      <c r="H121" s="66">
        <v>1</v>
      </c>
      <c r="I121" s="66">
        <v>1</v>
      </c>
      <c r="J121" s="65"/>
    </row>
    <row r="122" customHeight="1" spans="1:10">
      <c r="A122" s="81"/>
      <c r="B122" s="82"/>
      <c r="C122" s="65" t="s">
        <v>206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/>
    </row>
    <row r="123" customHeight="1" spans="1:10">
      <c r="A123" s="81"/>
      <c r="B123" s="82"/>
      <c r="C123" s="65" t="s">
        <v>207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/>
    </row>
    <row r="124" customHeight="1" spans="1:10">
      <c r="A124" s="81"/>
      <c r="B124" s="82"/>
      <c r="C124" s="65" t="s">
        <v>208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/>
    </row>
    <row r="125" customHeight="1" spans="1:10">
      <c r="A125" s="81"/>
      <c r="B125" s="82"/>
      <c r="C125" s="65" t="s">
        <v>209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/>
    </row>
    <row r="126" customHeight="1" spans="1:10">
      <c r="A126" s="81"/>
      <c r="B126" s="82"/>
      <c r="C126" s="65" t="s">
        <v>210</v>
      </c>
      <c r="D126" s="65">
        <v>31</v>
      </c>
      <c r="E126" s="65">
        <v>24</v>
      </c>
      <c r="F126" s="65">
        <v>744</v>
      </c>
      <c r="G126" s="65">
        <v>744</v>
      </c>
      <c r="H126" s="66">
        <v>1</v>
      </c>
      <c r="I126" s="66">
        <v>1</v>
      </c>
      <c r="J126" s="65"/>
    </row>
    <row r="127" customHeight="1" spans="1:10">
      <c r="A127" s="81"/>
      <c r="B127" s="82"/>
      <c r="C127" s="65" t="s">
        <v>211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/>
    </row>
    <row r="128" customHeight="1" spans="1:10">
      <c r="A128" s="81"/>
      <c r="B128" s="82"/>
      <c r="C128" s="65" t="s">
        <v>212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/>
    </row>
    <row r="129" customHeight="1" spans="1:10">
      <c r="A129" s="81"/>
      <c r="B129" s="82"/>
      <c r="C129" s="65" t="s">
        <v>214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/>
    </row>
    <row r="130" customHeight="1" spans="1:10">
      <c r="A130" s="81"/>
      <c r="B130" s="82"/>
      <c r="C130" s="65" t="s">
        <v>215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/>
    </row>
    <row r="131" customHeight="1" spans="1:10">
      <c r="A131" s="81"/>
      <c r="B131" s="82"/>
      <c r="C131" s="65" t="s">
        <v>216</v>
      </c>
      <c r="D131" s="65">
        <v>31</v>
      </c>
      <c r="E131" s="65">
        <v>24</v>
      </c>
      <c r="F131" s="65">
        <v>744</v>
      </c>
      <c r="G131" s="65">
        <v>720</v>
      </c>
      <c r="H131" s="66">
        <v>0.97</v>
      </c>
      <c r="I131" s="66">
        <v>1</v>
      </c>
      <c r="J131" s="65"/>
    </row>
    <row r="132" customHeight="1" spans="1:10">
      <c r="A132" s="83"/>
      <c r="B132" s="84"/>
      <c r="C132" s="65" t="s">
        <v>217</v>
      </c>
      <c r="D132" s="65">
        <v>31</v>
      </c>
      <c r="E132" s="65">
        <v>24</v>
      </c>
      <c r="F132" s="65">
        <v>744</v>
      </c>
      <c r="G132" s="65">
        <v>744</v>
      </c>
      <c r="H132" s="66">
        <v>1</v>
      </c>
      <c r="I132" s="66">
        <v>1</v>
      </c>
      <c r="J132" s="65"/>
    </row>
    <row r="133" ht="14.25" spans="1:10">
      <c r="A133" s="67" t="s">
        <v>73</v>
      </c>
      <c r="B133" s="67"/>
      <c r="C133" s="15"/>
      <c r="D133" s="15"/>
      <c r="E133" s="68" t="s">
        <v>74</v>
      </c>
      <c r="F133" s="68"/>
      <c r="G133" s="69"/>
      <c r="H133" s="10" t="str">
        <f>H38</f>
        <v>制表时间：2022/6/6</v>
      </c>
      <c r="I133" s="10"/>
      <c r="J133" s="10"/>
    </row>
    <row r="134" ht="7" customHeight="1" spans="2:6">
      <c r="B134" s="85"/>
      <c r="F134" s="86"/>
    </row>
    <row r="135" ht="5" customHeight="1" spans="2:6">
      <c r="B135" s="85"/>
      <c r="F135" s="86"/>
    </row>
    <row r="136" s="53" customFormat="1" ht="29" customHeight="1" spans="1:212">
      <c r="A136" s="57" t="s">
        <v>165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44682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166</v>
      </c>
      <c r="B138" s="6" t="s">
        <v>167</v>
      </c>
      <c r="C138" s="6" t="s">
        <v>168</v>
      </c>
      <c r="D138" s="6" t="s">
        <v>169</v>
      </c>
      <c r="E138" s="60" t="s">
        <v>170</v>
      </c>
      <c r="F138" s="60" t="s">
        <v>171</v>
      </c>
      <c r="G138" s="61" t="s">
        <v>172</v>
      </c>
      <c r="H138" s="62" t="s">
        <v>173</v>
      </c>
      <c r="I138" s="60" t="s">
        <v>174</v>
      </c>
      <c r="J138" s="6" t="s">
        <v>175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176</v>
      </c>
      <c r="E140" s="60" t="s">
        <v>177</v>
      </c>
      <c r="F140" s="60" t="s">
        <v>178</v>
      </c>
      <c r="G140" s="61" t="s">
        <v>178</v>
      </c>
      <c r="H140" s="62" t="s">
        <v>179</v>
      </c>
      <c r="I140" s="60" t="s">
        <v>179</v>
      </c>
      <c r="J140" s="6"/>
    </row>
    <row r="141" customHeight="1" spans="1:10">
      <c r="A141" s="64" t="s">
        <v>237</v>
      </c>
      <c r="B141" s="64" t="s">
        <v>239</v>
      </c>
      <c r="C141" s="65" t="s">
        <v>218</v>
      </c>
      <c r="D141" s="65">
        <v>31</v>
      </c>
      <c r="E141" s="65">
        <v>24</v>
      </c>
      <c r="F141" s="65">
        <v>744</v>
      </c>
      <c r="G141" s="65">
        <v>744</v>
      </c>
      <c r="H141" s="66">
        <v>1</v>
      </c>
      <c r="I141" s="66">
        <v>1</v>
      </c>
      <c r="J141" s="65"/>
    </row>
    <row r="142" customHeight="1" spans="1:10">
      <c r="A142" s="65"/>
      <c r="B142" s="65"/>
      <c r="C142" s="65" t="s">
        <v>219</v>
      </c>
      <c r="D142" s="65">
        <v>31</v>
      </c>
      <c r="E142" s="65">
        <v>24</v>
      </c>
      <c r="F142" s="65">
        <v>744</v>
      </c>
      <c r="G142" s="65">
        <v>744</v>
      </c>
      <c r="H142" s="66">
        <v>1</v>
      </c>
      <c r="I142" s="66">
        <v>1</v>
      </c>
      <c r="J142" s="65"/>
    </row>
    <row r="143" customHeight="1" spans="1:10">
      <c r="A143" s="65"/>
      <c r="B143" s="65"/>
      <c r="C143" s="65" t="s">
        <v>220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221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/>
    </row>
    <row r="145" customHeight="1" spans="1:10">
      <c r="A145" s="65"/>
      <c r="B145" s="65"/>
      <c r="C145" s="65" t="s">
        <v>222</v>
      </c>
      <c r="D145" s="65">
        <v>31</v>
      </c>
      <c r="E145" s="65">
        <v>24</v>
      </c>
      <c r="F145" s="65">
        <v>744</v>
      </c>
      <c r="G145" s="65">
        <v>744</v>
      </c>
      <c r="H145" s="66">
        <v>1</v>
      </c>
      <c r="I145" s="66">
        <v>1</v>
      </c>
      <c r="J145" s="65"/>
    </row>
    <row r="146" customHeight="1" spans="1:10">
      <c r="A146" s="65"/>
      <c r="B146" s="65"/>
      <c r="C146" s="65" t="s">
        <v>223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/>
    </row>
    <row r="147" customHeight="1" spans="1:10">
      <c r="A147" s="65"/>
      <c r="B147" s="64" t="s">
        <v>240</v>
      </c>
      <c r="C147" s="65" t="s">
        <v>182</v>
      </c>
      <c r="D147" s="65">
        <v>31</v>
      </c>
      <c r="E147" s="65">
        <v>24</v>
      </c>
      <c r="F147" s="65">
        <v>744</v>
      </c>
      <c r="G147" s="65">
        <v>744</v>
      </c>
      <c r="H147" s="79">
        <v>1</v>
      </c>
      <c r="I147" s="79">
        <v>1</v>
      </c>
      <c r="J147" s="65"/>
    </row>
    <row r="148" customHeight="1" spans="1:10">
      <c r="A148" s="65"/>
      <c r="B148" s="65"/>
      <c r="C148" s="65" t="s">
        <v>183</v>
      </c>
      <c r="D148" s="65">
        <v>31</v>
      </c>
      <c r="E148" s="65">
        <v>24</v>
      </c>
      <c r="F148" s="65">
        <v>744</v>
      </c>
      <c r="G148" s="65">
        <v>744</v>
      </c>
      <c r="H148" s="79">
        <v>1</v>
      </c>
      <c r="I148" s="79">
        <v>1</v>
      </c>
      <c r="J148" s="65"/>
    </row>
    <row r="149" customHeight="1" spans="1:10">
      <c r="A149" s="65"/>
      <c r="B149" s="64" t="s">
        <v>241</v>
      </c>
      <c r="C149" s="65" t="s">
        <v>182</v>
      </c>
      <c r="D149" s="65">
        <v>31</v>
      </c>
      <c r="E149" s="65">
        <v>24</v>
      </c>
      <c r="F149" s="65">
        <v>744</v>
      </c>
      <c r="G149" s="65">
        <v>603</v>
      </c>
      <c r="H149" s="66">
        <v>0.810483870967742</v>
      </c>
      <c r="I149" s="66">
        <v>1</v>
      </c>
      <c r="J149" s="65"/>
    </row>
    <row r="150" customHeight="1" spans="1:10">
      <c r="A150" s="65"/>
      <c r="B150" s="65"/>
      <c r="C150" s="65" t="s">
        <v>183</v>
      </c>
      <c r="D150" s="65">
        <v>31</v>
      </c>
      <c r="E150" s="65">
        <v>24</v>
      </c>
      <c r="F150" s="65">
        <v>744</v>
      </c>
      <c r="G150" s="65">
        <v>0</v>
      </c>
      <c r="H150" s="66">
        <v>0</v>
      </c>
      <c r="I150" s="66">
        <v>1</v>
      </c>
      <c r="J150" s="65"/>
    </row>
    <row r="151" customHeight="1" spans="1:10">
      <c r="A151" s="65"/>
      <c r="B151" s="65"/>
      <c r="C151" s="65" t="s">
        <v>187</v>
      </c>
      <c r="D151" s="65">
        <v>31</v>
      </c>
      <c r="E151" s="65">
        <v>24</v>
      </c>
      <c r="F151" s="65">
        <v>744</v>
      </c>
      <c r="G151" s="65">
        <v>0</v>
      </c>
      <c r="H151" s="66">
        <v>0</v>
      </c>
      <c r="I151" s="66">
        <v>1</v>
      </c>
      <c r="J151" s="65"/>
    </row>
    <row r="152" customHeight="1" spans="1:10">
      <c r="A152" s="65"/>
      <c r="B152" s="64" t="s">
        <v>242</v>
      </c>
      <c r="C152" s="65" t="s">
        <v>182</v>
      </c>
      <c r="D152" s="65">
        <v>31</v>
      </c>
      <c r="E152" s="65">
        <v>24</v>
      </c>
      <c r="F152" s="65">
        <v>744</v>
      </c>
      <c r="G152" s="65">
        <v>744</v>
      </c>
      <c r="H152" s="66">
        <v>1</v>
      </c>
      <c r="I152" s="66">
        <v>1</v>
      </c>
      <c r="J152" s="65"/>
    </row>
    <row r="153" customHeight="1" spans="1:10">
      <c r="A153" s="65"/>
      <c r="B153" s="65"/>
      <c r="C153" s="65" t="s">
        <v>183</v>
      </c>
      <c r="D153" s="65">
        <v>31</v>
      </c>
      <c r="E153" s="65">
        <v>24</v>
      </c>
      <c r="F153" s="65">
        <v>744</v>
      </c>
      <c r="G153" s="65">
        <v>744</v>
      </c>
      <c r="H153" s="66">
        <v>1</v>
      </c>
      <c r="I153" s="66">
        <v>1</v>
      </c>
      <c r="J153" s="65"/>
    </row>
    <row r="154" customHeight="1" spans="1:10">
      <c r="A154" s="65"/>
      <c r="B154" s="65"/>
      <c r="C154" s="65" t="s">
        <v>187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7" t="s">
        <v>243</v>
      </c>
      <c r="C155" s="88" t="s">
        <v>182</v>
      </c>
      <c r="D155" s="88">
        <v>31</v>
      </c>
      <c r="E155" s="88">
        <v>24</v>
      </c>
      <c r="F155" s="88">
        <v>744</v>
      </c>
      <c r="G155" s="88">
        <v>744</v>
      </c>
      <c r="H155" s="89">
        <v>1</v>
      </c>
      <c r="I155" s="89">
        <v>1</v>
      </c>
      <c r="J155" s="65"/>
    </row>
    <row r="156" customHeight="1" spans="1:10">
      <c r="A156" s="65"/>
      <c r="B156" s="88"/>
      <c r="C156" s="88" t="s">
        <v>183</v>
      </c>
      <c r="D156" s="88">
        <v>31</v>
      </c>
      <c r="E156" s="88">
        <v>24</v>
      </c>
      <c r="F156" s="88">
        <v>744</v>
      </c>
      <c r="G156" s="88">
        <v>658</v>
      </c>
      <c r="H156" s="89">
        <v>0.884408602150538</v>
      </c>
      <c r="I156" s="89">
        <v>1</v>
      </c>
      <c r="J156" s="65"/>
    </row>
    <row r="157" customHeight="1" spans="1:10">
      <c r="A157" s="65"/>
      <c r="B157" s="88"/>
      <c r="C157" s="88" t="s">
        <v>187</v>
      </c>
      <c r="D157" s="88">
        <v>31</v>
      </c>
      <c r="E157" s="88">
        <v>24</v>
      </c>
      <c r="F157" s="88">
        <v>744</v>
      </c>
      <c r="G157" s="88">
        <v>480</v>
      </c>
      <c r="H157" s="89">
        <v>0.645161290322581</v>
      </c>
      <c r="I157" s="89">
        <v>1</v>
      </c>
      <c r="J157" s="65"/>
    </row>
    <row r="158" customHeight="1" spans="1:10">
      <c r="A158" s="65"/>
      <c r="B158" s="88"/>
      <c r="C158" s="88" t="s">
        <v>188</v>
      </c>
      <c r="D158" s="88">
        <v>31</v>
      </c>
      <c r="E158" s="88">
        <v>24</v>
      </c>
      <c r="F158" s="88">
        <v>744</v>
      </c>
      <c r="G158" s="88">
        <v>744</v>
      </c>
      <c r="H158" s="89">
        <v>1</v>
      </c>
      <c r="I158" s="89">
        <v>1</v>
      </c>
      <c r="J158" s="65"/>
    </row>
    <row r="159" customHeight="1" spans="1:10">
      <c r="A159" s="65"/>
      <c r="B159" s="88"/>
      <c r="C159" s="88" t="s">
        <v>189</v>
      </c>
      <c r="D159" s="88">
        <v>31</v>
      </c>
      <c r="E159" s="88">
        <v>24</v>
      </c>
      <c r="F159" s="88">
        <v>744</v>
      </c>
      <c r="G159" s="88">
        <v>658</v>
      </c>
      <c r="H159" s="89">
        <v>0.884408602150538</v>
      </c>
      <c r="I159" s="89">
        <v>1</v>
      </c>
      <c r="J159" s="65"/>
    </row>
    <row r="160" customHeight="1" spans="1:10">
      <c r="A160" s="65"/>
      <c r="B160" s="88"/>
      <c r="C160" s="88" t="s">
        <v>192</v>
      </c>
      <c r="D160" s="88">
        <v>31</v>
      </c>
      <c r="E160" s="88">
        <v>24</v>
      </c>
      <c r="F160" s="88">
        <v>744</v>
      </c>
      <c r="G160" s="88">
        <v>480</v>
      </c>
      <c r="H160" s="89">
        <v>0.645161290322581</v>
      </c>
      <c r="I160" s="89">
        <v>1</v>
      </c>
      <c r="J160" s="65"/>
    </row>
    <row r="161" customHeight="1" spans="1:10">
      <c r="A161" s="64" t="s">
        <v>244</v>
      </c>
      <c r="B161" s="64" t="s">
        <v>245</v>
      </c>
      <c r="C161" s="65" t="s">
        <v>182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183</v>
      </c>
      <c r="D162" s="65">
        <v>31</v>
      </c>
      <c r="E162" s="65">
        <v>24</v>
      </c>
      <c r="F162" s="65">
        <v>744</v>
      </c>
      <c r="G162" s="65">
        <v>0</v>
      </c>
      <c r="H162" s="66">
        <v>0</v>
      </c>
      <c r="I162" s="66">
        <v>0</v>
      </c>
      <c r="J162" s="65" t="s">
        <v>246</v>
      </c>
    </row>
    <row r="163" customHeight="1" spans="1:10">
      <c r="A163" s="65"/>
      <c r="B163" s="65"/>
      <c r="C163" s="65" t="s">
        <v>187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188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 t="s">
        <v>246</v>
      </c>
    </row>
    <row r="165" customHeight="1" spans="1:10">
      <c r="A165" s="65"/>
      <c r="B165" s="65"/>
      <c r="C165" s="65" t="s">
        <v>189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192</v>
      </c>
      <c r="D166" s="65">
        <v>31</v>
      </c>
      <c r="E166" s="65">
        <v>24</v>
      </c>
      <c r="F166" s="65">
        <v>744</v>
      </c>
      <c r="G166" s="65">
        <v>744</v>
      </c>
      <c r="H166" s="66">
        <v>1</v>
      </c>
      <c r="I166" s="66">
        <v>1</v>
      </c>
      <c r="J166" s="65"/>
    </row>
    <row r="167" customHeight="1" spans="1:10">
      <c r="A167" s="65"/>
      <c r="B167" s="65"/>
      <c r="C167" s="65" t="s">
        <v>201</v>
      </c>
      <c r="D167" s="65">
        <v>31</v>
      </c>
      <c r="E167" s="65">
        <v>24</v>
      </c>
      <c r="F167" s="65">
        <v>744</v>
      </c>
      <c r="G167" s="65">
        <v>744</v>
      </c>
      <c r="H167" s="66">
        <v>1</v>
      </c>
      <c r="I167" s="66">
        <v>1</v>
      </c>
      <c r="J167" s="65"/>
    </row>
    <row r="168" customHeight="1" spans="1:10">
      <c r="A168" s="65"/>
      <c r="B168" s="65"/>
      <c r="C168" s="65" t="s">
        <v>202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203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204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205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206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207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208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209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210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/>
    </row>
    <row r="177" ht="14.25" spans="1:10">
      <c r="A177" s="65"/>
      <c r="B177" s="65"/>
      <c r="C177" s="65" t="s">
        <v>211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0</v>
      </c>
      <c r="J177" s="65" t="s">
        <v>246</v>
      </c>
    </row>
    <row r="178" ht="14.25" spans="1:10">
      <c r="A178" s="65"/>
      <c r="B178" s="65"/>
      <c r="C178" s="65" t="s">
        <v>212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/>
    </row>
    <row r="179" customHeight="1" spans="1:10">
      <c r="A179" s="67" t="s">
        <v>73</v>
      </c>
      <c r="B179" s="67"/>
      <c r="C179" s="15"/>
      <c r="D179" s="15"/>
      <c r="E179" s="68" t="s">
        <v>74</v>
      </c>
      <c r="F179" s="68"/>
      <c r="G179" s="69"/>
      <c r="H179" s="10" t="str">
        <f>H38</f>
        <v>制表时间：2022/6/6</v>
      </c>
      <c r="I179" s="10"/>
      <c r="J179" s="10"/>
    </row>
    <row r="180" ht="23" customHeight="1"/>
    <row r="181" ht="28" customHeight="1" spans="1:10">
      <c r="A181" s="57" t="s">
        <v>165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44682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166</v>
      </c>
      <c r="B183" s="6" t="s">
        <v>167</v>
      </c>
      <c r="C183" s="6" t="s">
        <v>168</v>
      </c>
      <c r="D183" s="6" t="s">
        <v>169</v>
      </c>
      <c r="E183" s="60" t="s">
        <v>170</v>
      </c>
      <c r="F183" s="60" t="s">
        <v>171</v>
      </c>
      <c r="G183" s="61" t="s">
        <v>172</v>
      </c>
      <c r="H183" s="62" t="s">
        <v>173</v>
      </c>
      <c r="I183" s="60" t="s">
        <v>174</v>
      </c>
      <c r="J183" s="6" t="s">
        <v>175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176</v>
      </c>
      <c r="E185" s="60" t="s">
        <v>177</v>
      </c>
      <c r="F185" s="60" t="s">
        <v>178</v>
      </c>
      <c r="G185" s="61" t="s">
        <v>178</v>
      </c>
      <c r="H185" s="62" t="s">
        <v>179</v>
      </c>
      <c r="I185" s="60" t="s">
        <v>179</v>
      </c>
      <c r="J185" s="6"/>
    </row>
    <row r="186" customHeight="1" spans="1:10">
      <c r="A186" s="64" t="s">
        <v>244</v>
      </c>
      <c r="B186" s="64" t="s">
        <v>245</v>
      </c>
      <c r="C186" s="65" t="s">
        <v>214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215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216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217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/>
    </row>
    <row r="190" customHeight="1" spans="1:10">
      <c r="A190" s="65"/>
      <c r="B190" s="65"/>
      <c r="C190" s="65" t="s">
        <v>218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219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220</v>
      </c>
      <c r="D192" s="65">
        <v>31</v>
      </c>
      <c r="E192" s="65">
        <v>24</v>
      </c>
      <c r="F192" s="65">
        <v>744</v>
      </c>
      <c r="G192" s="65">
        <v>0</v>
      </c>
      <c r="H192" s="66">
        <v>0</v>
      </c>
      <c r="I192" s="66">
        <v>0</v>
      </c>
      <c r="J192" s="65" t="s">
        <v>246</v>
      </c>
    </row>
    <row r="193" customHeight="1" spans="1:10">
      <c r="A193" s="65"/>
      <c r="B193" s="65"/>
      <c r="C193" s="65" t="s">
        <v>221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222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223</v>
      </c>
      <c r="D195" s="65">
        <v>31</v>
      </c>
      <c r="E195" s="65">
        <v>24</v>
      </c>
      <c r="F195" s="65">
        <v>744</v>
      </c>
      <c r="G195" s="65">
        <v>744</v>
      </c>
      <c r="H195" s="66">
        <v>1</v>
      </c>
      <c r="I195" s="66">
        <v>1</v>
      </c>
      <c r="J195" s="65"/>
    </row>
    <row r="196" customHeight="1" spans="1:10">
      <c r="A196" s="65"/>
      <c r="B196" s="65"/>
      <c r="C196" s="65" t="s">
        <v>224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225</v>
      </c>
      <c r="D197" s="65">
        <v>31</v>
      </c>
      <c r="E197" s="65">
        <v>24</v>
      </c>
      <c r="F197" s="65">
        <v>744</v>
      </c>
      <c r="G197" s="65">
        <v>0</v>
      </c>
      <c r="H197" s="66">
        <v>0</v>
      </c>
      <c r="I197" s="66">
        <v>0</v>
      </c>
      <c r="J197" s="65" t="s">
        <v>246</v>
      </c>
    </row>
    <row r="198" customHeight="1" spans="1:10">
      <c r="A198" s="65"/>
      <c r="B198" s="65"/>
      <c r="C198" s="65" t="s">
        <v>226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227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/>
    </row>
    <row r="200" customHeight="1" spans="1:10">
      <c r="A200" s="65"/>
      <c r="B200" s="65"/>
      <c r="C200" s="65" t="s">
        <v>228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229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230</v>
      </c>
      <c r="D202" s="65">
        <v>31</v>
      </c>
      <c r="E202" s="65">
        <v>24</v>
      </c>
      <c r="F202" s="65">
        <v>744</v>
      </c>
      <c r="G202" s="65">
        <v>744</v>
      </c>
      <c r="H202" s="66">
        <v>1</v>
      </c>
      <c r="I202" s="66">
        <v>1</v>
      </c>
      <c r="J202" s="65"/>
    </row>
    <row r="203" customHeight="1" spans="1:10">
      <c r="A203" s="65"/>
      <c r="B203" s="65"/>
      <c r="C203" s="65" t="s">
        <v>231</v>
      </c>
      <c r="D203" s="65">
        <v>31</v>
      </c>
      <c r="E203" s="65">
        <v>24</v>
      </c>
      <c r="F203" s="65">
        <v>744</v>
      </c>
      <c r="G203" s="65">
        <v>744</v>
      </c>
      <c r="H203" s="66">
        <v>1</v>
      </c>
      <c r="I203" s="66">
        <v>1</v>
      </c>
      <c r="J203" s="65"/>
    </row>
    <row r="204" customHeight="1" spans="1:10">
      <c r="A204" s="65"/>
      <c r="B204" s="64" t="s">
        <v>240</v>
      </c>
      <c r="C204" s="65" t="s">
        <v>187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188</v>
      </c>
      <c r="D205" s="65">
        <v>31</v>
      </c>
      <c r="E205" s="65">
        <v>24</v>
      </c>
      <c r="F205" s="65">
        <v>744</v>
      </c>
      <c r="G205" s="65">
        <v>744</v>
      </c>
      <c r="H205" s="66">
        <v>1</v>
      </c>
      <c r="I205" s="66">
        <v>1</v>
      </c>
      <c r="J205" s="65"/>
    </row>
    <row r="206" customHeight="1" spans="1:10">
      <c r="A206" s="65"/>
      <c r="B206" s="64" t="s">
        <v>242</v>
      </c>
      <c r="C206" s="65" t="s">
        <v>188</v>
      </c>
      <c r="D206" s="65">
        <v>31</v>
      </c>
      <c r="E206" s="65">
        <v>24</v>
      </c>
      <c r="F206" s="65">
        <v>744</v>
      </c>
      <c r="G206" s="65">
        <v>744</v>
      </c>
      <c r="H206" s="66">
        <v>1</v>
      </c>
      <c r="I206" s="66">
        <v>1</v>
      </c>
      <c r="J206" s="65"/>
    </row>
    <row r="207" customHeight="1" spans="1:10">
      <c r="A207" s="65"/>
      <c r="B207" s="65"/>
      <c r="C207" s="65" t="s">
        <v>189</v>
      </c>
      <c r="D207" s="65">
        <v>31</v>
      </c>
      <c r="E207" s="65">
        <v>24</v>
      </c>
      <c r="F207" s="65">
        <v>744</v>
      </c>
      <c r="G207" s="65">
        <v>738</v>
      </c>
      <c r="H207" s="66">
        <v>0.991935483870968</v>
      </c>
      <c r="I207" s="66">
        <v>1</v>
      </c>
      <c r="J207" s="65"/>
    </row>
    <row r="208" customHeight="1" spans="1:10">
      <c r="A208" s="65"/>
      <c r="B208" s="65"/>
      <c r="C208" s="65" t="s">
        <v>192</v>
      </c>
      <c r="D208" s="65">
        <v>31</v>
      </c>
      <c r="E208" s="65">
        <v>24</v>
      </c>
      <c r="F208" s="65">
        <v>744</v>
      </c>
      <c r="G208" s="65">
        <v>744</v>
      </c>
      <c r="H208" s="66">
        <v>1</v>
      </c>
      <c r="I208" s="66">
        <v>1</v>
      </c>
      <c r="J208" s="65"/>
    </row>
    <row r="209" customHeight="1" spans="1:10">
      <c r="A209" s="65"/>
      <c r="B209" s="64" t="s">
        <v>243</v>
      </c>
      <c r="C209" s="65" t="s">
        <v>182</v>
      </c>
      <c r="D209" s="65">
        <v>31</v>
      </c>
      <c r="E209" s="65">
        <v>24</v>
      </c>
      <c r="F209" s="65">
        <v>744</v>
      </c>
      <c r="G209" s="65">
        <v>744</v>
      </c>
      <c r="H209" s="66">
        <v>1</v>
      </c>
      <c r="I209" s="66">
        <v>1</v>
      </c>
      <c r="J209" s="65"/>
    </row>
    <row r="210" customHeight="1" spans="1:10">
      <c r="A210" s="65"/>
      <c r="B210" s="65"/>
      <c r="C210" s="65" t="s">
        <v>183</v>
      </c>
      <c r="D210" s="65">
        <v>31</v>
      </c>
      <c r="E210" s="65">
        <v>24</v>
      </c>
      <c r="F210" s="65">
        <v>744</v>
      </c>
      <c r="G210" s="65">
        <v>176</v>
      </c>
      <c r="H210" s="66">
        <v>0.236559139784946</v>
      </c>
      <c r="I210" s="66">
        <v>1</v>
      </c>
      <c r="J210" s="65"/>
    </row>
    <row r="211" customHeight="1" spans="1:10">
      <c r="A211" s="65"/>
      <c r="B211" s="65"/>
      <c r="C211" s="65" t="s">
        <v>187</v>
      </c>
      <c r="D211" s="65">
        <v>31</v>
      </c>
      <c r="E211" s="65">
        <v>24</v>
      </c>
      <c r="F211" s="65">
        <v>744</v>
      </c>
      <c r="G211" s="65">
        <v>744</v>
      </c>
      <c r="H211" s="66">
        <v>1</v>
      </c>
      <c r="I211" s="66">
        <v>1</v>
      </c>
      <c r="J211" s="65"/>
    </row>
    <row r="212" customHeight="1" spans="1:10">
      <c r="A212" s="65"/>
      <c r="B212" s="65"/>
      <c r="C212" s="65" t="s">
        <v>188</v>
      </c>
      <c r="D212" s="65">
        <v>31</v>
      </c>
      <c r="E212" s="65">
        <v>24</v>
      </c>
      <c r="F212" s="65">
        <v>744</v>
      </c>
      <c r="G212" s="65">
        <v>744</v>
      </c>
      <c r="H212" s="66">
        <v>1</v>
      </c>
      <c r="I212" s="66">
        <v>1</v>
      </c>
      <c r="J212" s="65"/>
    </row>
    <row r="213" customHeight="1" spans="1:10">
      <c r="A213" s="65"/>
      <c r="B213" s="65"/>
      <c r="C213" s="65" t="s">
        <v>189</v>
      </c>
      <c r="D213" s="65">
        <v>31</v>
      </c>
      <c r="E213" s="65">
        <v>24</v>
      </c>
      <c r="F213" s="65">
        <v>744</v>
      </c>
      <c r="G213" s="65">
        <v>296</v>
      </c>
      <c r="H213" s="66">
        <v>0.397849462365591</v>
      </c>
      <c r="I213" s="66">
        <v>1</v>
      </c>
      <c r="J213" s="65" t="s">
        <v>247</v>
      </c>
    </row>
    <row r="214" customHeight="1" spans="1:10">
      <c r="A214" s="65"/>
      <c r="B214" s="65"/>
      <c r="C214" s="65" t="s">
        <v>192</v>
      </c>
      <c r="D214" s="65">
        <v>31</v>
      </c>
      <c r="E214" s="65">
        <v>24</v>
      </c>
      <c r="F214" s="65">
        <v>744</v>
      </c>
      <c r="G214" s="65">
        <v>480</v>
      </c>
      <c r="H214" s="66">
        <v>0.645161290322581</v>
      </c>
      <c r="I214" s="66">
        <v>1</v>
      </c>
      <c r="J214" s="65"/>
    </row>
    <row r="215" customHeight="1" spans="1:10">
      <c r="A215" s="80" t="s">
        <v>248</v>
      </c>
      <c r="B215" s="64" t="s">
        <v>249</v>
      </c>
      <c r="C215" s="65" t="s">
        <v>182</v>
      </c>
      <c r="D215" s="65">
        <v>31</v>
      </c>
      <c r="E215" s="65">
        <v>24</v>
      </c>
      <c r="F215" s="65">
        <v>744</v>
      </c>
      <c r="G215" s="65">
        <v>744</v>
      </c>
      <c r="H215" s="66">
        <v>1</v>
      </c>
      <c r="I215" s="66">
        <v>1</v>
      </c>
      <c r="J215" s="65"/>
    </row>
    <row r="216" customHeight="1" spans="1:10">
      <c r="A216" s="81"/>
      <c r="B216" s="65"/>
      <c r="C216" s="65" t="s">
        <v>183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/>
    </row>
    <row r="217" customHeight="1" spans="1:10">
      <c r="A217" s="81"/>
      <c r="B217" s="65"/>
      <c r="C217" s="65" t="s">
        <v>187</v>
      </c>
      <c r="D217" s="65">
        <v>31</v>
      </c>
      <c r="E217" s="65">
        <v>24</v>
      </c>
      <c r="F217" s="65">
        <v>744</v>
      </c>
      <c r="G217" s="65">
        <v>732</v>
      </c>
      <c r="H217" s="66">
        <v>0.983870967741935</v>
      </c>
      <c r="I217" s="66">
        <v>1</v>
      </c>
      <c r="J217" s="65"/>
    </row>
    <row r="218" customHeight="1" spans="1:10">
      <c r="A218" s="81"/>
      <c r="B218" s="65"/>
      <c r="C218" s="65" t="s">
        <v>188</v>
      </c>
      <c r="D218" s="65">
        <v>31</v>
      </c>
      <c r="E218" s="65">
        <v>24</v>
      </c>
      <c r="F218" s="65">
        <v>744</v>
      </c>
      <c r="G218" s="65">
        <v>744</v>
      </c>
      <c r="H218" s="66">
        <v>1</v>
      </c>
      <c r="I218" s="66">
        <v>1</v>
      </c>
      <c r="J218" s="65"/>
    </row>
    <row r="219" customHeight="1" spans="1:10">
      <c r="A219" s="81"/>
      <c r="B219" s="64" t="s">
        <v>250</v>
      </c>
      <c r="C219" s="65" t="s">
        <v>182</v>
      </c>
      <c r="D219" s="65">
        <v>31</v>
      </c>
      <c r="E219" s="65">
        <v>24</v>
      </c>
      <c r="F219" s="65">
        <v>744</v>
      </c>
      <c r="G219" s="65">
        <v>744</v>
      </c>
      <c r="H219" s="79">
        <v>1</v>
      </c>
      <c r="I219" s="66">
        <v>1</v>
      </c>
      <c r="J219" s="5" t="s">
        <v>251</v>
      </c>
    </row>
    <row r="220" customHeight="1" spans="1:10">
      <c r="A220" s="81"/>
      <c r="B220" s="65"/>
      <c r="C220" s="65" t="s">
        <v>183</v>
      </c>
      <c r="D220" s="65">
        <v>31</v>
      </c>
      <c r="E220" s="65">
        <v>24</v>
      </c>
      <c r="F220" s="65">
        <v>744</v>
      </c>
      <c r="G220" s="65">
        <v>744</v>
      </c>
      <c r="H220" s="79">
        <v>1</v>
      </c>
      <c r="I220" s="66">
        <v>1</v>
      </c>
      <c r="J220" s="5" t="s">
        <v>251</v>
      </c>
    </row>
    <row r="221" customHeight="1" spans="1:10">
      <c r="A221" s="81"/>
      <c r="B221" s="65"/>
      <c r="C221" s="65" t="s">
        <v>187</v>
      </c>
      <c r="D221" s="65">
        <v>31</v>
      </c>
      <c r="E221" s="65">
        <v>24</v>
      </c>
      <c r="F221" s="65">
        <v>744</v>
      </c>
      <c r="G221" s="65">
        <v>744</v>
      </c>
      <c r="H221" s="79">
        <v>1</v>
      </c>
      <c r="I221" s="66">
        <v>1</v>
      </c>
      <c r="J221" s="5" t="s">
        <v>251</v>
      </c>
    </row>
    <row r="222" ht="14.25" spans="1:10">
      <c r="A222" s="83"/>
      <c r="B222" s="65"/>
      <c r="C222" s="65" t="s">
        <v>188</v>
      </c>
      <c r="D222" s="65">
        <v>31</v>
      </c>
      <c r="E222" s="65">
        <v>24</v>
      </c>
      <c r="F222" s="65">
        <v>744</v>
      </c>
      <c r="G222" s="65">
        <v>744</v>
      </c>
      <c r="H222" s="79">
        <v>1</v>
      </c>
      <c r="I222" s="66">
        <v>1</v>
      </c>
      <c r="J222" s="5" t="s">
        <v>251</v>
      </c>
    </row>
    <row r="223" customHeight="1" spans="1:10">
      <c r="A223" s="67" t="s">
        <v>73</v>
      </c>
      <c r="B223" s="67"/>
      <c r="C223" s="15"/>
      <c r="D223" s="15"/>
      <c r="E223" s="68" t="s">
        <v>74</v>
      </c>
      <c r="F223" s="68"/>
      <c r="G223" s="69"/>
      <c r="H223" s="10" t="str">
        <f>H38</f>
        <v>制表时间：2022/6/6</v>
      </c>
      <c r="I223" s="10"/>
      <c r="J223" s="10"/>
    </row>
    <row r="224" ht="17" customHeight="1"/>
    <row r="225" ht="16" customHeight="1"/>
    <row r="226" ht="30" customHeight="1" spans="1:10">
      <c r="A226" s="57" t="s">
        <v>165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44682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ht="21" customHeight="1" spans="1:10">
      <c r="A228" s="6" t="s">
        <v>166</v>
      </c>
      <c r="B228" s="6" t="s">
        <v>167</v>
      </c>
      <c r="C228" s="6" t="s">
        <v>168</v>
      </c>
      <c r="D228" s="6" t="s">
        <v>169</v>
      </c>
      <c r="E228" s="60" t="s">
        <v>170</v>
      </c>
      <c r="F228" s="60" t="s">
        <v>171</v>
      </c>
      <c r="G228" s="61" t="s">
        <v>172</v>
      </c>
      <c r="H228" s="62" t="s">
        <v>173</v>
      </c>
      <c r="I228" s="60" t="s">
        <v>174</v>
      </c>
      <c r="J228" s="6" t="s">
        <v>175</v>
      </c>
    </row>
    <row r="229" ht="25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ht="24" customHeight="1" spans="1:10">
      <c r="A230" s="63"/>
      <c r="B230" s="6"/>
      <c r="C230" s="63"/>
      <c r="D230" s="6" t="s">
        <v>176</v>
      </c>
      <c r="E230" s="60" t="s">
        <v>177</v>
      </c>
      <c r="F230" s="60" t="s">
        <v>178</v>
      </c>
      <c r="G230" s="61" t="s">
        <v>178</v>
      </c>
      <c r="H230" s="62" t="s">
        <v>179</v>
      </c>
      <c r="I230" s="60" t="s">
        <v>179</v>
      </c>
      <c r="J230" s="6"/>
    </row>
    <row r="231" customHeight="1" spans="1:10">
      <c r="A231" s="64" t="s">
        <v>248</v>
      </c>
      <c r="B231" s="64" t="s">
        <v>252</v>
      </c>
      <c r="C231" s="65" t="s">
        <v>182</v>
      </c>
      <c r="D231" s="65">
        <v>31</v>
      </c>
      <c r="E231" s="65">
        <v>24</v>
      </c>
      <c r="F231" s="65">
        <v>744</v>
      </c>
      <c r="G231" s="65">
        <v>718</v>
      </c>
      <c r="H231" s="66">
        <v>0.32258064516129</v>
      </c>
      <c r="I231" s="66">
        <v>1</v>
      </c>
      <c r="J231" s="65" t="s">
        <v>251</v>
      </c>
    </row>
    <row r="232" customHeight="1" spans="1:10">
      <c r="A232" s="64"/>
      <c r="B232" s="65"/>
      <c r="C232" s="65" t="s">
        <v>183</v>
      </c>
      <c r="D232" s="65">
        <v>31</v>
      </c>
      <c r="E232" s="65">
        <v>24</v>
      </c>
      <c r="F232" s="65">
        <v>744</v>
      </c>
      <c r="G232" s="65">
        <v>240</v>
      </c>
      <c r="H232" s="66">
        <v>0.32258064516129</v>
      </c>
      <c r="I232" s="66">
        <v>1</v>
      </c>
      <c r="J232" s="65" t="s">
        <v>251</v>
      </c>
    </row>
    <row r="233" customHeight="1" spans="1:10">
      <c r="A233" s="64"/>
      <c r="B233" s="65"/>
      <c r="C233" s="65" t="s">
        <v>187</v>
      </c>
      <c r="D233" s="65">
        <v>31</v>
      </c>
      <c r="E233" s="65">
        <v>24</v>
      </c>
      <c r="F233" s="65">
        <v>744</v>
      </c>
      <c r="G233" s="65">
        <v>240</v>
      </c>
      <c r="H233" s="66">
        <v>0.32258064516129</v>
      </c>
      <c r="I233" s="66">
        <v>1</v>
      </c>
      <c r="J233" s="65" t="s">
        <v>251</v>
      </c>
    </row>
    <row r="234" customHeight="1" spans="1:10">
      <c r="A234" s="64"/>
      <c r="B234" s="65"/>
      <c r="C234" s="65" t="s">
        <v>188</v>
      </c>
      <c r="D234" s="65">
        <v>31</v>
      </c>
      <c r="E234" s="65">
        <v>24</v>
      </c>
      <c r="F234" s="65">
        <v>744</v>
      </c>
      <c r="G234" s="65">
        <v>240</v>
      </c>
      <c r="H234" s="66">
        <v>0.32258064516129</v>
      </c>
      <c r="I234" s="66">
        <v>1</v>
      </c>
      <c r="J234" s="65" t="s">
        <v>251</v>
      </c>
    </row>
    <row r="235" customHeight="1" spans="1:10">
      <c r="A235" s="64"/>
      <c r="B235" s="64" t="s">
        <v>253</v>
      </c>
      <c r="C235" s="65" t="s">
        <v>182</v>
      </c>
      <c r="D235" s="65">
        <v>31</v>
      </c>
      <c r="E235" s="65">
        <v>24</v>
      </c>
      <c r="F235" s="65">
        <v>744</v>
      </c>
      <c r="G235" s="65">
        <v>240</v>
      </c>
      <c r="H235" s="66">
        <v>0.32258064516129</v>
      </c>
      <c r="I235" s="66">
        <v>1</v>
      </c>
      <c r="J235" s="65" t="s">
        <v>251</v>
      </c>
    </row>
    <row r="236" customHeight="1" spans="1:10">
      <c r="A236" s="64"/>
      <c r="B236" s="65"/>
      <c r="C236" s="65" t="s">
        <v>183</v>
      </c>
      <c r="D236" s="65">
        <v>31</v>
      </c>
      <c r="E236" s="65">
        <v>24</v>
      </c>
      <c r="F236" s="65">
        <v>744</v>
      </c>
      <c r="G236" s="65">
        <v>240</v>
      </c>
      <c r="H236" s="66">
        <v>0.32258064516129</v>
      </c>
      <c r="I236" s="66">
        <v>1</v>
      </c>
      <c r="J236" s="65" t="s">
        <v>251</v>
      </c>
    </row>
    <row r="237" customHeight="1" spans="1:10">
      <c r="A237" s="64"/>
      <c r="B237" s="65"/>
      <c r="C237" s="65" t="s">
        <v>187</v>
      </c>
      <c r="D237" s="65">
        <v>31</v>
      </c>
      <c r="E237" s="65">
        <v>24</v>
      </c>
      <c r="F237" s="65">
        <v>744</v>
      </c>
      <c r="G237" s="65">
        <v>716</v>
      </c>
      <c r="H237" s="66">
        <v>0.32258064516129</v>
      </c>
      <c r="I237" s="66">
        <v>1</v>
      </c>
      <c r="J237" s="65" t="s">
        <v>251</v>
      </c>
    </row>
    <row r="238" customHeight="1" spans="1:10">
      <c r="A238" s="64"/>
      <c r="B238" s="65"/>
      <c r="C238" s="65" t="s">
        <v>188</v>
      </c>
      <c r="D238" s="65">
        <v>31</v>
      </c>
      <c r="E238" s="65">
        <v>24</v>
      </c>
      <c r="F238" s="65">
        <v>744</v>
      </c>
      <c r="G238" s="65">
        <v>240</v>
      </c>
      <c r="H238" s="66">
        <v>0.32258064516129</v>
      </c>
      <c r="I238" s="66">
        <v>1</v>
      </c>
      <c r="J238" s="65" t="s">
        <v>251</v>
      </c>
    </row>
    <row r="239" customHeight="1" spans="1:10">
      <c r="A239" s="64"/>
      <c r="B239" s="65"/>
      <c r="C239" s="65" t="s">
        <v>189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 t="s">
        <v>251</v>
      </c>
    </row>
    <row r="240" customHeight="1" spans="1:10">
      <c r="A240" s="64"/>
      <c r="B240" s="65"/>
      <c r="C240" s="65" t="s">
        <v>192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 t="s">
        <v>251</v>
      </c>
    </row>
    <row r="241" customHeight="1" spans="1:10">
      <c r="A241" s="64"/>
      <c r="B241" s="64" t="s">
        <v>254</v>
      </c>
      <c r="C241" s="65" t="s">
        <v>182</v>
      </c>
      <c r="D241" s="65">
        <v>31</v>
      </c>
      <c r="E241" s="65">
        <v>24</v>
      </c>
      <c r="F241" s="65">
        <v>744</v>
      </c>
      <c r="G241" s="65">
        <v>124</v>
      </c>
      <c r="H241" s="66">
        <v>0.166666666666667</v>
      </c>
      <c r="I241" s="66">
        <v>1</v>
      </c>
      <c r="J241" s="65" t="s">
        <v>251</v>
      </c>
    </row>
    <row r="242" customHeight="1" spans="1:10">
      <c r="A242" s="64"/>
      <c r="B242" s="65"/>
      <c r="C242" s="65" t="s">
        <v>183</v>
      </c>
      <c r="D242" s="65">
        <v>31</v>
      </c>
      <c r="E242" s="65">
        <v>24</v>
      </c>
      <c r="F242" s="65">
        <v>744</v>
      </c>
      <c r="G242" s="65">
        <v>124</v>
      </c>
      <c r="H242" s="66">
        <v>0.166666666666667</v>
      </c>
      <c r="I242" s="66">
        <v>1</v>
      </c>
      <c r="J242" s="65" t="s">
        <v>251</v>
      </c>
    </row>
    <row r="243" customHeight="1" spans="1:10">
      <c r="A243" s="64"/>
      <c r="B243" s="65"/>
      <c r="C243" s="65" t="s">
        <v>187</v>
      </c>
      <c r="D243" s="65">
        <v>31</v>
      </c>
      <c r="E243" s="65">
        <v>24</v>
      </c>
      <c r="F243" s="65">
        <v>744</v>
      </c>
      <c r="G243" s="65">
        <v>124</v>
      </c>
      <c r="H243" s="66">
        <v>0.166666666666667</v>
      </c>
      <c r="I243" s="66">
        <v>1</v>
      </c>
      <c r="J243" s="65" t="s">
        <v>251</v>
      </c>
    </row>
    <row r="244" customHeight="1" spans="1:10">
      <c r="A244" s="64"/>
      <c r="B244" s="65"/>
      <c r="C244" s="65" t="s">
        <v>188</v>
      </c>
      <c r="D244" s="65">
        <v>31</v>
      </c>
      <c r="E244" s="65">
        <v>24</v>
      </c>
      <c r="F244" s="65">
        <v>744</v>
      </c>
      <c r="G244" s="65">
        <v>124</v>
      </c>
      <c r="H244" s="66">
        <v>0.166666666666667</v>
      </c>
      <c r="I244" s="66">
        <v>1</v>
      </c>
      <c r="J244" s="65" t="s">
        <v>251</v>
      </c>
    </row>
    <row r="245" customHeight="1" spans="1:10">
      <c r="A245" s="64"/>
      <c r="B245" s="64" t="s">
        <v>255</v>
      </c>
      <c r="C245" s="65" t="s">
        <v>182</v>
      </c>
      <c r="D245" s="65">
        <v>31</v>
      </c>
      <c r="E245" s="65">
        <v>24</v>
      </c>
      <c r="F245" s="65">
        <v>744</v>
      </c>
      <c r="G245" s="65">
        <v>24</v>
      </c>
      <c r="H245" s="66">
        <v>0.032258064516129</v>
      </c>
      <c r="I245" s="66">
        <v>1</v>
      </c>
      <c r="J245" s="65"/>
    </row>
    <row r="246" customHeight="1" spans="1:10">
      <c r="A246" s="64"/>
      <c r="B246" s="65"/>
      <c r="C246" s="65" t="s">
        <v>183</v>
      </c>
      <c r="D246" s="65">
        <v>31</v>
      </c>
      <c r="E246" s="65">
        <v>24</v>
      </c>
      <c r="F246" s="65">
        <v>744</v>
      </c>
      <c r="G246" s="65">
        <v>24</v>
      </c>
      <c r="H246" s="66">
        <v>0.032258064516129</v>
      </c>
      <c r="I246" s="66">
        <v>1</v>
      </c>
      <c r="J246" s="65"/>
    </row>
    <row r="247" customHeight="1" spans="1:10">
      <c r="A247" s="64"/>
      <c r="B247" s="65"/>
      <c r="C247" s="65" t="s">
        <v>187</v>
      </c>
      <c r="D247" s="65">
        <v>31</v>
      </c>
      <c r="E247" s="65">
        <v>24</v>
      </c>
      <c r="F247" s="65">
        <v>744</v>
      </c>
      <c r="G247" s="65">
        <v>0</v>
      </c>
      <c r="H247" s="66">
        <v>0</v>
      </c>
      <c r="I247" s="66">
        <v>1</v>
      </c>
      <c r="J247" s="65"/>
    </row>
    <row r="248" customHeight="1" spans="1:10">
      <c r="A248" s="64"/>
      <c r="B248" s="65"/>
      <c r="C248" s="65" t="s">
        <v>188</v>
      </c>
      <c r="D248" s="65">
        <v>31</v>
      </c>
      <c r="E248" s="65">
        <v>24</v>
      </c>
      <c r="F248" s="65">
        <v>744</v>
      </c>
      <c r="G248" s="65">
        <v>24</v>
      </c>
      <c r="H248" s="66">
        <v>0.032258064516129</v>
      </c>
      <c r="I248" s="66">
        <v>1</v>
      </c>
      <c r="J248" s="65"/>
    </row>
    <row r="249" customHeight="1" spans="1:10">
      <c r="A249" s="64"/>
      <c r="B249" s="65"/>
      <c r="C249" s="65" t="s">
        <v>189</v>
      </c>
      <c r="D249" s="65">
        <v>31</v>
      </c>
      <c r="E249" s="65">
        <v>24</v>
      </c>
      <c r="F249" s="65">
        <v>744</v>
      </c>
      <c r="G249" s="65">
        <v>24</v>
      </c>
      <c r="H249" s="66">
        <v>0.032258064516129</v>
      </c>
      <c r="I249" s="66">
        <v>1</v>
      </c>
      <c r="J249" s="65"/>
    </row>
    <row r="250" customHeight="1" spans="1:10">
      <c r="A250" s="64"/>
      <c r="B250" s="65"/>
      <c r="C250" s="65" t="s">
        <v>192</v>
      </c>
      <c r="D250" s="65">
        <v>31</v>
      </c>
      <c r="E250" s="65">
        <v>24</v>
      </c>
      <c r="F250" s="65">
        <v>744</v>
      </c>
      <c r="G250" s="65">
        <v>0</v>
      </c>
      <c r="H250" s="66">
        <v>0</v>
      </c>
      <c r="I250" s="66">
        <v>1</v>
      </c>
      <c r="J250" s="65"/>
    </row>
    <row r="251" customHeight="1" spans="1:10">
      <c r="A251" s="64"/>
      <c r="B251" s="64" t="s">
        <v>256</v>
      </c>
      <c r="C251" s="65" t="s">
        <v>182</v>
      </c>
      <c r="D251" s="65">
        <v>31</v>
      </c>
      <c r="E251" s="65">
        <v>24</v>
      </c>
      <c r="F251" s="65">
        <v>744</v>
      </c>
      <c r="G251" s="65">
        <v>24</v>
      </c>
      <c r="H251" s="66">
        <v>0.032258064516129</v>
      </c>
      <c r="I251" s="66">
        <v>1</v>
      </c>
      <c r="J251" s="65"/>
    </row>
    <row r="252" customHeight="1" spans="1:10">
      <c r="A252" s="64"/>
      <c r="B252" s="65"/>
      <c r="C252" s="65" t="s">
        <v>183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187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5"/>
      <c r="C254" s="65" t="s">
        <v>188</v>
      </c>
      <c r="D254" s="65">
        <v>31</v>
      </c>
      <c r="E254" s="65">
        <v>24</v>
      </c>
      <c r="F254" s="65">
        <v>744</v>
      </c>
      <c r="G254" s="65">
        <v>24</v>
      </c>
      <c r="H254" s="66">
        <v>0.032258064516129</v>
      </c>
      <c r="I254" s="66">
        <v>1</v>
      </c>
      <c r="J254" s="65"/>
    </row>
    <row r="255" customHeight="1" spans="1:10">
      <c r="A255" s="64"/>
      <c r="B255" s="65"/>
      <c r="C255" s="65" t="s">
        <v>189</v>
      </c>
      <c r="D255" s="65">
        <v>31</v>
      </c>
      <c r="E255" s="65">
        <v>24</v>
      </c>
      <c r="F255" s="65">
        <v>744</v>
      </c>
      <c r="G255" s="65">
        <v>24</v>
      </c>
      <c r="H255" s="66">
        <v>0.032258064516129</v>
      </c>
      <c r="I255" s="66">
        <v>1</v>
      </c>
      <c r="J255" s="65"/>
    </row>
    <row r="256" customHeight="1" spans="1:10">
      <c r="A256" s="64"/>
      <c r="B256" s="65"/>
      <c r="C256" s="65" t="s">
        <v>192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201</v>
      </c>
      <c r="D257" s="65">
        <v>31</v>
      </c>
      <c r="E257" s="65">
        <v>24</v>
      </c>
      <c r="F257" s="65">
        <v>744</v>
      </c>
      <c r="G257" s="65">
        <v>0</v>
      </c>
      <c r="H257" s="66">
        <v>0</v>
      </c>
      <c r="I257" s="66">
        <v>1</v>
      </c>
      <c r="J257" s="65"/>
    </row>
    <row r="258" customHeight="1" spans="1:10">
      <c r="A258" s="64"/>
      <c r="B258" s="65"/>
      <c r="C258" s="65" t="s">
        <v>202</v>
      </c>
      <c r="D258" s="65">
        <v>31</v>
      </c>
      <c r="E258" s="65">
        <v>24</v>
      </c>
      <c r="F258" s="65">
        <v>744</v>
      </c>
      <c r="G258" s="65">
        <v>24</v>
      </c>
      <c r="H258" s="66">
        <v>0.032258064516129</v>
      </c>
      <c r="I258" s="66">
        <v>1</v>
      </c>
      <c r="J258" s="65"/>
    </row>
    <row r="259" customHeight="1" spans="1:10">
      <c r="A259" s="64"/>
      <c r="B259" s="6" t="s">
        <v>257</v>
      </c>
      <c r="C259" s="65" t="s">
        <v>182</v>
      </c>
      <c r="D259" s="65">
        <v>31</v>
      </c>
      <c r="E259" s="65">
        <v>24</v>
      </c>
      <c r="F259" s="65">
        <v>744</v>
      </c>
      <c r="G259" s="65">
        <v>744</v>
      </c>
      <c r="H259" s="66">
        <v>1</v>
      </c>
      <c r="I259" s="66">
        <v>1</v>
      </c>
      <c r="J259" s="65" t="s">
        <v>258</v>
      </c>
    </row>
    <row r="260" customHeight="1" spans="1:10">
      <c r="A260" s="64"/>
      <c r="B260" s="5"/>
      <c r="C260" s="65" t="s">
        <v>183</v>
      </c>
      <c r="D260" s="65">
        <v>31</v>
      </c>
      <c r="E260" s="65">
        <v>24</v>
      </c>
      <c r="F260" s="65">
        <v>744</v>
      </c>
      <c r="G260" s="65">
        <v>720</v>
      </c>
      <c r="H260" s="66">
        <v>0.97</v>
      </c>
      <c r="I260" s="66">
        <v>1</v>
      </c>
      <c r="J260" s="65" t="s">
        <v>258</v>
      </c>
    </row>
    <row r="261" customHeight="1" spans="1:10">
      <c r="A261" s="64"/>
      <c r="B261" s="5"/>
      <c r="C261" s="65" t="s">
        <v>187</v>
      </c>
      <c r="D261" s="65">
        <v>31</v>
      </c>
      <c r="E261" s="65">
        <v>24</v>
      </c>
      <c r="F261" s="65">
        <v>744</v>
      </c>
      <c r="G261" s="65">
        <v>0</v>
      </c>
      <c r="H261" s="66">
        <v>0</v>
      </c>
      <c r="I261" s="66">
        <v>1</v>
      </c>
      <c r="J261" s="65" t="s">
        <v>258</v>
      </c>
    </row>
    <row r="262" customHeight="1" spans="1:10">
      <c r="A262" s="64"/>
      <c r="B262" s="6" t="s">
        <v>259</v>
      </c>
      <c r="C262" s="65" t="s">
        <v>182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183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/>
    </row>
    <row r="264" customHeight="1" spans="1:10">
      <c r="A264" s="64"/>
      <c r="B264" s="5"/>
      <c r="C264" s="65" t="s">
        <v>187</v>
      </c>
      <c r="D264" s="65">
        <v>31</v>
      </c>
      <c r="E264" s="65">
        <v>24</v>
      </c>
      <c r="F264" s="65">
        <v>744</v>
      </c>
      <c r="G264" s="65">
        <v>744</v>
      </c>
      <c r="H264" s="66">
        <v>1</v>
      </c>
      <c r="I264" s="66">
        <v>1</v>
      </c>
      <c r="J264" s="65"/>
    </row>
    <row r="265" customHeight="1" spans="1:10">
      <c r="A265" s="64"/>
      <c r="B265" s="5"/>
      <c r="C265" s="65" t="s">
        <v>188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/>
    </row>
    <row r="266" customHeight="1" spans="1:10">
      <c r="A266" s="64"/>
      <c r="B266" s="5"/>
      <c r="C266" s="65" t="s">
        <v>189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/>
    </row>
    <row r="267" ht="19" customHeight="1" spans="1:10">
      <c r="A267" s="67" t="s">
        <v>73</v>
      </c>
      <c r="B267" s="67"/>
      <c r="C267" s="15"/>
      <c r="D267" s="15"/>
      <c r="E267" s="68" t="s">
        <v>74</v>
      </c>
      <c r="F267" s="68"/>
      <c r="G267" s="69"/>
      <c r="H267" s="10" t="str">
        <f>H38</f>
        <v>制表时间：2022/6/6</v>
      </c>
      <c r="I267" s="10"/>
      <c r="J267" s="10"/>
    </row>
    <row r="268" ht="19" customHeight="1" spans="1:10">
      <c r="A268" s="90"/>
      <c r="B268" s="90"/>
      <c r="C268" s="15"/>
      <c r="D268" s="15"/>
      <c r="E268" s="91"/>
      <c r="F268" s="91"/>
      <c r="G268" s="92"/>
      <c r="H268" s="15"/>
      <c r="I268" s="15"/>
      <c r="J268" s="15"/>
    </row>
    <row r="269" ht="17" customHeight="1" spans="1:10">
      <c r="A269" s="57" t="s">
        <v>165</v>
      </c>
      <c r="B269" s="57"/>
      <c r="C269" s="57"/>
      <c r="D269" s="57"/>
      <c r="E269" s="57"/>
      <c r="F269" s="57"/>
      <c r="G269" s="57"/>
      <c r="H269" s="58"/>
      <c r="I269" s="57"/>
      <c r="J269" s="57"/>
    </row>
    <row r="270" customHeight="1" spans="1:10">
      <c r="A270" s="59">
        <f>A2</f>
        <v>44682</v>
      </c>
      <c r="B270" s="59"/>
      <c r="C270" s="59"/>
      <c r="D270" s="59"/>
      <c r="E270" s="59"/>
      <c r="F270" s="59"/>
      <c r="G270" s="59"/>
      <c r="H270" s="59"/>
      <c r="I270" s="59"/>
      <c r="J270" s="59"/>
    </row>
    <row r="271" ht="13" customHeight="1" spans="1:10">
      <c r="A271" s="6" t="s">
        <v>166</v>
      </c>
      <c r="B271" s="6" t="s">
        <v>167</v>
      </c>
      <c r="C271" s="6" t="s">
        <v>168</v>
      </c>
      <c r="D271" s="6" t="s">
        <v>169</v>
      </c>
      <c r="E271" s="60" t="s">
        <v>170</v>
      </c>
      <c r="F271" s="60" t="s">
        <v>171</v>
      </c>
      <c r="G271" s="61" t="s">
        <v>172</v>
      </c>
      <c r="H271" s="62" t="s">
        <v>173</v>
      </c>
      <c r="I271" s="60" t="s">
        <v>174</v>
      </c>
      <c r="J271" s="6" t="s">
        <v>175</v>
      </c>
    </row>
    <row r="272" ht="12" customHeight="1" spans="1:10">
      <c r="A272" s="6"/>
      <c r="B272" s="6"/>
      <c r="C272" s="6"/>
      <c r="D272" s="6"/>
      <c r="E272" s="60"/>
      <c r="F272" s="60"/>
      <c r="G272" s="61"/>
      <c r="H272" s="62"/>
      <c r="I272" s="60"/>
      <c r="J272" s="6"/>
    </row>
    <row r="273" ht="15" customHeight="1" spans="1:10">
      <c r="A273" s="63"/>
      <c r="B273" s="6"/>
      <c r="C273" s="63"/>
      <c r="D273" s="6" t="s">
        <v>176</v>
      </c>
      <c r="E273" s="60" t="s">
        <v>177</v>
      </c>
      <c r="F273" s="60" t="s">
        <v>178</v>
      </c>
      <c r="G273" s="61" t="s">
        <v>178</v>
      </c>
      <c r="H273" s="62" t="s">
        <v>179</v>
      </c>
      <c r="I273" s="60" t="s">
        <v>179</v>
      </c>
      <c r="J273" s="6"/>
    </row>
    <row r="274" customHeight="1" spans="1:10">
      <c r="A274" s="64" t="s">
        <v>248</v>
      </c>
      <c r="B274" s="64" t="s">
        <v>259</v>
      </c>
      <c r="C274" s="65" t="s">
        <v>192</v>
      </c>
      <c r="D274" s="65">
        <v>31</v>
      </c>
      <c r="E274" s="65">
        <v>24</v>
      </c>
      <c r="F274" s="65">
        <v>744</v>
      </c>
      <c r="G274" s="65">
        <v>744</v>
      </c>
      <c r="H274" s="66">
        <v>1</v>
      </c>
      <c r="I274" s="66">
        <v>1</v>
      </c>
      <c r="J274" s="65"/>
    </row>
    <row r="275" customHeight="1" spans="1:10">
      <c r="A275" s="65"/>
      <c r="B275" s="64"/>
      <c r="C275" s="65" t="s">
        <v>201</v>
      </c>
      <c r="D275" s="65">
        <v>31</v>
      </c>
      <c r="E275" s="65">
        <v>24</v>
      </c>
      <c r="F275" s="65">
        <v>744</v>
      </c>
      <c r="G275" s="65">
        <v>744</v>
      </c>
      <c r="H275" s="66">
        <v>1</v>
      </c>
      <c r="I275" s="66">
        <v>1</v>
      </c>
      <c r="J275" s="65"/>
    </row>
    <row r="276" customHeight="1" spans="1:10">
      <c r="A276" s="65"/>
      <c r="B276" s="64"/>
      <c r="C276" s="65" t="s">
        <v>202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/>
    </row>
    <row r="277" customHeight="1" spans="1:10">
      <c r="A277" s="65"/>
      <c r="B277" s="64" t="s">
        <v>260</v>
      </c>
      <c r="C277" s="65" t="s">
        <v>203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/>
    </row>
    <row r="278" customHeight="1" spans="1:10">
      <c r="A278" s="65"/>
      <c r="B278" s="65"/>
      <c r="C278" s="65" t="s">
        <v>204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/>
    </row>
    <row r="279" ht="17" customHeight="1" spans="1:10">
      <c r="A279" s="65"/>
      <c r="B279" s="65"/>
      <c r="C279" s="65" t="s">
        <v>205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4"/>
    </row>
    <row r="280" customHeight="1" spans="1:10">
      <c r="A280" s="65"/>
      <c r="B280" s="65"/>
      <c r="C280" s="65" t="s">
        <v>206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207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208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209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210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1</v>
      </c>
      <c r="J284" s="65"/>
    </row>
    <row r="285" customHeight="1" spans="1:10">
      <c r="A285" s="65"/>
      <c r="B285" s="65" t="s">
        <v>261</v>
      </c>
      <c r="C285" s="65" t="s">
        <v>182</v>
      </c>
      <c r="D285" s="65">
        <v>31</v>
      </c>
      <c r="E285" s="65">
        <v>24</v>
      </c>
      <c r="F285" s="65">
        <v>744</v>
      </c>
      <c r="G285" s="65">
        <v>42.3</v>
      </c>
      <c r="H285" s="66">
        <v>0.0568548387096774</v>
      </c>
      <c r="I285" s="66">
        <v>1</v>
      </c>
      <c r="J285" s="65"/>
    </row>
    <row r="286" customHeight="1" spans="1:10">
      <c r="A286" s="65"/>
      <c r="B286" s="65"/>
      <c r="C286" s="65" t="s">
        <v>183</v>
      </c>
      <c r="D286" s="65">
        <v>31</v>
      </c>
      <c r="E286" s="65">
        <v>24</v>
      </c>
      <c r="F286" s="65">
        <v>744</v>
      </c>
      <c r="G286" s="65">
        <v>0</v>
      </c>
      <c r="H286" s="66">
        <v>0</v>
      </c>
      <c r="I286" s="66">
        <v>1</v>
      </c>
      <c r="J286" s="65"/>
    </row>
    <row r="287" customHeight="1" spans="1:10">
      <c r="A287" s="65"/>
      <c r="B287" s="65"/>
      <c r="C287" s="65" t="s">
        <v>187</v>
      </c>
      <c r="D287" s="65">
        <v>31</v>
      </c>
      <c r="E287" s="65">
        <v>24</v>
      </c>
      <c r="F287" s="65">
        <v>744</v>
      </c>
      <c r="G287" s="65">
        <v>40.8</v>
      </c>
      <c r="H287" s="66">
        <v>0.0548387096774194</v>
      </c>
      <c r="I287" s="66">
        <v>1</v>
      </c>
      <c r="J287" s="65"/>
    </row>
    <row r="288" customHeight="1" spans="1:10">
      <c r="A288" s="65"/>
      <c r="B288" s="65" t="s">
        <v>262</v>
      </c>
      <c r="C288" s="65" t="s">
        <v>182</v>
      </c>
      <c r="D288" s="65">
        <v>31</v>
      </c>
      <c r="E288" s="65">
        <v>24</v>
      </c>
      <c r="F288" s="65">
        <v>744</v>
      </c>
      <c r="G288" s="65">
        <v>33.2</v>
      </c>
      <c r="H288" s="66">
        <v>0.0446236559139785</v>
      </c>
      <c r="I288" s="66">
        <v>1</v>
      </c>
      <c r="J288" s="65"/>
    </row>
    <row r="289" customHeight="1" spans="1:10">
      <c r="A289" s="65"/>
      <c r="B289" s="65"/>
      <c r="C289" s="65" t="s">
        <v>183</v>
      </c>
      <c r="D289" s="65">
        <v>31</v>
      </c>
      <c r="E289" s="65">
        <v>24</v>
      </c>
      <c r="F289" s="65">
        <v>744</v>
      </c>
      <c r="G289" s="65">
        <v>35.1</v>
      </c>
      <c r="H289" s="66">
        <v>0.0471774193548387</v>
      </c>
      <c r="I289" s="66">
        <v>1</v>
      </c>
      <c r="J289" s="65"/>
    </row>
    <row r="290" customHeight="1" spans="1:10">
      <c r="A290" s="65"/>
      <c r="B290" s="65"/>
      <c r="C290" s="65" t="s">
        <v>187</v>
      </c>
      <c r="D290" s="65">
        <v>31</v>
      </c>
      <c r="E290" s="65">
        <v>24</v>
      </c>
      <c r="F290" s="65">
        <v>744</v>
      </c>
      <c r="G290" s="65">
        <v>35.2</v>
      </c>
      <c r="H290" s="66">
        <v>0.0473118279569893</v>
      </c>
      <c r="I290" s="66">
        <v>1</v>
      </c>
      <c r="J290" s="65"/>
    </row>
    <row r="291" ht="17" customHeight="1" spans="1:10">
      <c r="A291" s="64" t="s">
        <v>263</v>
      </c>
      <c r="B291" s="80" t="s">
        <v>264</v>
      </c>
      <c r="C291" s="65" t="s">
        <v>182</v>
      </c>
      <c r="D291" s="65">
        <v>31</v>
      </c>
      <c r="E291" s="65">
        <v>24</v>
      </c>
      <c r="F291" s="65">
        <v>744</v>
      </c>
      <c r="G291" s="65">
        <v>744</v>
      </c>
      <c r="H291" s="66">
        <v>1</v>
      </c>
      <c r="I291" s="66">
        <v>1</v>
      </c>
      <c r="J291" s="65"/>
    </row>
    <row r="292" customHeight="1" spans="1:10">
      <c r="A292" s="65"/>
      <c r="B292" s="82"/>
      <c r="C292" s="65" t="s">
        <v>183</v>
      </c>
      <c r="D292" s="65">
        <v>31</v>
      </c>
      <c r="E292" s="65">
        <v>24</v>
      </c>
      <c r="F292" s="65">
        <v>744</v>
      </c>
      <c r="G292" s="65">
        <v>744</v>
      </c>
      <c r="H292" s="66">
        <v>1</v>
      </c>
      <c r="I292" s="66">
        <v>1</v>
      </c>
      <c r="J292" s="65"/>
    </row>
    <row r="293" customHeight="1" spans="1:10">
      <c r="A293" s="65"/>
      <c r="B293" s="82"/>
      <c r="C293" s="65" t="s">
        <v>187</v>
      </c>
      <c r="D293" s="65">
        <v>31</v>
      </c>
      <c r="E293" s="65">
        <v>24</v>
      </c>
      <c r="F293" s="65">
        <v>744</v>
      </c>
      <c r="G293" s="65">
        <v>744</v>
      </c>
      <c r="H293" s="66">
        <v>1</v>
      </c>
      <c r="I293" s="66">
        <v>1</v>
      </c>
      <c r="J293" s="65"/>
    </row>
    <row r="294" customHeight="1" spans="1:10">
      <c r="A294" s="65"/>
      <c r="B294" s="82"/>
      <c r="C294" s="65" t="s">
        <v>188</v>
      </c>
      <c r="D294" s="65">
        <v>31</v>
      </c>
      <c r="E294" s="65">
        <v>24</v>
      </c>
      <c r="F294" s="65">
        <v>744</v>
      </c>
      <c r="G294" s="65">
        <v>744</v>
      </c>
      <c r="H294" s="66">
        <v>1</v>
      </c>
      <c r="I294" s="66">
        <v>1</v>
      </c>
      <c r="J294" s="65"/>
    </row>
    <row r="295" customHeight="1" spans="1:10">
      <c r="A295" s="65"/>
      <c r="B295" s="82"/>
      <c r="C295" s="65" t="s">
        <v>189</v>
      </c>
      <c r="D295" s="65">
        <v>31</v>
      </c>
      <c r="E295" s="65">
        <v>24</v>
      </c>
      <c r="F295" s="65">
        <v>744</v>
      </c>
      <c r="G295" s="65">
        <v>744</v>
      </c>
      <c r="H295" s="66">
        <v>1</v>
      </c>
      <c r="I295" s="66">
        <v>1</v>
      </c>
      <c r="J295" s="65"/>
    </row>
    <row r="296" customHeight="1" spans="1:10">
      <c r="A296" s="65"/>
      <c r="B296" s="82"/>
      <c r="C296" s="65" t="s">
        <v>192</v>
      </c>
      <c r="D296" s="65">
        <v>31</v>
      </c>
      <c r="E296" s="65">
        <v>24</v>
      </c>
      <c r="F296" s="65">
        <v>744</v>
      </c>
      <c r="G296" s="65">
        <v>0</v>
      </c>
      <c r="H296" s="66">
        <v>0</v>
      </c>
      <c r="I296" s="66">
        <v>1</v>
      </c>
      <c r="J296" s="65"/>
    </row>
    <row r="297" customHeight="1" spans="1:10">
      <c r="A297" s="65"/>
      <c r="B297" s="82"/>
      <c r="C297" s="65" t="s">
        <v>201</v>
      </c>
      <c r="D297" s="65">
        <v>31</v>
      </c>
      <c r="E297" s="65">
        <v>24</v>
      </c>
      <c r="F297" s="65">
        <v>744</v>
      </c>
      <c r="G297" s="65">
        <v>250</v>
      </c>
      <c r="H297" s="66">
        <v>0.336021505376344</v>
      </c>
      <c r="I297" s="66">
        <v>1</v>
      </c>
      <c r="J297" s="65"/>
    </row>
    <row r="298" customHeight="1" spans="1:10">
      <c r="A298" s="65"/>
      <c r="B298" s="84"/>
      <c r="C298" s="65" t="s">
        <v>202</v>
      </c>
      <c r="D298" s="65">
        <v>31</v>
      </c>
      <c r="E298" s="65">
        <v>24</v>
      </c>
      <c r="F298" s="65">
        <v>744</v>
      </c>
      <c r="G298" s="65">
        <v>166</v>
      </c>
      <c r="H298" s="66">
        <v>0.223118279569892</v>
      </c>
      <c r="I298" s="66">
        <v>1</v>
      </c>
      <c r="J298" s="65"/>
    </row>
    <row r="299" customHeight="1" spans="1:10">
      <c r="A299" s="65"/>
      <c r="B299" s="80" t="s">
        <v>265</v>
      </c>
      <c r="C299" s="65" t="s">
        <v>203</v>
      </c>
      <c r="D299" s="65">
        <v>31</v>
      </c>
      <c r="E299" s="65">
        <v>24</v>
      </c>
      <c r="F299" s="65">
        <v>744</v>
      </c>
      <c r="G299" s="65">
        <v>384</v>
      </c>
      <c r="H299" s="66">
        <v>0.516129032258065</v>
      </c>
      <c r="I299" s="66">
        <v>1</v>
      </c>
      <c r="J299" s="65"/>
    </row>
    <row r="300" customHeight="1" spans="1:10">
      <c r="A300" s="65"/>
      <c r="B300" s="82"/>
      <c r="C300" s="65" t="s">
        <v>204</v>
      </c>
      <c r="D300" s="65">
        <v>31</v>
      </c>
      <c r="E300" s="65">
        <v>24</v>
      </c>
      <c r="F300" s="65">
        <v>744</v>
      </c>
      <c r="G300" s="65">
        <v>126</v>
      </c>
      <c r="H300" s="66">
        <v>0.169354838709677</v>
      </c>
      <c r="I300" s="66">
        <v>1</v>
      </c>
      <c r="J300" s="65"/>
    </row>
    <row r="301" customHeight="1" spans="1:10">
      <c r="A301" s="65"/>
      <c r="B301" s="82"/>
      <c r="C301" s="65" t="s">
        <v>205</v>
      </c>
      <c r="D301" s="65">
        <v>31</v>
      </c>
      <c r="E301" s="65">
        <v>24</v>
      </c>
      <c r="F301" s="65">
        <v>744</v>
      </c>
      <c r="G301" s="65">
        <v>672</v>
      </c>
      <c r="H301" s="66">
        <v>0.903225806451613</v>
      </c>
      <c r="I301" s="66">
        <v>1</v>
      </c>
      <c r="J301" s="65"/>
    </row>
    <row r="302" customHeight="1" spans="1:10">
      <c r="A302" s="65"/>
      <c r="B302" s="82"/>
      <c r="C302" s="65" t="s">
        <v>206</v>
      </c>
      <c r="D302" s="65">
        <v>31</v>
      </c>
      <c r="E302" s="65">
        <v>24</v>
      </c>
      <c r="F302" s="65">
        <v>744</v>
      </c>
      <c r="G302" s="65">
        <v>672</v>
      </c>
      <c r="H302" s="66">
        <v>0.903225806451613</v>
      </c>
      <c r="I302" s="66">
        <v>1</v>
      </c>
      <c r="J302" s="65"/>
    </row>
    <row r="303" customHeight="1" spans="1:10">
      <c r="A303" s="65"/>
      <c r="B303" s="5" t="s">
        <v>266</v>
      </c>
      <c r="C303" s="65" t="s">
        <v>182</v>
      </c>
      <c r="D303" s="65">
        <v>31</v>
      </c>
      <c r="E303" s="65">
        <v>24</v>
      </c>
      <c r="F303" s="65">
        <v>744</v>
      </c>
      <c r="G303" s="65">
        <v>0</v>
      </c>
      <c r="H303" s="66">
        <v>0</v>
      </c>
      <c r="I303" s="66">
        <v>1</v>
      </c>
      <c r="J303" s="65"/>
    </row>
    <row r="304" customHeight="1" spans="1:10">
      <c r="A304" s="65"/>
      <c r="B304" s="5"/>
      <c r="C304" s="65" t="s">
        <v>183</v>
      </c>
      <c r="D304" s="65">
        <v>31</v>
      </c>
      <c r="E304" s="65">
        <v>24</v>
      </c>
      <c r="F304" s="65">
        <v>744</v>
      </c>
      <c r="G304" s="65">
        <v>742</v>
      </c>
      <c r="H304" s="66">
        <v>0.99</v>
      </c>
      <c r="I304" s="66">
        <v>1</v>
      </c>
      <c r="J304" s="65"/>
    </row>
    <row r="305" customHeight="1" spans="1:10">
      <c r="A305" s="65"/>
      <c r="B305" s="5"/>
      <c r="C305" s="65" t="s">
        <v>187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4" t="s">
        <v>267</v>
      </c>
      <c r="B306" s="65" t="s">
        <v>268</v>
      </c>
      <c r="C306" s="65" t="s">
        <v>182</v>
      </c>
      <c r="D306" s="65">
        <v>31</v>
      </c>
      <c r="E306" s="65">
        <v>24</v>
      </c>
      <c r="F306" s="65">
        <v>744</v>
      </c>
      <c r="G306" s="65">
        <v>744</v>
      </c>
      <c r="H306" s="66">
        <v>1</v>
      </c>
      <c r="I306" s="66">
        <v>1</v>
      </c>
      <c r="J306" s="65" t="s">
        <v>269</v>
      </c>
    </row>
    <row r="307" customHeight="1" spans="1:10">
      <c r="A307" s="65"/>
      <c r="B307" s="65"/>
      <c r="C307" s="65" t="s">
        <v>183</v>
      </c>
      <c r="D307" s="65">
        <v>31</v>
      </c>
      <c r="E307" s="65">
        <v>24</v>
      </c>
      <c r="F307" s="65">
        <v>744</v>
      </c>
      <c r="G307" s="65">
        <v>744</v>
      </c>
      <c r="H307" s="66">
        <v>1</v>
      </c>
      <c r="I307" s="66">
        <v>1</v>
      </c>
      <c r="J307" s="65" t="s">
        <v>269</v>
      </c>
    </row>
    <row r="308" customHeight="1" spans="1:10">
      <c r="A308" s="65"/>
      <c r="B308" s="65" t="s">
        <v>270</v>
      </c>
      <c r="C308" s="65" t="s">
        <v>182</v>
      </c>
      <c r="D308" s="65">
        <v>31</v>
      </c>
      <c r="E308" s="65">
        <v>24</v>
      </c>
      <c r="F308" s="65">
        <v>744</v>
      </c>
      <c r="G308" s="65">
        <v>742</v>
      </c>
      <c r="H308" s="66">
        <v>0.997311827956989</v>
      </c>
      <c r="I308" s="66">
        <v>1</v>
      </c>
      <c r="J308" s="65"/>
    </row>
    <row r="309" customHeight="1" spans="1:10">
      <c r="A309" s="65"/>
      <c r="B309" s="65"/>
      <c r="C309" s="65" t="s">
        <v>183</v>
      </c>
      <c r="D309" s="65">
        <v>31</v>
      </c>
      <c r="E309" s="65">
        <v>24</v>
      </c>
      <c r="F309" s="65">
        <v>744</v>
      </c>
      <c r="G309" s="65">
        <v>742</v>
      </c>
      <c r="H309" s="66">
        <v>0.997311827956989</v>
      </c>
      <c r="I309" s="66">
        <v>1</v>
      </c>
      <c r="J309" s="65"/>
    </row>
    <row r="310" customHeight="1" spans="1:10">
      <c r="A310" s="65"/>
      <c r="B310" s="65"/>
      <c r="C310" s="65" t="s">
        <v>187</v>
      </c>
      <c r="D310" s="65">
        <v>31</v>
      </c>
      <c r="E310" s="65">
        <v>24</v>
      </c>
      <c r="F310" s="65">
        <v>744</v>
      </c>
      <c r="G310" s="65">
        <v>0</v>
      </c>
      <c r="H310" s="66">
        <v>0</v>
      </c>
      <c r="I310" s="66">
        <v>1</v>
      </c>
      <c r="J310" s="65"/>
    </row>
    <row r="311" ht="18" customHeight="1" spans="1:10">
      <c r="A311" s="65"/>
      <c r="B311" s="65" t="s">
        <v>271</v>
      </c>
      <c r="C311" s="65" t="s">
        <v>182</v>
      </c>
      <c r="D311" s="65">
        <v>31</v>
      </c>
      <c r="E311" s="65">
        <v>24</v>
      </c>
      <c r="F311" s="65">
        <v>744</v>
      </c>
      <c r="G311" s="65">
        <v>742</v>
      </c>
      <c r="H311" s="66">
        <v>0.99</v>
      </c>
      <c r="I311" s="66">
        <v>1</v>
      </c>
      <c r="J311" s="64" t="s">
        <v>272</v>
      </c>
    </row>
    <row r="312" ht="27" customHeight="1" spans="1:10">
      <c r="A312" s="65"/>
      <c r="B312" s="65"/>
      <c r="C312" s="65" t="s">
        <v>183</v>
      </c>
      <c r="D312" s="65">
        <v>31</v>
      </c>
      <c r="E312" s="65">
        <v>24</v>
      </c>
      <c r="F312" s="65">
        <v>744</v>
      </c>
      <c r="G312" s="65">
        <v>712</v>
      </c>
      <c r="H312" s="66">
        <v>0.95</v>
      </c>
      <c r="I312" s="66">
        <v>0.95</v>
      </c>
      <c r="J312" s="64" t="s">
        <v>273</v>
      </c>
    </row>
    <row r="313" ht="24" customHeight="1" spans="1:10">
      <c r="A313" s="67" t="s">
        <v>73</v>
      </c>
      <c r="B313" s="67"/>
      <c r="C313" s="15"/>
      <c r="D313" s="15"/>
      <c r="E313" s="68" t="s">
        <v>74</v>
      </c>
      <c r="F313" s="68"/>
      <c r="G313" s="69"/>
      <c r="H313" s="10" t="str">
        <f>H38</f>
        <v>制表时间：2022/6/6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67:J267"/>
    <mergeCell ref="A269:J269"/>
    <mergeCell ref="A270:J270"/>
    <mergeCell ref="H313:J313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6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0"/>
    <mergeCell ref="B251:B258"/>
    <mergeCell ref="B259:B261"/>
    <mergeCell ref="B262:B266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3:C95"/>
    <mergeCell ref="C138:C140"/>
    <mergeCell ref="C183:C185"/>
    <mergeCell ref="C228:C230"/>
    <mergeCell ref="C271:C273"/>
    <mergeCell ref="D3:D4"/>
    <mergeCell ref="D48:D49"/>
    <mergeCell ref="D93:D94"/>
    <mergeCell ref="D138:D139"/>
    <mergeCell ref="D183:D184"/>
    <mergeCell ref="D228:D229"/>
    <mergeCell ref="D271:D272"/>
    <mergeCell ref="E3:E4"/>
    <mergeCell ref="E48:E49"/>
    <mergeCell ref="E93:E94"/>
    <mergeCell ref="E138:E139"/>
    <mergeCell ref="E183:E184"/>
    <mergeCell ref="E228:E229"/>
    <mergeCell ref="E271:E272"/>
    <mergeCell ref="F3:F4"/>
    <mergeCell ref="F48:F49"/>
    <mergeCell ref="F93:F94"/>
    <mergeCell ref="F138:F139"/>
    <mergeCell ref="F183:F184"/>
    <mergeCell ref="F228:F229"/>
    <mergeCell ref="F271:F272"/>
    <mergeCell ref="G3:G4"/>
    <mergeCell ref="G48:G49"/>
    <mergeCell ref="G93:G94"/>
    <mergeCell ref="G138:G139"/>
    <mergeCell ref="G183:G184"/>
    <mergeCell ref="G228:G229"/>
    <mergeCell ref="G271:G272"/>
    <mergeCell ref="H3:H4"/>
    <mergeCell ref="H48:H49"/>
    <mergeCell ref="H93:H94"/>
    <mergeCell ref="H138:H139"/>
    <mergeCell ref="H183:H184"/>
    <mergeCell ref="H228:H229"/>
    <mergeCell ref="H271:H272"/>
    <mergeCell ref="I3:I4"/>
    <mergeCell ref="I48:I49"/>
    <mergeCell ref="I93:I94"/>
    <mergeCell ref="I138:I139"/>
    <mergeCell ref="I183:I184"/>
    <mergeCell ref="I228:I229"/>
    <mergeCell ref="I271:I272"/>
    <mergeCell ref="J3:J5"/>
    <mergeCell ref="J48:J50"/>
    <mergeCell ref="J93:J95"/>
    <mergeCell ref="J138:J140"/>
    <mergeCell ref="J183:J185"/>
    <mergeCell ref="J228:J230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J9" sqref="J9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78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44682</v>
      </c>
      <c r="E2" s="33"/>
      <c r="F2" s="31"/>
    </row>
    <row r="3" ht="20.25" customHeight="1" spans="1:7">
      <c r="A3" s="34" t="s">
        <v>274</v>
      </c>
      <c r="B3" s="34" t="s">
        <v>168</v>
      </c>
      <c r="C3" s="34" t="s">
        <v>275</v>
      </c>
      <c r="D3" s="34" t="s">
        <v>276</v>
      </c>
      <c r="E3" s="34" t="s">
        <v>277</v>
      </c>
      <c r="F3" s="34" t="s">
        <v>278</v>
      </c>
      <c r="G3" s="35" t="s">
        <v>133</v>
      </c>
    </row>
    <row r="4" ht="22.5" spans="1:8">
      <c r="A4" s="36" t="s">
        <v>279</v>
      </c>
      <c r="B4" s="37" t="s">
        <v>280</v>
      </c>
      <c r="C4" s="37" t="s">
        <v>281</v>
      </c>
      <c r="D4" s="34" t="s">
        <v>282</v>
      </c>
      <c r="E4" s="34" t="s">
        <v>283</v>
      </c>
      <c r="F4" s="38" t="s">
        <v>284</v>
      </c>
      <c r="G4" s="39" t="s">
        <v>285</v>
      </c>
      <c r="H4" s="40"/>
    </row>
    <row r="5" ht="22.5" spans="1:7">
      <c r="A5" s="41"/>
      <c r="B5" s="37" t="s">
        <v>286</v>
      </c>
      <c r="C5" s="37" t="s">
        <v>281</v>
      </c>
      <c r="D5" s="34" t="s">
        <v>282</v>
      </c>
      <c r="E5" s="34" t="s">
        <v>283</v>
      </c>
      <c r="F5" s="34" t="s">
        <v>284</v>
      </c>
      <c r="G5" s="39" t="str">
        <f>G4</f>
        <v>2022-05-05 2022-05-12 2022-05-19 2022-05-26</v>
      </c>
    </row>
    <row r="6" ht="22.5" spans="1:7">
      <c r="A6" s="41"/>
      <c r="B6" s="37" t="s">
        <v>287</v>
      </c>
      <c r="C6" s="37" t="s">
        <v>281</v>
      </c>
      <c r="D6" s="34" t="s">
        <v>282</v>
      </c>
      <c r="E6" s="34" t="s">
        <v>283</v>
      </c>
      <c r="F6" s="34" t="s">
        <v>284</v>
      </c>
      <c r="G6" s="39" t="str">
        <f t="shared" ref="G6:G20" si="0">G5</f>
        <v>2022-05-05 2022-05-12 2022-05-19 2022-05-26</v>
      </c>
    </row>
    <row r="7" ht="22.5" spans="1:7">
      <c r="A7" s="42"/>
      <c r="B7" s="37" t="s">
        <v>288</v>
      </c>
      <c r="C7" s="37" t="s">
        <v>281</v>
      </c>
      <c r="D7" s="34" t="s">
        <v>282</v>
      </c>
      <c r="E7" s="34" t="s">
        <v>283</v>
      </c>
      <c r="F7" s="34" t="s">
        <v>284</v>
      </c>
      <c r="G7" s="39" t="str">
        <f t="shared" si="0"/>
        <v>2022-05-05 2022-05-12 2022-05-19 2022-05-26</v>
      </c>
    </row>
    <row r="8" ht="22.5" spans="1:7">
      <c r="A8" s="36" t="s">
        <v>289</v>
      </c>
      <c r="B8" s="37" t="s">
        <v>280</v>
      </c>
      <c r="C8" s="37" t="s">
        <v>290</v>
      </c>
      <c r="D8" s="34" t="s">
        <v>282</v>
      </c>
      <c r="E8" s="34" t="s">
        <v>283</v>
      </c>
      <c r="F8" s="34" t="s">
        <v>284</v>
      </c>
      <c r="G8" s="39" t="str">
        <f t="shared" si="0"/>
        <v>2022-05-05 2022-05-12 2022-05-19 2022-05-26</v>
      </c>
    </row>
    <row r="9" ht="22.5" spans="1:7">
      <c r="A9" s="41"/>
      <c r="B9" s="37" t="s">
        <v>286</v>
      </c>
      <c r="C9" s="37" t="s">
        <v>290</v>
      </c>
      <c r="D9" s="34" t="s">
        <v>282</v>
      </c>
      <c r="E9" s="34" t="s">
        <v>283</v>
      </c>
      <c r="F9" s="34" t="s">
        <v>284</v>
      </c>
      <c r="G9" s="39" t="str">
        <f t="shared" si="0"/>
        <v>2022-05-05 2022-05-12 2022-05-19 2022-05-26</v>
      </c>
    </row>
    <row r="10" ht="22.5" spans="1:7">
      <c r="A10" s="41"/>
      <c r="B10" s="37" t="s">
        <v>287</v>
      </c>
      <c r="C10" s="37" t="s">
        <v>290</v>
      </c>
      <c r="D10" s="34" t="s">
        <v>282</v>
      </c>
      <c r="E10" s="34" t="s">
        <v>283</v>
      </c>
      <c r="F10" s="34" t="s">
        <v>284</v>
      </c>
      <c r="G10" s="39" t="str">
        <f t="shared" si="0"/>
        <v>2022-05-05 2022-05-12 2022-05-19 2022-05-26</v>
      </c>
    </row>
    <row r="11" ht="22.5" spans="1:7">
      <c r="A11" s="42"/>
      <c r="B11" s="37" t="s">
        <v>288</v>
      </c>
      <c r="C11" s="37" t="s">
        <v>290</v>
      </c>
      <c r="D11" s="34" t="s">
        <v>282</v>
      </c>
      <c r="E11" s="34" t="s">
        <v>283</v>
      </c>
      <c r="F11" s="34" t="s">
        <v>284</v>
      </c>
      <c r="G11" s="39" t="str">
        <f t="shared" si="0"/>
        <v>2022-05-05 2022-05-12 2022-05-19 2022-05-26</v>
      </c>
    </row>
    <row r="12" ht="24" customHeight="1" spans="1:7">
      <c r="A12" s="37" t="s">
        <v>291</v>
      </c>
      <c r="B12" s="37" t="s">
        <v>182</v>
      </c>
      <c r="C12" s="34" t="s">
        <v>292</v>
      </c>
      <c r="D12" s="34" t="s">
        <v>293</v>
      </c>
      <c r="E12" s="34" t="s">
        <v>283</v>
      </c>
      <c r="F12" s="34" t="s">
        <v>294</v>
      </c>
      <c r="G12" s="39" t="str">
        <f t="shared" si="0"/>
        <v>2022-05-05 2022-05-12 2022-05-19 2022-05-26</v>
      </c>
    </row>
    <row r="13" ht="22.5" spans="1:7">
      <c r="A13" s="36" t="s">
        <v>295</v>
      </c>
      <c r="B13" s="37" t="s">
        <v>280</v>
      </c>
      <c r="C13" s="34" t="s">
        <v>296</v>
      </c>
      <c r="D13" s="34" t="s">
        <v>297</v>
      </c>
      <c r="E13" s="34" t="s">
        <v>283</v>
      </c>
      <c r="F13" s="34" t="s">
        <v>284</v>
      </c>
      <c r="G13" s="39" t="str">
        <f t="shared" si="0"/>
        <v>2022-05-05 2022-05-12 2022-05-19 2022-05-26</v>
      </c>
    </row>
    <row r="14" ht="22.5" spans="1:7">
      <c r="A14" s="41"/>
      <c r="B14" s="37" t="s">
        <v>286</v>
      </c>
      <c r="C14" s="34" t="s">
        <v>296</v>
      </c>
      <c r="D14" s="34" t="s">
        <v>297</v>
      </c>
      <c r="E14" s="34" t="s">
        <v>283</v>
      </c>
      <c r="F14" s="34" t="s">
        <v>284</v>
      </c>
      <c r="G14" s="39" t="str">
        <f t="shared" si="0"/>
        <v>2022-05-05 2022-05-12 2022-05-19 2022-05-26</v>
      </c>
    </row>
    <row r="15" ht="22.5" spans="1:7">
      <c r="A15" s="41"/>
      <c r="B15" s="37" t="s">
        <v>287</v>
      </c>
      <c r="C15" s="34" t="s">
        <v>296</v>
      </c>
      <c r="D15" s="34" t="s">
        <v>297</v>
      </c>
      <c r="E15" s="34" t="s">
        <v>283</v>
      </c>
      <c r="F15" s="34" t="s">
        <v>284</v>
      </c>
      <c r="G15" s="39" t="str">
        <f t="shared" si="0"/>
        <v>2022-05-05 2022-05-12 2022-05-19 2022-05-26</v>
      </c>
    </row>
    <row r="16" ht="22.5" spans="1:7">
      <c r="A16" s="42"/>
      <c r="B16" s="37" t="s">
        <v>288</v>
      </c>
      <c r="C16" s="34" t="s">
        <v>296</v>
      </c>
      <c r="D16" s="34" t="s">
        <v>297</v>
      </c>
      <c r="E16" s="34" t="s">
        <v>283</v>
      </c>
      <c r="F16" s="34" t="s">
        <v>284</v>
      </c>
      <c r="G16" s="39" t="str">
        <f t="shared" si="0"/>
        <v>2022-05-05 2022-05-12 2022-05-19 2022-05-26</v>
      </c>
    </row>
    <row r="17" ht="22.5" spans="1:7">
      <c r="A17" s="34" t="s">
        <v>298</v>
      </c>
      <c r="B17" s="37" t="s">
        <v>280</v>
      </c>
      <c r="C17" s="34" t="s">
        <v>299</v>
      </c>
      <c r="D17" s="34" t="s">
        <v>297</v>
      </c>
      <c r="E17" s="34" t="s">
        <v>283</v>
      </c>
      <c r="F17" s="34" t="s">
        <v>284</v>
      </c>
      <c r="G17" s="39" t="str">
        <f t="shared" si="0"/>
        <v>2022-05-05 2022-05-12 2022-05-19 2022-05-26</v>
      </c>
    </row>
    <row r="18" ht="22.5" spans="1:7">
      <c r="A18" s="34"/>
      <c r="B18" s="37" t="s">
        <v>286</v>
      </c>
      <c r="C18" s="37" t="s">
        <v>290</v>
      </c>
      <c r="D18" s="34" t="s">
        <v>297</v>
      </c>
      <c r="E18" s="34" t="s">
        <v>283</v>
      </c>
      <c r="F18" s="34" t="s">
        <v>284</v>
      </c>
      <c r="G18" s="39" t="str">
        <f t="shared" si="0"/>
        <v>2022-05-05 2022-05-12 2022-05-19 2022-05-26</v>
      </c>
    </row>
    <row r="19" ht="22.5" spans="1:7">
      <c r="A19" s="34"/>
      <c r="B19" s="37" t="s">
        <v>287</v>
      </c>
      <c r="C19" s="34" t="s">
        <v>299</v>
      </c>
      <c r="D19" s="34" t="s">
        <v>297</v>
      </c>
      <c r="E19" s="34" t="s">
        <v>283</v>
      </c>
      <c r="F19" s="34" t="s">
        <v>284</v>
      </c>
      <c r="G19" s="39" t="str">
        <f t="shared" si="0"/>
        <v>2022-05-05 2022-05-12 2022-05-19 2022-05-26</v>
      </c>
    </row>
    <row r="20" ht="22.5" spans="1:7">
      <c r="A20" s="34"/>
      <c r="B20" s="37" t="s">
        <v>288</v>
      </c>
      <c r="C20" s="37" t="s">
        <v>290</v>
      </c>
      <c r="D20" s="34" t="s">
        <v>297</v>
      </c>
      <c r="E20" s="34" t="s">
        <v>283</v>
      </c>
      <c r="F20" s="34" t="s">
        <v>284</v>
      </c>
      <c r="G20" s="39" t="str">
        <f t="shared" si="0"/>
        <v>2022-05-05 2022-05-12 2022-05-19 2022-05-26</v>
      </c>
    </row>
    <row r="21" ht="20.25" customHeight="1" spans="1:7">
      <c r="A21" s="43" t="s">
        <v>73</v>
      </c>
      <c r="B21" s="43"/>
      <c r="C21" s="43"/>
      <c r="D21" s="43" t="s">
        <v>74</v>
      </c>
      <c r="E21" s="43"/>
      <c r="F21" s="43" t="s">
        <v>300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78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44682</v>
      </c>
      <c r="E26" s="50"/>
      <c r="F26" s="31"/>
    </row>
    <row r="27" ht="18.75" customHeight="1" spans="1:7">
      <c r="A27" s="34" t="s">
        <v>274</v>
      </c>
      <c r="B27" s="34" t="s">
        <v>168</v>
      </c>
      <c r="C27" s="34" t="s">
        <v>275</v>
      </c>
      <c r="D27" s="34" t="s">
        <v>276</v>
      </c>
      <c r="E27" s="34" t="s">
        <v>277</v>
      </c>
      <c r="F27" s="34" t="s">
        <v>278</v>
      </c>
      <c r="G27" s="34" t="s">
        <v>133</v>
      </c>
    </row>
    <row r="28" ht="19.5" customHeight="1" spans="1:7">
      <c r="A28" s="34" t="s">
        <v>301</v>
      </c>
      <c r="B28" s="51" t="s">
        <v>280</v>
      </c>
      <c r="C28" s="51" t="s">
        <v>290</v>
      </c>
      <c r="D28" s="34" t="s">
        <v>282</v>
      </c>
      <c r="E28" s="37" t="s">
        <v>283</v>
      </c>
      <c r="F28" s="34" t="s">
        <v>294</v>
      </c>
      <c r="G28" s="52">
        <v>44701</v>
      </c>
    </row>
    <row r="29" ht="19.5" customHeight="1" spans="1:7">
      <c r="A29" s="34"/>
      <c r="B29" s="51" t="s">
        <v>288</v>
      </c>
      <c r="C29" s="51" t="s">
        <v>290</v>
      </c>
      <c r="D29" s="34" t="s">
        <v>282</v>
      </c>
      <c r="E29" s="37" t="s">
        <v>283</v>
      </c>
      <c r="F29" s="34" t="s">
        <v>294</v>
      </c>
      <c r="G29" s="52">
        <f>G28</f>
        <v>44701</v>
      </c>
    </row>
    <row r="30" ht="19.5" customHeight="1" spans="1:7">
      <c r="A30" s="34" t="s">
        <v>302</v>
      </c>
      <c r="B30" s="51" t="s">
        <v>280</v>
      </c>
      <c r="C30" s="37" t="s">
        <v>292</v>
      </c>
      <c r="D30" s="34" t="s">
        <v>297</v>
      </c>
      <c r="E30" s="37" t="s">
        <v>283</v>
      </c>
      <c r="F30" s="34" t="s">
        <v>294</v>
      </c>
      <c r="G30" s="52">
        <f>G29</f>
        <v>44701</v>
      </c>
    </row>
    <row r="31" ht="19.5" customHeight="1" spans="1:7">
      <c r="A31" s="34"/>
      <c r="B31" s="51" t="s">
        <v>288</v>
      </c>
      <c r="C31" s="37" t="s">
        <v>292</v>
      </c>
      <c r="D31" s="34" t="s">
        <v>297</v>
      </c>
      <c r="E31" s="37" t="s">
        <v>283</v>
      </c>
      <c r="F31" s="34" t="s">
        <v>294</v>
      </c>
      <c r="G31" s="52">
        <f>G30</f>
        <v>44701</v>
      </c>
    </row>
    <row r="32" ht="20.25" customHeight="1" spans="1:7">
      <c r="A32" s="43" t="s">
        <v>73</v>
      </c>
      <c r="B32" s="43"/>
      <c r="C32" s="43"/>
      <c r="D32" s="43" t="s">
        <v>74</v>
      </c>
      <c r="E32" s="43"/>
      <c r="F32" s="43" t="str">
        <f>F21</f>
        <v>制表日期：2022/6/6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I13" sqref="I13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303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304</v>
      </c>
      <c r="B3" s="5"/>
      <c r="C3" s="5"/>
      <c r="D3" s="5"/>
      <c r="E3" s="5" t="s">
        <v>305</v>
      </c>
      <c r="F3" s="5"/>
      <c r="G3" s="5"/>
      <c r="H3" s="5"/>
      <c r="I3" s="3"/>
    </row>
    <row r="4" customHeight="1" spans="1:9">
      <c r="A4" s="5" t="s">
        <v>306</v>
      </c>
      <c r="B4" s="5"/>
      <c r="C4" s="5"/>
      <c r="D4" s="5"/>
      <c r="E4" s="5" t="s">
        <v>307</v>
      </c>
      <c r="F4" s="5"/>
      <c r="G4" s="5" t="s">
        <v>308</v>
      </c>
      <c r="H4" s="5"/>
      <c r="I4" s="25"/>
    </row>
    <row r="5" customHeight="1" spans="1:8">
      <c r="A5" s="5" t="s">
        <v>309</v>
      </c>
      <c r="B5" s="5" t="s">
        <v>310</v>
      </c>
      <c r="C5" s="5" t="s">
        <v>311</v>
      </c>
      <c r="D5" s="5" t="s">
        <v>312</v>
      </c>
      <c r="E5" s="5" t="s">
        <v>309</v>
      </c>
      <c r="F5" s="5" t="s">
        <v>310</v>
      </c>
      <c r="G5" s="5" t="s">
        <v>309</v>
      </c>
      <c r="H5" s="5" t="s">
        <v>312</v>
      </c>
    </row>
    <row r="6" customHeight="1" spans="1:15">
      <c r="A6" s="6" t="s">
        <v>313</v>
      </c>
      <c r="B6" s="7">
        <v>2.12</v>
      </c>
      <c r="C6" s="7">
        <v>8.26</v>
      </c>
      <c r="D6" s="7">
        <v>4.11</v>
      </c>
      <c r="E6" s="6" t="s">
        <v>313</v>
      </c>
      <c r="F6" s="7">
        <v>6.78</v>
      </c>
      <c r="G6" s="6" t="s">
        <v>313</v>
      </c>
      <c r="H6" s="7">
        <v>3.15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314</v>
      </c>
      <c r="B7" s="7">
        <v>4.38</v>
      </c>
      <c r="C7" s="7">
        <v>6.13</v>
      </c>
      <c r="D7" s="7">
        <v>3.16</v>
      </c>
      <c r="E7" s="6" t="s">
        <v>314</v>
      </c>
      <c r="F7" s="7">
        <v>5.34</v>
      </c>
      <c r="G7" s="6" t="s">
        <v>315</v>
      </c>
      <c r="H7" s="7">
        <v>5.76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315</v>
      </c>
      <c r="B8" s="7">
        <v>6.22</v>
      </c>
      <c r="C8" s="7">
        <v>3.28</v>
      </c>
      <c r="D8" s="7">
        <v>2.24</v>
      </c>
      <c r="E8" s="6" t="s">
        <v>315</v>
      </c>
      <c r="F8" s="7">
        <v>4.12</v>
      </c>
      <c r="G8" s="6" t="s">
        <v>316</v>
      </c>
      <c r="H8" s="7">
        <v>7.18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316</v>
      </c>
      <c r="B9" s="7">
        <v>7.09</v>
      </c>
      <c r="C9" s="7">
        <v>1.54</v>
      </c>
      <c r="D9" s="7">
        <v>1.45</v>
      </c>
      <c r="E9" s="6" t="s">
        <v>317</v>
      </c>
      <c r="F9" s="7">
        <v>3.28</v>
      </c>
      <c r="G9" s="6" t="s">
        <v>318</v>
      </c>
      <c r="H9" s="7">
        <v>8.08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319</v>
      </c>
      <c r="B10" s="9">
        <v>6112</v>
      </c>
      <c r="C10" s="10"/>
      <c r="D10" s="11"/>
      <c r="E10" s="6" t="s">
        <v>316</v>
      </c>
      <c r="F10" s="7">
        <v>2.94</v>
      </c>
      <c r="G10" s="5" t="s">
        <v>319</v>
      </c>
      <c r="H10" s="12">
        <v>5022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318</v>
      </c>
      <c r="F11" s="7">
        <v>1.07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319</v>
      </c>
      <c r="F12" s="5">
        <v>6278</v>
      </c>
      <c r="G12" s="5"/>
      <c r="H12" s="22"/>
      <c r="M12" s="26"/>
    </row>
    <row r="13" s="1" customFormat="1" customHeight="1" spans="1:14">
      <c r="A13" s="23" t="s">
        <v>73</v>
      </c>
      <c r="B13" s="23"/>
      <c r="C13" s="23"/>
      <c r="D13" s="23" t="s">
        <v>74</v>
      </c>
      <c r="E13" s="24"/>
      <c r="F13" s="24"/>
      <c r="G13" s="23" t="s">
        <v>300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ASUKER</cp:lastModifiedBy>
  <cp:revision>1</cp:revision>
  <dcterms:created xsi:type="dcterms:W3CDTF">1996-12-17T01:32:00Z</dcterms:created>
  <cp:lastPrinted>2018-05-07T02:15:00Z</cp:lastPrinted>
  <dcterms:modified xsi:type="dcterms:W3CDTF">2022-06-10T06:48:31Z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AC0587F76FD54565A1D1EFF08F6CA2B5</vt:lpwstr>
  </property>
</Properties>
</file>