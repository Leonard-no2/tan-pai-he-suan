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3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<sst xmlns="http://schemas.openxmlformats.org/spreadsheetml/2006/main" count="967" uniqueCount="324">
  <si>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</si>
  <si>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</si>
  <si>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</si>
  <si>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</si>
  <si>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</si>
  <si>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</si>
  <si>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</si>
  <si>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</si>
  <si>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</si>
  <si>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</si>
  <si>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</si>
  <si>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</si>
  <si>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</si>
  <si>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</si>
  <si>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</si>
  <si>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</si>
  <si>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</si>
  <si>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</si>
  <si>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</si>
  <si>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</si>
  <si>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</si>
  <si>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</si>
  <si>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</si>
  <si>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</si>
  <si>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</si>
  <si>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</si>
  <si>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</si>
  <si>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</si>
  <si>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</si>
  <si>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</si>
  <si>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</si>
  <si>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</si>
  <si>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</si>
  <si>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</si>
  <si>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</si>
  <si>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</si>
  <si>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</si>
  <si>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</si>
  <si>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</si>
  <si>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</si>
  <si>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</si>
  <si>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</si>
  <si>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</si>
  <si>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</si>
  <si>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阴</t>
  </si>
  <si>
    <t>工业氯酸钠</t>
  </si>
  <si>
    <t>雨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</si>
  <si>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</si>
  <si>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</si>
  <si>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</si>
  <si>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</si>
  <si>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</si>
  <si>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</si>
  <si>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</si>
  <si>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</si>
  <si>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</si>
  <si>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</si>
  <si>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</si>
  <si>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</si>
  <si>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</si>
  <si>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</si>
  <si>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</si>
  <si>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</si>
  <si>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</si>
  <si>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</si>
  <si>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</si>
  <si>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</si>
  <si>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</si>
  <si>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 xml:space="preserve">晴 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</si>
  <si>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</si>
  <si>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</si>
  <si>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</si>
  <si>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</si>
  <si>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</si>
  <si>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</si>
  <si>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</si>
  <si>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</si>
  <si>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</si>
  <si>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</si>
  <si>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</si>
  <si>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</si>
  <si>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</si>
  <si>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</si>
  <si>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</si>
  <si>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</si>
  <si>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</si>
  <si>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</si>
  <si>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</si>
  <si>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</si>
  <si>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</si>
  <si>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</si>
  <si>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</si>
  <si>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</si>
  <si>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</si>
  <si>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</si>
  <si>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</si>
  <si>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</si>
  <si>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</si>
  <si>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</si>
  <si>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</si>
  <si>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</si>
  <si>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</si>
  <si>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</si>
  <si>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</si>
  <si>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</si>
  <si>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</si>
  <si>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</si>
  <si>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</si>
  <si>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</si>
  <si>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</si>
  <si>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</si>
  <si>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</si>
  <si>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</si>
  <si>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</si>
  <si>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</si>
  <si>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</si>
  <si>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</si>
  <si>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</si>
  <si>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</si>
  <si>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</si>
  <si>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</si>
  <si>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</si>
  <si>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</si>
  <si>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</si>
  <si>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</si>
  <si>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</si>
  <si>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</si>
  <si>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</si>
  <si>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</si>
  <si>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</si>
  <si>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</si>
  <si>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</si>
  <si>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3117.16吨，其中运往常州市英科环境科技有限公司991.48吨，国电常州发电有限公司1984.68吨，外运接种141.00吨：常州千红生化制药股份有限公司66.00吨；常州市新区江边污水处理厂30.00吨；江苏盈天化学有限公司45.00吨。</t>
  </si>
  <si>
    <t>审核：                                               制表：                               制表日期：2022/11/2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</si>
  <si>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</si>
  <si>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</si>
  <si>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</si>
  <si>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</si>
  <si>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</si>
  <si>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</si>
  <si>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</si>
  <si>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</si>
  <si>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</si>
  <si>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</si>
  <si>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</si>
  <si>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</si>
  <si>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</si>
  <si>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</si>
  <si>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&lt;16</t>
  </si>
  <si>
    <t>制表时间：2022/11/2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</si>
  <si>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</si>
  <si>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</si>
  <si>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</si>
  <si>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</si>
  <si>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</si>
  <si>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</si>
  <si>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</si>
  <si>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</si>
  <si>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</si>
  <si>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</si>
  <si>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</si>
  <si>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</si>
  <si>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</si>
  <si>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</si>
  <si>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</si>
  <si>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</si>
  <si>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</si>
  <si>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</si>
  <si>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</si>
  <si>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</si>
  <si>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</si>
  <si>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</si>
  <si>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</si>
  <si>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</si>
  <si>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</si>
  <si>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</si>
  <si>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</si>
  <si>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</si>
  <si>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</si>
  <si>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</si>
  <si>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</si>
  <si>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</si>
  <si>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</si>
  <si>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</si>
  <si>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</si>
  <si>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27日更换保护板</t>
  </si>
  <si>
    <t>18日-19日修理</t>
  </si>
  <si>
    <t>3#</t>
  </si>
  <si>
    <t>4#</t>
  </si>
  <si>
    <t>5#</t>
  </si>
  <si>
    <t>细格栅机</t>
  </si>
  <si>
    <t>10日坏发外修理</t>
  </si>
  <si>
    <t>6#</t>
  </si>
  <si>
    <t>搅拌机</t>
  </si>
  <si>
    <t>砂水分离机</t>
  </si>
  <si>
    <t>高压鼓风机</t>
  </si>
  <si>
    <t>26日更换滤网</t>
  </si>
  <si>
    <t>2日更换模块</t>
  </si>
  <si>
    <t>制表时间：2022/11/4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</si>
  <si>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</si>
  <si>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</si>
  <si>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</si>
  <si>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</si>
  <si>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</si>
  <si>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</si>
  <si>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</si>
  <si>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</si>
  <si>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</si>
  <si>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</si>
  <si>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</si>
  <si>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</si>
  <si>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</si>
  <si>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</si>
  <si>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</si>
  <si>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</si>
  <si>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</si>
  <si>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</si>
  <si>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</si>
  <si>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</si>
  <si>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</si>
  <si>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</si>
  <si>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</si>
  <si>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</si>
  <si>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</si>
  <si>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</si>
  <si>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</si>
  <si>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</si>
  <si>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</si>
  <si>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</si>
  <si>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</si>
  <si>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</si>
  <si>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</si>
  <si>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</si>
  <si>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</si>
  <si>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</si>
  <si>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</si>
  <si>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</si>
  <si>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</si>
  <si>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8日保养</t>
  </si>
  <si>
    <t>18日维修完成投入使用</t>
  </si>
  <si>
    <t>一期
厌、缺
、好氧
区搅拌
器</t>
  </si>
  <si>
    <t>二沉池
刮吸泥机</t>
  </si>
  <si>
    <t>剩余
污泥泵</t>
  </si>
  <si>
    <t>外回
流泵</t>
  </si>
  <si>
    <t>内回
流泵</t>
  </si>
  <si>
    <t>13日保养</t>
  </si>
  <si>
    <t>二
期
二
级
处
理</t>
  </si>
  <si>
    <t>二
期
厌
、
缺
、
好
氧
区
搅
拌
器</t>
  </si>
  <si>
    <t>深
度
处
理</t>
  </si>
  <si>
    <t>三次
提升泵</t>
  </si>
  <si>
    <t>14日保养</t>
  </si>
  <si>
    <t>高沉
刮泥机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</si>
  <si>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</si>
  <si>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</si>
  <si>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</si>
  <si>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</si>
  <si>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</si>
  <si>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</si>
  <si>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19日保养</t>
  </si>
  <si>
    <t>V型滤池
（南）</t>
  </si>
  <si>
    <t>V型滤池
（北）</t>
  </si>
  <si>
    <t>反冲洗泵</t>
  </si>
  <si>
    <t>24日保养</t>
  </si>
  <si>
    <t>反冲洗风机</t>
  </si>
  <si>
    <t>二
氧
化
氯
发
生
器
房</t>
  </si>
  <si>
    <t>欧泰华
二氧化氯
发生器</t>
  </si>
  <si>
    <t>10日更换温控探头</t>
  </si>
  <si>
    <t>山大华特
二氧化氯
发生器</t>
  </si>
  <si>
    <t>10日更换固态继电器</t>
  </si>
  <si>
    <t>4日更换加热管</t>
  </si>
  <si>
    <t>21日更换温控探头</t>
  </si>
  <si>
    <t>增压水泵</t>
  </si>
  <si>
    <t>脱
水
机
房</t>
  </si>
  <si>
    <t>浓缩池刮泥机</t>
  </si>
  <si>
    <t>进泥泵</t>
  </si>
  <si>
    <t>脱水离心机</t>
  </si>
  <si>
    <t>26-28日干泥泵定转子更换、31日保养</t>
  </si>
  <si>
    <t>31日保养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</si>
  <si>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</si>
  <si>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</si>
  <si>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</si>
  <si>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</si>
  <si>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</si>
  <si>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</si>
  <si>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</si>
  <si>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</si>
  <si>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</si>
  <si>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</si>
  <si>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</si>
  <si>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2022-10-07 2022-10-14 2022-10-21 2022-10-28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</si>
  <si>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</si>
  <si>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</si>
  <si>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</si>
  <si>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</si>
  <si>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</si>
  <si>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</si>
  <si>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</si>
  <si>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</si>
  <si>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</si>
  <si>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</si>
  <si>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</si>
  <si>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</si>
  <si>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</si>
  <si>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</si>
  <si>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制表日期：2022/11/4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</si>
  <si>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</si>
  <si>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</si>
  <si>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</si>
  <si>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采样地点：一期北</t>
  </si>
  <si>
    <t>采样时间：2022-10-22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</si>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</sst>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8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yyyy&quot;年&quot;m&quot;月&quot;;@"/>
    <numFmt numFmtId="179" formatCode="0_);[Red]\(0\)"/>
    <numFmt numFmtId="180" formatCode="0.000_);[Red]\(0.000\)"/>
    <numFmt numFmtId="181" formatCode="0.00;_ﰀ"/>
    <numFmt numFmtId="182" formatCode="0.00_);[Red]\(0.00\)"/>
    <numFmt numFmtId="183" formatCode="0.0000_);[Red]\(0.0000\)"/>
    <numFmt numFmtId="184" formatCode="0.00;_鰀"/>
    <numFmt numFmtId="185" formatCode="0.0_);\(0.0\)"/>
    <numFmt numFmtId="186" formatCode="#,##0.00_ "/>
    <numFmt numFmtId="187" formatCode="0;_ﰀ"/>
    <numFmt numFmtId="188" formatCode="0;_䠀"/>
    <numFmt numFmtId="189" formatCode="0.00_ "/>
    <numFmt numFmtId="190" formatCode="0.0_);[Red]\(0.0\)"/>
    <numFmt numFmtId="191" formatCode="0;[Red]0"/>
    <numFmt numFmtId="192" formatCode="0.000;_鰀"/>
    <numFmt numFmtId="193" formatCode="0.000_ "/>
    <numFmt numFmtId="194" formatCode="0.0_ "/>
    <numFmt numFmtId="195" formatCode="0.00;[Red]0.00"/>
    <numFmt numFmtId="196" formatCode="0.0;_ﰀ"/>
    <numFmt numFmtId="197" formatCode="0;_鰀"/>
    <numFmt numFmtId="198" formatCode="0.0;[Red]0.0"/>
    <numFmt numFmtId="199" formatCode="0.0%"/>
  </numFmts>
  <fonts count="56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sz val="11"/>
      <color indexed="20"/>
      <name val="宋体"/>
      <charset val="134"/>
    </font>
    <font>
      <b/>
      <sz val="11"/>
      <color indexed="56"/>
      <name val="宋体"/>
      <charset val="134"/>
    </font>
    <font>
      <b/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3"/>
      <color indexed="56"/>
      <name val="宋体"/>
      <charset val="134"/>
    </font>
    <font>
      <i/>
      <sz val="11"/>
      <color indexed="23"/>
      <name val="宋体"/>
      <charset val="134"/>
    </font>
    <font>
      <b/>
      <sz val="18"/>
      <color indexed="56"/>
      <name val="宋体"/>
      <charset val="134"/>
    </font>
    <font>
      <u/>
      <sz val="12"/>
      <color indexed="12"/>
      <name val="宋体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u/>
      <sz val="12"/>
      <color indexed="36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33" fillId="11" borderId="0" applyNumberFormat="0" applyBorder="0" applyAlignment="0" applyProtection="0">
      <alignment vertical="center"/>
    </xf>
    <xf numFmtId="0" fontId="43" fillId="21" borderId="20" applyNumberFormat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0" fillId="17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33" fillId="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3" fillId="1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4" fillId="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34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4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4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1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0" fillId="0" borderId="0"/>
    <xf numFmtId="0" fontId="34" fillId="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5" borderId="0">
      <alignment vertical="top"/>
      <protection locked="0"/>
    </xf>
    <xf numFmtId="0" fontId="34" fillId="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0" fillId="0" borderId="0"/>
    <xf numFmtId="0" fontId="33" fillId="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>
      <alignment vertical="top"/>
      <protection locked="0"/>
    </xf>
    <xf numFmtId="0" fontId="33" fillId="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0" borderId="0">
      <alignment vertical="center"/>
    </xf>
    <xf numFmtId="0" fontId="33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43" fontId="34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43" fillId="21" borderId="20" applyNumberFormat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34" fillId="0" borderId="0">
      <alignment vertical="center"/>
    </xf>
    <xf numFmtId="0" fontId="45" fillId="0" borderId="25" applyNumberFormat="0" applyFill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4" fillId="0" borderId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3" fillId="21" borderId="20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0" borderId="0"/>
    <xf numFmtId="0" fontId="40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34" fillId="0" borderId="0">
      <alignment vertical="center"/>
    </xf>
    <xf numFmtId="0" fontId="37" fillId="9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22" borderId="23" applyNumberFormat="0" applyFont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14" borderId="0" applyNumberFormat="0" applyBorder="0" applyAlignment="0" applyProtection="0">
      <alignment vertical="center"/>
    </xf>
    <xf numFmtId="0" fontId="0" fillId="0" borderId="0"/>
    <xf numFmtId="0" fontId="42" fillId="0" borderId="22" applyNumberFormat="0" applyFill="0" applyAlignment="0" applyProtection="0">
      <alignment vertical="center"/>
    </xf>
    <xf numFmtId="0" fontId="0" fillId="0" borderId="0"/>
    <xf numFmtId="0" fontId="33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>
      <alignment vertical="center"/>
    </xf>
    <xf numFmtId="0" fontId="34" fillId="0" borderId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3" fillId="21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3" fillId="21" borderId="20" applyNumberFormat="0" applyAlignment="0" applyProtection="0">
      <alignment vertical="center"/>
    </xf>
    <xf numFmtId="0" fontId="0" fillId="0" borderId="0"/>
    <xf numFmtId="0" fontId="43" fillId="21" borderId="20" applyNumberFormat="0" applyAlignment="0" applyProtection="0">
      <alignment vertical="center"/>
    </xf>
    <xf numFmtId="0" fontId="0" fillId="0" borderId="0"/>
    <xf numFmtId="0" fontId="0" fillId="0" borderId="0"/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2" borderId="20" applyNumberFormat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49" fillId="24" borderId="26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4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39" fillId="12" borderId="21" applyNumberFormat="0" applyAlignment="0" applyProtection="0">
      <alignment vertical="center"/>
    </xf>
    <xf numFmtId="0" fontId="43" fillId="21" borderId="20" applyNumberFormat="0" applyAlignment="0" applyProtection="0">
      <alignment vertical="center"/>
    </xf>
    <xf numFmtId="0" fontId="43" fillId="21" borderId="20" applyNumberFormat="0" applyAlignment="0" applyProtection="0">
      <alignment vertical="center"/>
    </xf>
    <xf numFmtId="0" fontId="43" fillId="21" borderId="20" applyNumberFormat="0" applyAlignment="0" applyProtection="0">
      <alignment vertical="center"/>
    </xf>
    <xf numFmtId="0" fontId="43" fillId="21" borderId="20" applyNumberFormat="0" applyAlignment="0" applyProtection="0">
      <alignment vertical="center"/>
    </xf>
    <xf numFmtId="0" fontId="43" fillId="21" borderId="20" applyNumberFormat="0" applyAlignment="0" applyProtection="0">
      <alignment vertical="center"/>
    </xf>
    <xf numFmtId="0" fontId="43" fillId="21" borderId="20" applyNumberFormat="0" applyAlignment="0" applyProtection="0">
      <alignment vertical="center"/>
    </xf>
    <xf numFmtId="0" fontId="43" fillId="21" borderId="20" applyNumberFormat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0" fillId="22" borderId="23" applyNumberFormat="0" applyFont="0" applyAlignment="0" applyProtection="0">
      <alignment vertical="center"/>
    </xf>
    <xf numFmtId="0" fontId="0" fillId="0" borderId="0">
      <alignment vertical="center"/>
    </xf>
    <xf numFmtId="0" fontId="34" fillId="17" borderId="0" applyNumberFormat="0" applyBorder="0" applyAlignment="0" applyProtection="0">
      <alignment vertical="center"/>
    </xf>
  </cellStyleXfs>
  <cellXfs count="32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9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5" fillId="0" borderId="0" xfId="0" applyNumberFormat="1" applyFont="1"/>
    <xf numFmtId="186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78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9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95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94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98" fontId="1" fillId="0" borderId="1" xfId="0" applyNumberFormat="1" applyFont="1" applyBorder="1" applyAlignment="1">
      <alignment horizontal="center" vertical="center" wrapText="1"/>
    </xf>
    <xf numFmtId="179" fontId="1" fillId="0" borderId="1" xfId="10" applyNumberFormat="1" applyFont="1" applyBorder="1" applyAlignment="1">
      <alignment horizontal="center" vertical="center" wrapText="1"/>
    </xf>
    <xf numFmtId="191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198" fontId="1" fillId="0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91" fontId="17" fillId="0" borderId="4" xfId="0" applyNumberFormat="1" applyFont="1" applyBorder="1" applyAlignment="1">
      <alignment vertical="center"/>
    </xf>
    <xf numFmtId="179" fontId="17" fillId="0" borderId="4" xfId="0" applyNumberFormat="1" applyFont="1" applyBorder="1" applyAlignment="1">
      <alignment vertical="center"/>
    </xf>
    <xf numFmtId="189" fontId="17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91" fontId="17" fillId="0" borderId="0" xfId="0" applyNumberFormat="1" applyFont="1" applyBorder="1" applyAlignment="1">
      <alignment vertical="center"/>
    </xf>
    <xf numFmtId="191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vertical="center"/>
    </xf>
    <xf numFmtId="189" fontId="17" fillId="0" borderId="0" xfId="0" applyNumberFormat="1" applyFont="1" applyAlignment="1">
      <alignment vertical="center"/>
    </xf>
    <xf numFmtId="198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94" fontId="19" fillId="0" borderId="4" xfId="0" applyNumberFormat="1" applyFont="1" applyFill="1" applyBorder="1" applyAlignment="1">
      <alignment horizontal="center" vertical="center"/>
    </xf>
    <xf numFmtId="194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94" fontId="19" fillId="0" borderId="0" xfId="0" applyNumberFormat="1" applyFont="1" applyFill="1" applyAlignment="1">
      <alignment horizontal="center" vertical="center"/>
    </xf>
    <xf numFmtId="177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19" fillId="0" borderId="0" xfId="0" applyNumberFormat="1" applyFont="1" applyFill="1" applyAlignment="1">
      <alignment horizontal="center" vertical="center"/>
    </xf>
    <xf numFmtId="194" fontId="20" fillId="0" borderId="0" xfId="0" applyNumberFormat="1" applyFont="1" applyFill="1" applyAlignment="1">
      <alignment horizontal="center" vertical="center"/>
    </xf>
    <xf numFmtId="189" fontId="19" fillId="0" borderId="0" xfId="0" applyNumberFormat="1" applyFont="1" applyFill="1" applyAlignment="1">
      <alignment horizontal="center" vertical="center"/>
    </xf>
    <xf numFmtId="189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94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89" fontId="19" fillId="0" borderId="11" xfId="0" applyNumberFormat="1" applyFont="1" applyFill="1" applyBorder="1" applyAlignment="1">
      <alignment horizontal="center" vertical="center"/>
    </xf>
    <xf numFmtId="189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195" fontId="1" fillId="0" borderId="1" xfId="10" applyNumberFormat="1" applyFont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95" fontId="1" fillId="2" borderId="1" xfId="0" applyNumberFormat="1" applyFont="1" applyFill="1" applyBorder="1" applyAlignment="1">
      <alignment horizontal="center" vertical="center" wrapText="1"/>
    </xf>
    <xf numFmtId="191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9" fontId="20" fillId="0" borderId="5" xfId="20" applyNumberFormat="1" applyFont="1" applyFill="1" applyBorder="1" applyAlignment="1">
      <alignment horizontal="center" vertical="center"/>
    </xf>
    <xf numFmtId="193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99" fontId="20" fillId="0" borderId="8" xfId="20" applyNumberFormat="1" applyFont="1" applyFill="1" applyBorder="1" applyAlignment="1">
      <alignment horizontal="center" vertical="center"/>
    </xf>
    <xf numFmtId="189" fontId="20" fillId="0" borderId="8" xfId="0" applyNumberFormat="1" applyFont="1" applyFill="1" applyBorder="1" applyAlignment="1">
      <alignment horizontal="center" vertical="center"/>
    </xf>
    <xf numFmtId="194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99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91" fontId="0" fillId="0" borderId="0" xfId="0" applyNumberFormat="1"/>
    <xf numFmtId="199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94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88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89" fontId="9" fillId="0" borderId="1" xfId="0" applyNumberFormat="1" applyFont="1" applyBorder="1" applyAlignment="1">
      <alignment horizontal="center" vertical="center" wrapText="1"/>
    </xf>
    <xf numFmtId="177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77" fontId="9" fillId="0" borderId="9" xfId="0" applyNumberFormat="1" applyFont="1" applyBorder="1" applyAlignment="1">
      <alignment horizontal="center" vertical="center" wrapText="1"/>
    </xf>
    <xf numFmtId="194" fontId="9" fillId="0" borderId="9" xfId="0" applyNumberFormat="1" applyFont="1" applyBorder="1" applyAlignment="1">
      <alignment horizontal="center" vertical="center" wrapText="1"/>
    </xf>
    <xf numFmtId="197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77" fontId="9" fillId="0" borderId="1" xfId="491" applyNumberFormat="1" applyFont="1" applyBorder="1" applyAlignment="1">
      <alignment horizontal="center" vertical="center" wrapText="1"/>
    </xf>
    <xf numFmtId="189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94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94" fontId="9" fillId="0" borderId="13" xfId="0" applyNumberFormat="1" applyFont="1" applyBorder="1" applyAlignment="1">
      <alignment horizontal="center" vertical="center" wrapText="1"/>
    </xf>
    <xf numFmtId="194" fontId="9" fillId="0" borderId="14" xfId="0" applyNumberFormat="1" applyFont="1" applyBorder="1" applyAlignment="1">
      <alignment horizontal="center" vertical="center" wrapText="1"/>
    </xf>
    <xf numFmtId="189" fontId="9" fillId="0" borderId="13" xfId="0" applyNumberFormat="1" applyFont="1" applyBorder="1" applyAlignment="1">
      <alignment horizontal="center" vertical="center" wrapText="1"/>
    </xf>
    <xf numFmtId="189" fontId="9" fillId="0" borderId="14" xfId="0" applyNumberFormat="1" applyFont="1" applyBorder="1" applyAlignment="1">
      <alignment horizontal="center" vertical="center" wrapText="1"/>
    </xf>
    <xf numFmtId="194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7" fontId="9" fillId="0" borderId="13" xfId="0" applyNumberFormat="1" applyFont="1" applyBorder="1" applyAlignment="1">
      <alignment horizontal="center" vertical="center" wrapText="1"/>
    </xf>
    <xf numFmtId="177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7" fontId="0" fillId="0" borderId="0" xfId="0" applyNumberFormat="1" applyFont="1"/>
    <xf numFmtId="193" fontId="9" fillId="0" borderId="1" xfId="491" applyNumberFormat="1" applyFont="1" applyBorder="1" applyAlignment="1">
      <alignment horizontal="center" vertical="center" wrapText="1"/>
    </xf>
    <xf numFmtId="189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9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82" fontId="9" fillId="0" borderId="1" xfId="491" applyNumberFormat="1" applyFont="1" applyFill="1" applyBorder="1" applyAlignment="1">
      <alignment horizontal="center" vertical="center" wrapText="1"/>
    </xf>
    <xf numFmtId="186" fontId="9" fillId="0" borderId="0" xfId="0" applyNumberFormat="1" applyFont="1"/>
    <xf numFmtId="189" fontId="9" fillId="0" borderId="1" xfId="0" applyNumberFormat="1" applyFont="1" applyBorder="1" applyAlignment="1">
      <alignment horizontal="center" vertical="center"/>
    </xf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88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7" fontId="1" fillId="0" borderId="1" xfId="341" applyNumberFormat="1" applyFont="1" applyFill="1" applyBorder="1" applyAlignment="1">
      <alignment horizontal="center" vertical="center" wrapText="1"/>
    </xf>
    <xf numFmtId="184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 wrapText="1"/>
    </xf>
    <xf numFmtId="197" fontId="1" fillId="0" borderId="1" xfId="481" applyNumberFormat="1" applyFont="1" applyFill="1" applyBorder="1" applyAlignment="1">
      <alignment horizontal="center" vertical="center" wrapText="1"/>
    </xf>
    <xf numFmtId="184" fontId="1" fillId="0" borderId="1" xfId="481" applyNumberFormat="1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77" fontId="12" fillId="0" borderId="1" xfId="341" applyNumberFormat="1" applyFont="1" applyFill="1" applyBorder="1" applyAlignment="1">
      <alignment horizontal="center" vertical="center" wrapText="1"/>
    </xf>
    <xf numFmtId="194" fontId="12" fillId="0" borderId="1" xfId="341" applyNumberFormat="1" applyFont="1" applyFill="1" applyBorder="1" applyAlignment="1">
      <alignment horizontal="center" vertical="center" wrapText="1"/>
    </xf>
    <xf numFmtId="182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Fill="1" applyBorder="1" applyAlignment="1">
      <alignment horizontal="center" vertical="center" wrapText="1"/>
    </xf>
    <xf numFmtId="196" fontId="1" fillId="0" borderId="1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2" fontId="2" fillId="0" borderId="0" xfId="0" applyNumberFormat="1" applyFont="1" applyFill="1" applyBorder="1" applyAlignment="1">
      <alignment horizontal="center" vertical="center"/>
    </xf>
    <xf numFmtId="193" fontId="2" fillId="0" borderId="0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97" fontId="12" fillId="0" borderId="1" xfId="341" applyNumberFormat="1" applyFont="1" applyFill="1" applyBorder="1" applyAlignment="1">
      <alignment horizontal="center" vertical="center" wrapText="1"/>
    </xf>
    <xf numFmtId="197" fontId="12" fillId="0" borderId="1" xfId="508" applyNumberFormat="1" applyFont="1" applyFill="1" applyBorder="1" applyAlignment="1">
      <alignment horizontal="center" vertical="center" wrapText="1"/>
    </xf>
    <xf numFmtId="184" fontId="2" fillId="0" borderId="0" xfId="0" applyNumberFormat="1" applyFont="1" applyAlignment="1">
      <alignment horizontal="center" vertical="center"/>
    </xf>
    <xf numFmtId="197" fontId="2" fillId="0" borderId="0" xfId="0" applyNumberFormat="1" applyFont="1" applyAlignment="1">
      <alignment horizontal="center" vertical="center"/>
    </xf>
    <xf numFmtId="182" fontId="2" fillId="0" borderId="0" xfId="485" applyNumberFormat="1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197" fontId="30" fillId="0" borderId="0" xfId="0" applyNumberFormat="1" applyFont="1" applyAlignment="1">
      <alignment horizontal="center" vertical="center"/>
    </xf>
    <xf numFmtId="0" fontId="30" fillId="0" borderId="0" xfId="485" applyFont="1" applyBorder="1" applyAlignment="1">
      <alignment horizontal="center" vertical="center"/>
    </xf>
    <xf numFmtId="183" fontId="2" fillId="0" borderId="0" xfId="485" applyNumberFormat="1" applyFont="1" applyBorder="1" applyAlignment="1">
      <alignment horizontal="center" vertical="center"/>
    </xf>
    <xf numFmtId="197" fontId="2" fillId="0" borderId="1" xfId="0" applyNumberFormat="1" applyFont="1" applyBorder="1" applyAlignment="1">
      <alignment horizontal="center" vertical="center"/>
    </xf>
    <xf numFmtId="189" fontId="31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9" fontId="2" fillId="0" borderId="1" xfId="0" applyNumberFormat="1" applyFont="1" applyFill="1" applyBorder="1" applyAlignment="1">
      <alignment horizontal="center" vertical="center"/>
    </xf>
    <xf numFmtId="0" fontId="31" fillId="3" borderId="1" xfId="485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  <xf numFmtId="194" fontId="2" fillId="3" borderId="1" xfId="0" applyNumberFormat="1" applyFont="1" applyFill="1" applyBorder="1" applyAlignment="1">
      <alignment horizontal="center" vertical="center"/>
    </xf>
    <xf numFmtId="189" fontId="2" fillId="3" borderId="1" xfId="0" applyNumberFormat="1" applyFont="1" applyFill="1" applyBorder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87" fontId="2" fillId="0" borderId="0" xfId="0" applyNumberFormat="1" applyFont="1" applyFill="1" applyBorder="1" applyAlignment="1">
      <alignment horizontal="center" vertical="center"/>
    </xf>
    <xf numFmtId="194" fontId="2" fillId="0" borderId="0" xfId="0" applyNumberFormat="1" applyFont="1" applyFill="1" applyBorder="1" applyAlignment="1">
      <alignment horizontal="center" vertical="center"/>
    </xf>
    <xf numFmtId="197" fontId="1" fillId="0" borderId="1" xfId="508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84" fontId="28" fillId="0" borderId="0" xfId="20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92" fontId="28" fillId="0" borderId="0" xfId="2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89" fontId="2" fillId="0" borderId="0" xfId="0" applyNumberFormat="1" applyFont="1"/>
    <xf numFmtId="0" fontId="30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强调文字颜色 2 3 2" xfId="2"/>
    <cellStyle name="输入" xfId="3" builtinId="20"/>
    <cellStyle name="20% - 强调文字颜色 3" xfId="4" builtinId="38"/>
    <cellStyle name="链接单元格 5" xfId="5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40% - 强调文字颜色 3" xfId="13" builtinId="39"/>
    <cellStyle name="标题 5 6" xfId="14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强调文字颜色 1 2 3" xfId="35"/>
    <cellStyle name="20% - 强调文字颜色 4 4 2" xfId="36"/>
    <cellStyle name="60% - 强调文字颜色 2 2 2" xfId="37"/>
    <cellStyle name="计算 2 10" xfId="38"/>
    <cellStyle name="常规 5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计算 3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适中 2 5" xfId="60"/>
    <cellStyle name="强调文字颜色 3 2 4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标题 4 5 2" xfId="68"/>
    <cellStyle name="检查单元格 3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20% - 强调文字颜色 3 3 2" xfId="94"/>
    <cellStyle name="适中 2" xfId="95"/>
    <cellStyle name="计算 5" xfId="96"/>
    <cellStyle name="40% - 强调文字颜色 6" xfId="97" builtinId="51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20% - 强调文字颜色 2 2 3 3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千位分隔 2" xfId="368"/>
    <cellStyle name="强调文字颜色 4 2 5" xfId="369"/>
    <cellStyle name="百分比 2 11" xfId="370"/>
    <cellStyle name="标题 4 2" xfId="371"/>
    <cellStyle name="60% - 强调文字颜色 5 2 5" xfId="372"/>
    <cellStyle name="标题 4 3" xfId="373"/>
    <cellStyle name="60% - 强调文字颜色 5 2 6" xfId="374"/>
    <cellStyle name="汇总 2 2" xfId="375"/>
    <cellStyle name="60% - 强调文字颜色 5 3 2" xfId="376"/>
    <cellStyle name="60% - 强调文字颜色 5 4" xfId="377"/>
    <cellStyle name="60% - 强调文字颜色 5 5" xfId="378"/>
    <cellStyle name="输入 2 3" xfId="379"/>
    <cellStyle name="60% - 强调文字颜色 5 5 2" xfId="380"/>
    <cellStyle name="60% - 强调文字颜色 6 2" xfId="381"/>
    <cellStyle name="好_汇总二 3" xfId="382"/>
    <cellStyle name="标题 4 2 6" xfId="383"/>
    <cellStyle name="60% - 强调文字颜色 6 2 2" xfId="384"/>
    <cellStyle name="60% - 强调文字颜色 6 2 3" xfId="385"/>
    <cellStyle name="60% - 强调文字颜色 6 4" xfId="386"/>
    <cellStyle name="60% - 强调文字颜色 6 4 2" xfId="387"/>
    <cellStyle name="检查单元格 2 6" xfId="388"/>
    <cellStyle name="60% - 强调文字颜色 6 5" xfId="389"/>
    <cellStyle name="百分比 2" xfId="390"/>
    <cellStyle name="差 4" xfId="391"/>
    <cellStyle name="百分比 2 11 2" xfId="392"/>
    <cellStyle name="常规 2 17" xfId="393"/>
    <cellStyle name="百分比 2 11 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适中 3 2" xfId="478"/>
    <cellStyle name="计算 6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强调文字颜色 3 4 2" xfId="558"/>
    <cellStyle name="常规 2 11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zoomScale="85" zoomScaleNormal="85" workbookViewId="0">
      <selection activeCell="E37" sqref="E37:G37"/>
    </sheetView>
  </sheetViews>
  <sheetFormatPr defaultColWidth="8.75" defaultRowHeight="14.25"/>
  <cols>
    <col min="1" max="1" width="3.75" style="3" customWidth="1"/>
    <col min="2" max="3" width="4.25" style="255" customWidth="1"/>
    <col min="4" max="4" width="7.8" style="255" customWidth="1"/>
    <col min="5" max="5" width="7.5" style="255" customWidth="1"/>
    <col min="6" max="6" width="7.16666666666667" style="255" customWidth="1"/>
    <col min="7" max="7" width="6.94166666666667" style="256" customWidth="1"/>
    <col min="8" max="8" width="5.625" style="256" customWidth="1"/>
    <col min="9" max="9" width="6" style="255" customWidth="1"/>
    <col min="10" max="10" width="6.46666666666667" style="255" customWidth="1"/>
    <col min="11" max="11" width="6.5" style="255" customWidth="1"/>
    <col min="12" max="12" width="6.375" style="255" customWidth="1"/>
    <col min="13" max="13" width="6.11666666666667" style="255" customWidth="1"/>
    <col min="14" max="14" width="6.125" style="255" customWidth="1"/>
    <col min="15" max="15" width="6.60833333333333" style="255" customWidth="1"/>
    <col min="16" max="16" width="6.46666666666667" style="255" customWidth="1"/>
    <col min="17" max="17" width="7.5" style="255" customWidth="1"/>
    <col min="18" max="18" width="10.125" style="255" customWidth="1"/>
    <col min="19" max="19" width="10" style="257" customWidth="1"/>
    <col min="20" max="20" width="15.875" style="257" customWidth="1"/>
    <col min="21" max="21" width="12.875" style="257" customWidth="1"/>
    <col min="22" max="22" width="12.25" style="257" customWidth="1"/>
    <col min="23" max="25" width="12.625" style="257"/>
    <col min="26" max="26" width="15" style="257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</row>
    <row r="2" ht="14" customHeight="1" spans="1:18">
      <c r="A2" s="259">
        <v>44835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</row>
    <row r="3" ht="20.25" customHeight="1" spans="1:38">
      <c r="A3" s="261" t="s">
        <v>1</v>
      </c>
      <c r="B3" s="262" t="s">
        <v>2</v>
      </c>
      <c r="C3" s="262" t="s">
        <v>3</v>
      </c>
      <c r="D3" s="8" t="s">
        <v>4</v>
      </c>
      <c r="E3" s="5" t="s">
        <v>5</v>
      </c>
      <c r="F3" s="5"/>
      <c r="G3" s="5"/>
      <c r="H3" s="262" t="s">
        <v>6</v>
      </c>
      <c r="I3" s="262" t="s">
        <v>7</v>
      </c>
      <c r="J3" s="262" t="s">
        <v>8</v>
      </c>
      <c r="K3" s="262" t="s">
        <v>9</v>
      </c>
      <c r="L3" s="8" t="s">
        <v>10</v>
      </c>
      <c r="M3" s="262" t="s">
        <v>11</v>
      </c>
      <c r="N3" s="262" t="s">
        <v>12</v>
      </c>
      <c r="O3" s="5" t="s">
        <v>13</v>
      </c>
      <c r="P3" s="5"/>
      <c r="Q3" s="8" t="s">
        <v>14</v>
      </c>
      <c r="R3" s="8" t="s">
        <v>15</v>
      </c>
      <c r="T3" s="257" t="s">
        <v>16</v>
      </c>
      <c r="U3" s="257" t="s">
        <v>17</v>
      </c>
      <c r="W3" s="284" t="s">
        <v>18</v>
      </c>
      <c r="X3" s="284" t="s">
        <v>19</v>
      </c>
      <c r="Y3" s="284"/>
      <c r="Z3" s="284" t="s">
        <v>20</v>
      </c>
      <c r="AD3" s="3" t="s">
        <v>21</v>
      </c>
      <c r="AE3" s="3" t="s">
        <v>22</v>
      </c>
      <c r="AF3" s="3" t="s">
        <v>23</v>
      </c>
      <c r="AG3" s="3" t="s">
        <v>24</v>
      </c>
      <c r="AH3" s="3" t="s">
        <v>25</v>
      </c>
      <c r="AI3" s="3" t="s">
        <v>26</v>
      </c>
      <c r="AK3" s="3" t="s">
        <v>27</v>
      </c>
      <c r="AL3" s="3" t="s">
        <v>19</v>
      </c>
    </row>
    <row r="4" ht="21" customHeight="1" spans="1:28">
      <c r="A4" s="263"/>
      <c r="B4" s="264" t="s">
        <v>28</v>
      </c>
      <c r="C4" s="264" t="s">
        <v>29</v>
      </c>
      <c r="D4" s="264"/>
      <c r="E4" s="264" t="s">
        <v>30</v>
      </c>
      <c r="F4" s="264" t="s">
        <v>31</v>
      </c>
      <c r="G4" s="264" t="s">
        <v>32</v>
      </c>
      <c r="H4" s="264" t="s">
        <v>33</v>
      </c>
      <c r="I4" s="264" t="s">
        <v>34</v>
      </c>
      <c r="J4" s="264" t="s">
        <v>35</v>
      </c>
      <c r="K4" s="264" t="s">
        <v>33</v>
      </c>
      <c r="L4" s="264"/>
      <c r="M4" s="264" t="s">
        <v>33</v>
      </c>
      <c r="N4" s="264" t="s">
        <v>33</v>
      </c>
      <c r="O4" s="264" t="s">
        <v>36</v>
      </c>
      <c r="P4" s="264" t="s">
        <v>37</v>
      </c>
      <c r="Q4" s="264"/>
      <c r="R4" s="264"/>
      <c r="T4" s="57" t="s">
        <v>38</v>
      </c>
      <c r="U4" s="285">
        <f>ROUND(J37*W4,2)</f>
        <v>1049992.02</v>
      </c>
      <c r="V4" s="285"/>
      <c r="W4" s="286">
        <v>0.68119373328986</v>
      </c>
      <c r="X4" s="287">
        <f>J36/R36</f>
        <v>0.276871030441981</v>
      </c>
      <c r="Y4" s="284"/>
      <c r="Z4" s="319">
        <v>44656</v>
      </c>
      <c r="AA4" s="320"/>
      <c r="AB4" s="3" t="s">
        <v>39</v>
      </c>
    </row>
    <row r="5" ht="18.6" customHeight="1" spans="1:38">
      <c r="A5" s="6">
        <v>1</v>
      </c>
      <c r="B5" s="265">
        <v>27.9</v>
      </c>
      <c r="C5" s="266" t="s">
        <v>40</v>
      </c>
      <c r="D5" s="267">
        <v>205468</v>
      </c>
      <c r="E5" s="268">
        <v>0</v>
      </c>
      <c r="F5" s="268">
        <v>105.36</v>
      </c>
      <c r="G5" s="268">
        <v>0</v>
      </c>
      <c r="H5" s="269">
        <v>100</v>
      </c>
      <c r="I5" s="6">
        <v>3654</v>
      </c>
      <c r="J5" s="275">
        <v>53299.9999999811</v>
      </c>
      <c r="K5" s="276">
        <v>0</v>
      </c>
      <c r="L5" s="277">
        <v>0</v>
      </c>
      <c r="M5" s="276">
        <v>4856</v>
      </c>
      <c r="N5" s="276">
        <v>1564</v>
      </c>
      <c r="O5" s="278">
        <v>0</v>
      </c>
      <c r="P5" s="278">
        <v>0</v>
      </c>
      <c r="Q5" s="288">
        <v>5496</v>
      </c>
      <c r="R5" s="289">
        <f>D5-Q5</f>
        <v>199972</v>
      </c>
      <c r="S5" s="290"/>
      <c r="T5" s="291" t="s">
        <v>41</v>
      </c>
      <c r="U5" s="292">
        <f>H37*W5/1000</f>
        <v>118300</v>
      </c>
      <c r="V5" s="285"/>
      <c r="W5" s="293">
        <v>28000</v>
      </c>
      <c r="X5" s="285">
        <f>H36/R36*1000</f>
        <v>0.758907553923301</v>
      </c>
      <c r="Y5" s="284"/>
      <c r="Z5" s="321">
        <v>44287</v>
      </c>
      <c r="AB5" s="322">
        <f>E5+F5+G5</f>
        <v>105.36</v>
      </c>
      <c r="AD5" s="3">
        <f>$W$9*K5/1000/R5</f>
        <v>0</v>
      </c>
      <c r="AE5" s="3">
        <f>$W$5*H5/1000/R5</f>
        <v>0.0140019602744384</v>
      </c>
      <c r="AF5" s="3">
        <f>$W$6*L5/1000/R5</f>
        <v>0</v>
      </c>
      <c r="AG5" s="3">
        <f>$W$7*M5/1000/R5</f>
        <v>0.0108061128557998</v>
      </c>
      <c r="AH5" s="3">
        <f>$W$8*N5/1000/R5</f>
        <v>0.050798011721641</v>
      </c>
      <c r="AI5" s="3">
        <f>AD5+AE5+AF5+AG5+AH5</f>
        <v>0.0756060848518793</v>
      </c>
      <c r="AK5" s="3">
        <f>AB5*(100-进出水!T7)/100</f>
        <v>22.86312</v>
      </c>
      <c r="AL5" s="3">
        <f>H5/AK5</f>
        <v>4.37385623659413</v>
      </c>
    </row>
    <row r="6" ht="18.6" customHeight="1" spans="1:38">
      <c r="A6" s="6">
        <v>2</v>
      </c>
      <c r="B6" s="265">
        <v>27.6</v>
      </c>
      <c r="C6" s="266" t="s">
        <v>40</v>
      </c>
      <c r="D6" s="267">
        <v>171839</v>
      </c>
      <c r="E6" s="268">
        <v>0</v>
      </c>
      <c r="F6" s="268">
        <v>102.14</v>
      </c>
      <c r="G6" s="268">
        <v>0</v>
      </c>
      <c r="H6" s="269">
        <v>125</v>
      </c>
      <c r="I6" s="6">
        <v>3618</v>
      </c>
      <c r="J6" s="275">
        <v>48500.0000000218</v>
      </c>
      <c r="K6" s="276">
        <v>0</v>
      </c>
      <c r="L6" s="277">
        <v>0.2</v>
      </c>
      <c r="M6" s="276">
        <v>4714</v>
      </c>
      <c r="N6" s="276">
        <v>1540</v>
      </c>
      <c r="O6" s="278">
        <v>0</v>
      </c>
      <c r="P6" s="278">
        <v>0</v>
      </c>
      <c r="Q6" s="288">
        <v>5488</v>
      </c>
      <c r="R6" s="289">
        <f t="shared" ref="R6:R36" si="0">D6-Q6</f>
        <v>166351</v>
      </c>
      <c r="S6" s="290"/>
      <c r="T6" s="291" t="s">
        <v>42</v>
      </c>
      <c r="U6" s="292">
        <f>L37*W6/1000</f>
        <v>27.04</v>
      </c>
      <c r="V6" s="285">
        <f>U5+U6</f>
        <v>118327.04</v>
      </c>
      <c r="W6" s="57">
        <v>10400</v>
      </c>
      <c r="X6" s="285">
        <f>L36/R36*1000</f>
        <v>0.00046702003318357</v>
      </c>
      <c r="Y6" s="284"/>
      <c r="Z6" s="321">
        <v>44256</v>
      </c>
      <c r="AB6" s="322">
        <f t="shared" ref="AB6:AB35" si="1">E6+F6+G6</f>
        <v>102.14</v>
      </c>
      <c r="AD6" s="3">
        <f t="shared" ref="AD6:AD35" si="2">$W$9*K6/1000/R6</f>
        <v>0</v>
      </c>
      <c r="AE6" s="3">
        <f t="shared" ref="AE6:AE35" si="3">$W$5*H6/1000/R6</f>
        <v>0.0210398494749055</v>
      </c>
      <c r="AF6" s="3">
        <f t="shared" ref="AF6:AF35" si="4">$W$6*L6/1000/R6</f>
        <v>1.25036819736581e-5</v>
      </c>
      <c r="AG6" s="3">
        <f t="shared" ref="AG6:AG35" si="5">$W$7*M6/1000/R6</f>
        <v>0.0126102638397124</v>
      </c>
      <c r="AH6" s="3">
        <f t="shared" ref="AH6:AH35" si="6">$W$8*N6/1000/R6</f>
        <v>0.0601276818293848</v>
      </c>
      <c r="AI6" s="3">
        <f t="shared" ref="AI6:AI35" si="7">AD6+AE6+AF6+AG6+AH6</f>
        <v>0.0937902988259764</v>
      </c>
      <c r="AK6" s="3">
        <f>AB6*(100-进出水!T8)/100</f>
        <v>22.36866</v>
      </c>
      <c r="AL6" s="3">
        <f t="shared" ref="AL6:AL35" si="8">H6/AK6</f>
        <v>5.5881755992536</v>
      </c>
    </row>
    <row r="7" ht="18.6" customHeight="1" spans="1:38">
      <c r="A7" s="6">
        <v>3</v>
      </c>
      <c r="B7" s="265">
        <v>29.5</v>
      </c>
      <c r="C7" s="266" t="s">
        <v>40</v>
      </c>
      <c r="D7" s="267">
        <v>161241</v>
      </c>
      <c r="E7" s="268">
        <v>0</v>
      </c>
      <c r="F7" s="268">
        <v>105.58</v>
      </c>
      <c r="G7" s="268">
        <v>0</v>
      </c>
      <c r="H7" s="269">
        <v>125</v>
      </c>
      <c r="I7" s="6">
        <v>4760</v>
      </c>
      <c r="J7" s="275">
        <v>48199.9999999971</v>
      </c>
      <c r="K7" s="276">
        <v>0</v>
      </c>
      <c r="L7" s="277">
        <v>0</v>
      </c>
      <c r="M7" s="276">
        <v>4288</v>
      </c>
      <c r="N7" s="276">
        <v>1396</v>
      </c>
      <c r="O7" s="278">
        <v>1.62</v>
      </c>
      <c r="P7" s="278">
        <v>0</v>
      </c>
      <c r="Q7" s="288">
        <v>5488</v>
      </c>
      <c r="R7" s="289">
        <f t="shared" si="0"/>
        <v>155753</v>
      </c>
      <c r="S7" s="290"/>
      <c r="T7" s="291" t="s">
        <v>43</v>
      </c>
      <c r="U7" s="292">
        <f>M37*W7/1000</f>
        <v>54224.14</v>
      </c>
      <c r="V7" s="285"/>
      <c r="W7" s="57">
        <v>445</v>
      </c>
      <c r="X7" s="285">
        <f>M36/R36*1000</f>
        <v>21.887432724417</v>
      </c>
      <c r="Y7" s="284"/>
      <c r="Z7" s="321">
        <v>44228</v>
      </c>
      <c r="AB7" s="322">
        <f t="shared" si="1"/>
        <v>105.58</v>
      </c>
      <c r="AD7" s="3">
        <f t="shared" si="2"/>
        <v>0</v>
      </c>
      <c r="AE7" s="3">
        <f t="shared" si="3"/>
        <v>0.0224714772749161</v>
      </c>
      <c r="AF7" s="3">
        <f t="shared" si="4"/>
        <v>0</v>
      </c>
      <c r="AG7" s="3">
        <f t="shared" si="5"/>
        <v>0.0122511925934011</v>
      </c>
      <c r="AH7" s="3">
        <f t="shared" si="6"/>
        <v>0.0582140953946312</v>
      </c>
      <c r="AI7" s="3">
        <f t="shared" si="7"/>
        <v>0.0929367652629484</v>
      </c>
      <c r="AK7" s="3">
        <f>AB7*(100-进出水!T9)/100</f>
        <v>23.33318</v>
      </c>
      <c r="AL7" s="3">
        <f t="shared" si="8"/>
        <v>5.35717806145583</v>
      </c>
    </row>
    <row r="8" ht="18.6" customHeight="1" spans="1:38">
      <c r="A8" s="6">
        <v>4</v>
      </c>
      <c r="B8" s="265">
        <v>28.3</v>
      </c>
      <c r="C8" s="266" t="s">
        <v>44</v>
      </c>
      <c r="D8" s="267">
        <v>161797</v>
      </c>
      <c r="E8" s="268">
        <v>104.84</v>
      </c>
      <c r="F8" s="268">
        <v>0</v>
      </c>
      <c r="G8" s="268">
        <v>0</v>
      </c>
      <c r="H8" s="269">
        <v>125</v>
      </c>
      <c r="I8" s="6">
        <v>4386</v>
      </c>
      <c r="J8" s="275">
        <v>46599.9999999985</v>
      </c>
      <c r="K8" s="276">
        <v>0</v>
      </c>
      <c r="L8" s="277">
        <v>0.2</v>
      </c>
      <c r="M8" s="276">
        <v>2087</v>
      </c>
      <c r="N8" s="276">
        <v>652</v>
      </c>
      <c r="O8" s="278">
        <v>0</v>
      </c>
      <c r="P8" s="278">
        <v>0</v>
      </c>
      <c r="Q8" s="288">
        <v>5518</v>
      </c>
      <c r="R8" s="289">
        <f t="shared" si="0"/>
        <v>156279</v>
      </c>
      <c r="S8" s="290"/>
      <c r="T8" s="291" t="s">
        <v>45</v>
      </c>
      <c r="U8" s="292">
        <f>N37*W8/1000</f>
        <v>252083.94</v>
      </c>
      <c r="V8" s="285">
        <f>U7+U8</f>
        <v>306308.08</v>
      </c>
      <c r="W8" s="57">
        <v>6495</v>
      </c>
      <c r="X8" s="285">
        <f>N36/R36*1000</f>
        <v>6.97153135689258</v>
      </c>
      <c r="Y8" s="57"/>
      <c r="Z8" s="321">
        <v>44806</v>
      </c>
      <c r="AB8" s="322">
        <f t="shared" si="1"/>
        <v>104.84</v>
      </c>
      <c r="AD8" s="3">
        <f t="shared" si="2"/>
        <v>0</v>
      </c>
      <c r="AE8" s="3">
        <f t="shared" si="3"/>
        <v>0.0223958433314777</v>
      </c>
      <c r="AF8" s="3">
        <f t="shared" si="4"/>
        <v>1.33095297512782e-5</v>
      </c>
      <c r="AG8" s="3">
        <f t="shared" si="5"/>
        <v>0.0059426730398838</v>
      </c>
      <c r="AH8" s="3">
        <f t="shared" si="6"/>
        <v>0.0270973067398691</v>
      </c>
      <c r="AI8" s="3">
        <f t="shared" si="7"/>
        <v>0.0554491326409818</v>
      </c>
      <c r="AK8" s="3">
        <f>AB8*(100-进出水!T10)/100</f>
        <v>23.48416</v>
      </c>
      <c r="AL8" s="3">
        <f t="shared" si="8"/>
        <v>5.32273668719682</v>
      </c>
    </row>
    <row r="9" ht="18.6" customHeight="1" spans="1:38">
      <c r="A9" s="6">
        <v>5</v>
      </c>
      <c r="B9" s="265">
        <v>27</v>
      </c>
      <c r="C9" s="266" t="s">
        <v>46</v>
      </c>
      <c r="D9" s="267">
        <v>173778</v>
      </c>
      <c r="E9" s="268">
        <v>53.28</v>
      </c>
      <c r="F9" s="268">
        <v>51.9</v>
      </c>
      <c r="G9" s="268">
        <v>0</v>
      </c>
      <c r="H9" s="269">
        <v>125</v>
      </c>
      <c r="I9" s="6">
        <v>4800</v>
      </c>
      <c r="J9" s="279">
        <v>49399.9999999869</v>
      </c>
      <c r="K9" s="276">
        <v>0</v>
      </c>
      <c r="L9" s="277">
        <v>0</v>
      </c>
      <c r="M9" s="276">
        <v>1661</v>
      </c>
      <c r="N9" s="276">
        <v>508</v>
      </c>
      <c r="O9" s="278">
        <v>0</v>
      </c>
      <c r="P9" s="278">
        <v>0</v>
      </c>
      <c r="Q9" s="288">
        <v>5512</v>
      </c>
      <c r="R9" s="289">
        <f t="shared" si="0"/>
        <v>168266</v>
      </c>
      <c r="S9" s="290"/>
      <c r="T9" s="291" t="s">
        <v>47</v>
      </c>
      <c r="U9" s="292">
        <f>K37*W9/1000</f>
        <v>34526.64</v>
      </c>
      <c r="V9" s="285"/>
      <c r="W9" s="57">
        <v>526</v>
      </c>
      <c r="X9" s="285">
        <f>K36/R36*1000</f>
        <v>11.7904596069883</v>
      </c>
      <c r="Y9" s="284"/>
      <c r="Z9" s="321">
        <v>44228</v>
      </c>
      <c r="AB9" s="322">
        <f t="shared" si="1"/>
        <v>105.18</v>
      </c>
      <c r="AD9" s="3">
        <f t="shared" si="2"/>
        <v>0</v>
      </c>
      <c r="AE9" s="3">
        <f t="shared" si="3"/>
        <v>0.0208003993676679</v>
      </c>
      <c r="AF9" s="3">
        <f t="shared" si="4"/>
        <v>0</v>
      </c>
      <c r="AG9" s="3">
        <f t="shared" si="5"/>
        <v>0.00439271748303282</v>
      </c>
      <c r="AH9" s="3">
        <f t="shared" si="6"/>
        <v>0.019608595913613</v>
      </c>
      <c r="AI9" s="3">
        <f t="shared" si="7"/>
        <v>0.0448017127643136</v>
      </c>
      <c r="AK9" s="3">
        <f>AB9*(100-进出水!T11)/100</f>
        <v>23.34996</v>
      </c>
      <c r="AL9" s="3">
        <f t="shared" si="8"/>
        <v>5.35332822839953</v>
      </c>
    </row>
    <row r="10" ht="18.6" customHeight="1" spans="1:38">
      <c r="A10" s="6">
        <v>6</v>
      </c>
      <c r="B10" s="265">
        <v>26.5</v>
      </c>
      <c r="C10" s="266" t="s">
        <v>46</v>
      </c>
      <c r="D10" s="267">
        <v>191585</v>
      </c>
      <c r="E10" s="268">
        <v>71.18</v>
      </c>
      <c r="F10" s="268">
        <v>35.28</v>
      </c>
      <c r="G10" s="268">
        <v>0</v>
      </c>
      <c r="H10" s="269">
        <v>125</v>
      </c>
      <c r="I10" s="6">
        <v>3420</v>
      </c>
      <c r="J10" s="275">
        <v>50100.0000000204</v>
      </c>
      <c r="K10" s="276">
        <v>0</v>
      </c>
      <c r="L10" s="277">
        <v>0.2</v>
      </c>
      <c r="M10" s="276">
        <v>1945</v>
      </c>
      <c r="N10" s="276">
        <v>604</v>
      </c>
      <c r="O10" s="278">
        <v>1.62</v>
      </c>
      <c r="P10" s="278">
        <v>0</v>
      </c>
      <c r="Q10" s="288">
        <v>5496</v>
      </c>
      <c r="R10" s="289">
        <f t="shared" si="0"/>
        <v>186089</v>
      </c>
      <c r="S10" s="290"/>
      <c r="T10" s="291" t="s">
        <v>48</v>
      </c>
      <c r="U10" s="292">
        <f>T18</f>
        <v>67856.44</v>
      </c>
      <c r="V10" s="285" t="s">
        <v>49</v>
      </c>
      <c r="W10" s="294"/>
      <c r="X10" s="294"/>
      <c r="Y10" s="323"/>
      <c r="Z10" s="323"/>
      <c r="AB10" s="322">
        <f t="shared" si="1"/>
        <v>106.46</v>
      </c>
      <c r="AD10" s="3">
        <f t="shared" si="2"/>
        <v>0</v>
      </c>
      <c r="AE10" s="3">
        <f t="shared" si="3"/>
        <v>0.0188082046762571</v>
      </c>
      <c r="AF10" s="3">
        <f t="shared" si="4"/>
        <v>1.11774473504613e-5</v>
      </c>
      <c r="AG10" s="3">
        <f t="shared" si="5"/>
        <v>0.00465113467211925</v>
      </c>
      <c r="AH10" s="3">
        <f t="shared" si="6"/>
        <v>0.0210812030802465</v>
      </c>
      <c r="AI10" s="3">
        <f t="shared" si="7"/>
        <v>0.0445517198759733</v>
      </c>
      <c r="AK10" s="3">
        <f>AB10*(100-进出水!T12)/100</f>
        <v>23.4212</v>
      </c>
      <c r="AL10" s="3">
        <f t="shared" si="8"/>
        <v>5.33704507027821</v>
      </c>
    </row>
    <row r="11" ht="18.6" customHeight="1" spans="1:38">
      <c r="A11" s="6">
        <v>7</v>
      </c>
      <c r="B11" s="265">
        <v>26</v>
      </c>
      <c r="C11" s="266" t="s">
        <v>44</v>
      </c>
      <c r="D11" s="267">
        <v>213641</v>
      </c>
      <c r="E11" s="268">
        <v>66.48</v>
      </c>
      <c r="F11" s="268">
        <v>16.12</v>
      </c>
      <c r="G11" s="268">
        <v>0</v>
      </c>
      <c r="H11" s="269">
        <v>125</v>
      </c>
      <c r="I11" s="13">
        <v>3252</v>
      </c>
      <c r="J11" s="279">
        <v>51999.9999999709</v>
      </c>
      <c r="K11" s="276">
        <v>0</v>
      </c>
      <c r="L11" s="277">
        <v>0</v>
      </c>
      <c r="M11" s="276">
        <v>4359</v>
      </c>
      <c r="N11" s="276">
        <v>1396</v>
      </c>
      <c r="O11" s="278">
        <v>1.56</v>
      </c>
      <c r="P11" s="278">
        <v>0</v>
      </c>
      <c r="Q11" s="288">
        <v>5487</v>
      </c>
      <c r="R11" s="289">
        <f t="shared" si="0"/>
        <v>208154</v>
      </c>
      <c r="S11" s="290"/>
      <c r="T11" s="291" t="s">
        <v>50</v>
      </c>
      <c r="U11" s="292">
        <f>汇总!J5*W11</f>
        <v>14254.8</v>
      </c>
      <c r="V11" s="285"/>
      <c r="W11" s="57">
        <v>4.2</v>
      </c>
      <c r="X11" s="57"/>
      <c r="Y11" s="57"/>
      <c r="Z11" s="284"/>
      <c r="AB11" s="322">
        <f t="shared" si="1"/>
        <v>82.6</v>
      </c>
      <c r="AD11" s="3">
        <f t="shared" si="2"/>
        <v>0</v>
      </c>
      <c r="AE11" s="3">
        <f t="shared" si="3"/>
        <v>0.0168144738991324</v>
      </c>
      <c r="AF11" s="3">
        <f t="shared" si="4"/>
        <v>0</v>
      </c>
      <c r="AG11" s="3">
        <f t="shared" si="5"/>
        <v>0.00931884566234615</v>
      </c>
      <c r="AH11" s="3">
        <f t="shared" si="6"/>
        <v>0.0435591917522603</v>
      </c>
      <c r="AI11" s="3">
        <f t="shared" si="7"/>
        <v>0.0696925113137389</v>
      </c>
      <c r="AK11" s="3">
        <f>AB11*(100-进出水!T13)/100</f>
        <v>17.9242</v>
      </c>
      <c r="AL11" s="3">
        <f t="shared" si="8"/>
        <v>6.97381194139766</v>
      </c>
    </row>
    <row r="12" ht="18.6" customHeight="1" spans="1:38">
      <c r="A12" s="6">
        <v>8</v>
      </c>
      <c r="B12" s="265">
        <v>26.4</v>
      </c>
      <c r="C12" s="266" t="s">
        <v>44</v>
      </c>
      <c r="D12" s="269">
        <v>211741</v>
      </c>
      <c r="E12" s="268">
        <v>0</v>
      </c>
      <c r="F12" s="268">
        <v>63.8</v>
      </c>
      <c r="G12" s="268">
        <v>0</v>
      </c>
      <c r="H12" s="269">
        <v>125</v>
      </c>
      <c r="I12" s="6">
        <v>3958</v>
      </c>
      <c r="J12" s="275">
        <v>51400.0000000306</v>
      </c>
      <c r="K12" s="276">
        <v>0</v>
      </c>
      <c r="L12" s="277">
        <v>0.2</v>
      </c>
      <c r="M12" s="276">
        <v>5140</v>
      </c>
      <c r="N12" s="276">
        <v>1612</v>
      </c>
      <c r="O12" s="278">
        <v>0</v>
      </c>
      <c r="P12" s="278">
        <v>0</v>
      </c>
      <c r="Q12" s="288">
        <v>5496</v>
      </c>
      <c r="R12" s="289">
        <f t="shared" si="0"/>
        <v>206245</v>
      </c>
      <c r="S12" s="290"/>
      <c r="T12" s="295"/>
      <c r="U12" s="296"/>
      <c r="V12" s="294"/>
      <c r="W12" s="294"/>
      <c r="X12" s="294"/>
      <c r="AB12" s="322">
        <f t="shared" si="1"/>
        <v>63.8</v>
      </c>
      <c r="AD12" s="3">
        <f t="shared" si="2"/>
        <v>0</v>
      </c>
      <c r="AE12" s="3">
        <f t="shared" si="3"/>
        <v>0.0169701083662634</v>
      </c>
      <c r="AF12" s="3">
        <f t="shared" si="4"/>
        <v>1.00850929719508e-5</v>
      </c>
      <c r="AG12" s="3">
        <f t="shared" si="5"/>
        <v>0.0110902082474727</v>
      </c>
      <c r="AH12" s="3">
        <f t="shared" si="6"/>
        <v>0.050764576110936</v>
      </c>
      <c r="AI12" s="3">
        <f t="shared" si="7"/>
        <v>0.0788349778176441</v>
      </c>
      <c r="AK12" s="3">
        <f>AB12*(100-进出水!T14)/100</f>
        <v>13.9722</v>
      </c>
      <c r="AL12" s="3">
        <f t="shared" si="8"/>
        <v>8.94633629635991</v>
      </c>
    </row>
    <row r="13" ht="18.6" customHeight="1" spans="1:38">
      <c r="A13" s="6">
        <v>9</v>
      </c>
      <c r="B13" s="265">
        <v>27</v>
      </c>
      <c r="C13" s="266" t="s">
        <v>40</v>
      </c>
      <c r="D13" s="267">
        <v>211578</v>
      </c>
      <c r="E13" s="268">
        <v>0</v>
      </c>
      <c r="F13" s="268">
        <v>64</v>
      </c>
      <c r="G13" s="268">
        <v>0</v>
      </c>
      <c r="H13" s="269">
        <v>125</v>
      </c>
      <c r="I13" s="6">
        <v>3864</v>
      </c>
      <c r="J13" s="275">
        <v>50499.9999999927</v>
      </c>
      <c r="K13" s="276">
        <v>0</v>
      </c>
      <c r="L13" s="277">
        <v>0</v>
      </c>
      <c r="M13" s="276">
        <v>5566</v>
      </c>
      <c r="N13" s="276">
        <v>1756</v>
      </c>
      <c r="O13" s="278">
        <v>0</v>
      </c>
      <c r="P13" s="278">
        <v>0</v>
      </c>
      <c r="Q13" s="288">
        <v>5497</v>
      </c>
      <c r="R13" s="289">
        <f t="shared" si="0"/>
        <v>206081</v>
      </c>
      <c r="S13" s="290"/>
      <c r="T13" s="291"/>
      <c r="U13" s="297">
        <f>U14/R37</f>
        <v>0.0824760539968562</v>
      </c>
      <c r="V13" s="57"/>
      <c r="W13" s="57"/>
      <c r="X13" s="294"/>
      <c r="AB13" s="322">
        <f t="shared" si="1"/>
        <v>64</v>
      </c>
      <c r="AD13" s="3">
        <f t="shared" si="2"/>
        <v>0</v>
      </c>
      <c r="AE13" s="3">
        <f t="shared" si="3"/>
        <v>0.0169836132394544</v>
      </c>
      <c r="AF13" s="3">
        <f t="shared" si="4"/>
        <v>0</v>
      </c>
      <c r="AG13" s="3">
        <f t="shared" si="5"/>
        <v>0.0120189148926878</v>
      </c>
      <c r="AH13" s="3">
        <f t="shared" si="6"/>
        <v>0.0553433843973971</v>
      </c>
      <c r="AI13" s="3">
        <f t="shared" si="7"/>
        <v>0.0843459125295394</v>
      </c>
      <c r="AK13" s="3">
        <f>AB13*(100-进出水!T15)/100</f>
        <v>13.824</v>
      </c>
      <c r="AL13" s="3">
        <f t="shared" si="8"/>
        <v>9.04224537037037</v>
      </c>
    </row>
    <row r="14" ht="18.6" customHeight="1" spans="1:38">
      <c r="A14" s="6">
        <v>10</v>
      </c>
      <c r="B14" s="265">
        <v>25.2</v>
      </c>
      <c r="C14" s="266" t="s">
        <v>40</v>
      </c>
      <c r="D14" s="267">
        <v>212007</v>
      </c>
      <c r="E14" s="268">
        <v>0</v>
      </c>
      <c r="F14" s="268">
        <v>69.5</v>
      </c>
      <c r="G14" s="268">
        <v>0</v>
      </c>
      <c r="H14" s="269">
        <v>125</v>
      </c>
      <c r="I14" s="6">
        <v>3692</v>
      </c>
      <c r="J14" s="275">
        <v>50200.0000000044</v>
      </c>
      <c r="K14" s="276">
        <v>0</v>
      </c>
      <c r="L14" s="277">
        <v>0</v>
      </c>
      <c r="M14" s="276">
        <v>4785</v>
      </c>
      <c r="N14" s="276">
        <v>1564</v>
      </c>
      <c r="O14" s="278">
        <v>0</v>
      </c>
      <c r="P14" s="278">
        <v>0</v>
      </c>
      <c r="Q14" s="288">
        <v>5504</v>
      </c>
      <c r="R14" s="289">
        <f t="shared" si="0"/>
        <v>206503</v>
      </c>
      <c r="S14" s="290"/>
      <c r="T14" s="298" t="s">
        <v>51</v>
      </c>
      <c r="U14" s="299">
        <f>U5+U6+U7+U8+U9</f>
        <v>459161.76</v>
      </c>
      <c r="V14" s="300" t="s">
        <v>52</v>
      </c>
      <c r="W14" s="301">
        <f>U6+U9</f>
        <v>34553.68</v>
      </c>
      <c r="X14" s="294"/>
      <c r="AB14" s="322">
        <f t="shared" si="1"/>
        <v>69.5</v>
      </c>
      <c r="AD14" s="3">
        <f t="shared" si="2"/>
        <v>0</v>
      </c>
      <c r="AE14" s="3">
        <f t="shared" si="3"/>
        <v>0.0169489063112885</v>
      </c>
      <c r="AF14" s="3">
        <f t="shared" si="4"/>
        <v>0</v>
      </c>
      <c r="AG14" s="3">
        <f t="shared" si="5"/>
        <v>0.0103113514089384</v>
      </c>
      <c r="AH14" s="3">
        <f t="shared" si="6"/>
        <v>0.0491914403180583</v>
      </c>
      <c r="AI14" s="3">
        <f t="shared" si="7"/>
        <v>0.0764516980382852</v>
      </c>
      <c r="AK14" s="3">
        <f>AB14*(100-进出水!T16)/100</f>
        <v>14.8035</v>
      </c>
      <c r="AL14" s="3">
        <f t="shared" si="8"/>
        <v>8.44394906609923</v>
      </c>
    </row>
    <row r="15" ht="18.6" customHeight="1" spans="1:38">
      <c r="A15" s="6">
        <v>11</v>
      </c>
      <c r="B15" s="265">
        <v>25.8</v>
      </c>
      <c r="C15" s="266" t="s">
        <v>40</v>
      </c>
      <c r="D15" s="267">
        <v>212686</v>
      </c>
      <c r="E15" s="268">
        <v>0</v>
      </c>
      <c r="F15" s="268">
        <v>86.6</v>
      </c>
      <c r="G15" s="268">
        <v>0</v>
      </c>
      <c r="H15" s="269">
        <v>125</v>
      </c>
      <c r="I15" s="6">
        <v>3810</v>
      </c>
      <c r="J15" s="279">
        <v>50699.9999999971</v>
      </c>
      <c r="K15" s="276">
        <v>0</v>
      </c>
      <c r="L15" s="277">
        <v>0.2</v>
      </c>
      <c r="M15" s="276">
        <v>5921</v>
      </c>
      <c r="N15" s="276">
        <v>1852</v>
      </c>
      <c r="O15" s="278">
        <v>0</v>
      </c>
      <c r="P15" s="278">
        <v>0</v>
      </c>
      <c r="Q15" s="288">
        <v>5515</v>
      </c>
      <c r="R15" s="289">
        <f t="shared" si="0"/>
        <v>207171</v>
      </c>
      <c r="S15" s="290"/>
      <c r="T15" s="298" t="s">
        <v>53</v>
      </c>
      <c r="U15" s="302" t="s">
        <v>54</v>
      </c>
      <c r="V15" s="302" t="s">
        <v>55</v>
      </c>
      <c r="W15" s="303" t="s">
        <v>56</v>
      </c>
      <c r="X15" s="294"/>
      <c r="AB15" s="322">
        <f t="shared" si="1"/>
        <v>86.6</v>
      </c>
      <c r="AD15" s="3">
        <f t="shared" si="2"/>
        <v>0</v>
      </c>
      <c r="AE15" s="3">
        <f t="shared" si="3"/>
        <v>0.016894256435505</v>
      </c>
      <c r="AF15" s="3">
        <f t="shared" si="4"/>
        <v>1.00400152531001e-5</v>
      </c>
      <c r="AG15" s="3">
        <f t="shared" si="5"/>
        <v>0.0127182134565166</v>
      </c>
      <c r="AH15" s="3">
        <f t="shared" si="6"/>
        <v>0.0580618909017189</v>
      </c>
      <c r="AI15" s="3">
        <f t="shared" si="7"/>
        <v>0.0876844008089935</v>
      </c>
      <c r="AK15" s="3">
        <f>AB15*(100-进出水!T17)/100</f>
        <v>18.619</v>
      </c>
      <c r="AL15" s="3">
        <f t="shared" si="8"/>
        <v>6.71357215747355</v>
      </c>
    </row>
    <row r="16" ht="18.6" customHeight="1" spans="1:38">
      <c r="A16" s="6">
        <v>12</v>
      </c>
      <c r="B16" s="265">
        <v>25.6</v>
      </c>
      <c r="C16" s="266" t="s">
        <v>40</v>
      </c>
      <c r="D16" s="267">
        <v>212536</v>
      </c>
      <c r="E16" s="268">
        <v>68.32</v>
      </c>
      <c r="F16" s="268">
        <v>0</v>
      </c>
      <c r="G16" s="268">
        <v>16.5</v>
      </c>
      <c r="H16" s="269">
        <v>125</v>
      </c>
      <c r="I16" s="6">
        <v>3618</v>
      </c>
      <c r="J16" s="280">
        <v>51800.0000000029</v>
      </c>
      <c r="K16" s="276">
        <v>0</v>
      </c>
      <c r="L16" s="277">
        <v>0</v>
      </c>
      <c r="M16" s="276">
        <v>3933</v>
      </c>
      <c r="N16" s="276">
        <v>1276</v>
      </c>
      <c r="O16" s="278">
        <v>0</v>
      </c>
      <c r="P16" s="278">
        <v>0</v>
      </c>
      <c r="Q16" s="288">
        <v>5507</v>
      </c>
      <c r="R16" s="289">
        <f t="shared" si="0"/>
        <v>207029</v>
      </c>
      <c r="S16" s="290"/>
      <c r="T16" s="304">
        <f>U16+V16+W16</f>
        <v>3117.16</v>
      </c>
      <c r="U16" s="301">
        <f>F37</f>
        <v>991.48</v>
      </c>
      <c r="V16" s="301">
        <f>E37</f>
        <v>1984.68</v>
      </c>
      <c r="W16" s="301">
        <f>G37</f>
        <v>141</v>
      </c>
      <c r="X16" s="294"/>
      <c r="AB16" s="322">
        <f t="shared" si="1"/>
        <v>84.82</v>
      </c>
      <c r="AD16" s="3">
        <f t="shared" si="2"/>
        <v>0</v>
      </c>
      <c r="AE16" s="3">
        <f t="shared" si="3"/>
        <v>0.0169058441087964</v>
      </c>
      <c r="AF16" s="3">
        <f t="shared" si="4"/>
        <v>0</v>
      </c>
      <c r="AG16" s="3">
        <f t="shared" si="5"/>
        <v>0.00845381564901536</v>
      </c>
      <c r="AH16" s="3">
        <f t="shared" si="6"/>
        <v>0.0400312033579837</v>
      </c>
      <c r="AI16" s="3">
        <f t="shared" si="7"/>
        <v>0.0653908631157954</v>
      </c>
      <c r="AK16" s="3">
        <f>AB16*(100-进出水!T18)/100</f>
        <v>18.49076</v>
      </c>
      <c r="AL16" s="3">
        <f t="shared" si="8"/>
        <v>6.76013316921533</v>
      </c>
    </row>
    <row r="17" ht="18.6" customHeight="1" spans="1:38">
      <c r="A17" s="6">
        <v>13</v>
      </c>
      <c r="B17" s="265">
        <v>25</v>
      </c>
      <c r="C17" s="266" t="s">
        <v>40</v>
      </c>
      <c r="D17" s="267">
        <v>207604</v>
      </c>
      <c r="E17" s="268">
        <v>50.82</v>
      </c>
      <c r="F17" s="268">
        <v>0</v>
      </c>
      <c r="G17" s="268">
        <v>30</v>
      </c>
      <c r="H17" s="269">
        <v>125</v>
      </c>
      <c r="I17" s="6">
        <v>4142</v>
      </c>
      <c r="J17" s="280">
        <v>51800.0000000029</v>
      </c>
      <c r="K17" s="276">
        <v>0</v>
      </c>
      <c r="L17" s="277">
        <v>0</v>
      </c>
      <c r="M17" s="276">
        <v>2371</v>
      </c>
      <c r="N17" s="276">
        <v>748</v>
      </c>
      <c r="O17" s="278">
        <v>0</v>
      </c>
      <c r="P17" s="278">
        <v>0</v>
      </c>
      <c r="Q17" s="288">
        <v>5500</v>
      </c>
      <c r="R17" s="289">
        <f t="shared" si="0"/>
        <v>202104</v>
      </c>
      <c r="S17" s="290"/>
      <c r="T17" s="298" t="s">
        <v>57</v>
      </c>
      <c r="U17" s="305">
        <v>22.8</v>
      </c>
      <c r="V17" s="305">
        <v>22.8</v>
      </c>
      <c r="W17" s="300"/>
      <c r="X17" s="294"/>
      <c r="AB17" s="322">
        <f t="shared" si="1"/>
        <v>80.82</v>
      </c>
      <c r="AD17" s="3">
        <f t="shared" si="2"/>
        <v>0</v>
      </c>
      <c r="AE17" s="3">
        <f t="shared" si="3"/>
        <v>0.0173178165696869</v>
      </c>
      <c r="AF17" s="3">
        <f t="shared" si="4"/>
        <v>0</v>
      </c>
      <c r="AG17" s="3">
        <f t="shared" si="5"/>
        <v>0.00522055476388394</v>
      </c>
      <c r="AH17" s="3">
        <f t="shared" si="6"/>
        <v>0.0240384158650992</v>
      </c>
      <c r="AI17" s="3">
        <f t="shared" si="7"/>
        <v>0.04657678719867</v>
      </c>
      <c r="AK17" s="3">
        <f>AB17*(100-进出水!T19)/100</f>
        <v>17.86122</v>
      </c>
      <c r="AL17" s="3">
        <f t="shared" si="8"/>
        <v>6.99840212482686</v>
      </c>
    </row>
    <row r="18" ht="18.6" customHeight="1" spans="1:38">
      <c r="A18" s="6">
        <v>14</v>
      </c>
      <c r="B18" s="265">
        <v>25.5</v>
      </c>
      <c r="C18" s="266" t="s">
        <v>40</v>
      </c>
      <c r="D18" s="267">
        <v>210179</v>
      </c>
      <c r="E18" s="268">
        <v>52.5</v>
      </c>
      <c r="F18" s="268">
        <v>0</v>
      </c>
      <c r="G18" s="268">
        <v>16.5</v>
      </c>
      <c r="H18" s="269">
        <v>125</v>
      </c>
      <c r="I18" s="6">
        <v>4138</v>
      </c>
      <c r="J18" s="280">
        <v>51399.9999999942</v>
      </c>
      <c r="K18" s="276">
        <v>0</v>
      </c>
      <c r="L18" s="277">
        <v>0.2</v>
      </c>
      <c r="M18" s="276">
        <v>2513</v>
      </c>
      <c r="N18" s="276">
        <v>772</v>
      </c>
      <c r="O18" s="278">
        <v>0</v>
      </c>
      <c r="P18" s="278">
        <v>0</v>
      </c>
      <c r="Q18" s="288">
        <v>5502</v>
      </c>
      <c r="R18" s="289">
        <f t="shared" si="0"/>
        <v>204677</v>
      </c>
      <c r="S18" s="290"/>
      <c r="T18" s="304">
        <f>U18+V18</f>
        <v>67856.44</v>
      </c>
      <c r="U18" s="306">
        <f>ROUND(U16*U17,2)</f>
        <v>22605.74</v>
      </c>
      <c r="V18" s="303">
        <f>ROUND(V16*V17,2)</f>
        <v>45250.7</v>
      </c>
      <c r="W18" s="300"/>
      <c r="X18" s="294"/>
      <c r="AB18" s="322">
        <f t="shared" si="1"/>
        <v>69</v>
      </c>
      <c r="AD18" s="3">
        <f t="shared" si="2"/>
        <v>0</v>
      </c>
      <c r="AE18" s="3">
        <f t="shared" si="3"/>
        <v>0.0171001138379007</v>
      </c>
      <c r="AF18" s="3">
        <f t="shared" si="4"/>
        <v>1.01623533665238e-5</v>
      </c>
      <c r="AG18" s="3">
        <f t="shared" si="5"/>
        <v>0.00546365737234765</v>
      </c>
      <c r="AH18" s="3">
        <f t="shared" si="6"/>
        <v>0.024497818514049</v>
      </c>
      <c r="AI18" s="3">
        <f t="shared" si="7"/>
        <v>0.0470717520776638</v>
      </c>
      <c r="AK18" s="3">
        <f>AB18*(100-进出水!T20)/100</f>
        <v>15.111</v>
      </c>
      <c r="AL18" s="3">
        <f t="shared" si="8"/>
        <v>8.27211964793859</v>
      </c>
    </row>
    <row r="19" ht="18.6" customHeight="1" spans="1:38">
      <c r="A19" s="6">
        <v>15</v>
      </c>
      <c r="B19" s="265">
        <v>25.6</v>
      </c>
      <c r="C19" s="266" t="s">
        <v>40</v>
      </c>
      <c r="D19" s="267">
        <v>195881</v>
      </c>
      <c r="E19" s="268">
        <v>86.68</v>
      </c>
      <c r="F19" s="268">
        <v>0</v>
      </c>
      <c r="G19" s="268">
        <v>0</v>
      </c>
      <c r="H19" s="269">
        <v>100</v>
      </c>
      <c r="I19" s="6">
        <v>4562</v>
      </c>
      <c r="J19" s="280">
        <v>51100.0000000058</v>
      </c>
      <c r="K19" s="276">
        <v>0</v>
      </c>
      <c r="L19" s="277">
        <v>0</v>
      </c>
      <c r="M19" s="276">
        <v>1945</v>
      </c>
      <c r="N19" s="276">
        <v>604</v>
      </c>
      <c r="O19" s="278">
        <v>0</v>
      </c>
      <c r="P19" s="278">
        <v>0</v>
      </c>
      <c r="Q19" s="288">
        <v>5537</v>
      </c>
      <c r="R19" s="289">
        <f t="shared" si="0"/>
        <v>190344</v>
      </c>
      <c r="S19" s="290"/>
      <c r="T19" s="298" t="s">
        <v>58</v>
      </c>
      <c r="U19" s="302"/>
      <c r="V19" s="305">
        <v>0</v>
      </c>
      <c r="W19" s="300"/>
      <c r="X19" s="294"/>
      <c r="AB19" s="322">
        <f t="shared" si="1"/>
        <v>86.68</v>
      </c>
      <c r="AD19" s="3">
        <f t="shared" si="2"/>
        <v>0</v>
      </c>
      <c r="AE19" s="3">
        <f t="shared" si="3"/>
        <v>0.0147102088849662</v>
      </c>
      <c r="AF19" s="3">
        <f t="shared" si="4"/>
        <v>0</v>
      </c>
      <c r="AG19" s="3">
        <f t="shared" si="5"/>
        <v>0.00454716198041441</v>
      </c>
      <c r="AH19" s="3">
        <f t="shared" si="6"/>
        <v>0.0206099483041231</v>
      </c>
      <c r="AI19" s="3">
        <f t="shared" si="7"/>
        <v>0.0398673191695036</v>
      </c>
      <c r="AK19" s="3">
        <f>AB19*(100-进出水!T21)/100</f>
        <v>18.80956</v>
      </c>
      <c r="AL19" s="3">
        <f t="shared" si="8"/>
        <v>5.31644546709226</v>
      </c>
    </row>
    <row r="20" ht="18.6" customHeight="1" spans="1:38">
      <c r="A20" s="6">
        <v>16</v>
      </c>
      <c r="B20" s="265">
        <v>25.4</v>
      </c>
      <c r="C20" s="266" t="s">
        <v>40</v>
      </c>
      <c r="D20" s="267">
        <v>159608</v>
      </c>
      <c r="E20" s="268">
        <v>68.2</v>
      </c>
      <c r="F20" s="268">
        <v>0</v>
      </c>
      <c r="G20" s="268">
        <v>16.5</v>
      </c>
      <c r="H20" s="269">
        <v>150</v>
      </c>
      <c r="I20" s="6">
        <v>3690</v>
      </c>
      <c r="J20" s="280">
        <v>48599.9999999694</v>
      </c>
      <c r="K20" s="276">
        <v>0</v>
      </c>
      <c r="L20" s="277">
        <v>0.2</v>
      </c>
      <c r="M20" s="276">
        <v>4856</v>
      </c>
      <c r="N20" s="276">
        <v>1516</v>
      </c>
      <c r="O20" s="278">
        <v>0</v>
      </c>
      <c r="P20" s="278">
        <v>0</v>
      </c>
      <c r="Q20" s="288">
        <v>5502</v>
      </c>
      <c r="R20" s="289">
        <f t="shared" si="0"/>
        <v>154106</v>
      </c>
      <c r="S20" s="290"/>
      <c r="T20" s="304">
        <f>U20+V20</f>
        <v>0</v>
      </c>
      <c r="U20" s="302"/>
      <c r="V20" s="303">
        <f>ROUND(V16*V19,2)</f>
        <v>0</v>
      </c>
      <c r="W20" s="300"/>
      <c r="X20" s="294"/>
      <c r="AB20" s="322">
        <f t="shared" si="1"/>
        <v>84.7</v>
      </c>
      <c r="AD20" s="3">
        <f t="shared" si="2"/>
        <v>0</v>
      </c>
      <c r="AE20" s="3">
        <f t="shared" si="3"/>
        <v>0.027253968047967</v>
      </c>
      <c r="AF20" s="3">
        <f t="shared" si="4"/>
        <v>1.34972032237551e-5</v>
      </c>
      <c r="AG20" s="3">
        <f t="shared" si="5"/>
        <v>0.0140222963414792</v>
      </c>
      <c r="AH20" s="3">
        <f t="shared" si="6"/>
        <v>0.0638938133492531</v>
      </c>
      <c r="AI20" s="3">
        <f t="shared" si="7"/>
        <v>0.105183574941923</v>
      </c>
      <c r="AK20" s="3">
        <f>AB20*(100-进出水!T22)/100</f>
        <v>18.2952</v>
      </c>
      <c r="AL20" s="3">
        <f t="shared" si="8"/>
        <v>8.19887183523547</v>
      </c>
    </row>
    <row r="21" ht="18.6" customHeight="1" spans="1:38">
      <c r="A21" s="6">
        <v>17</v>
      </c>
      <c r="B21" s="265">
        <v>25.3</v>
      </c>
      <c r="C21" s="266" t="s">
        <v>40</v>
      </c>
      <c r="D21" s="267">
        <v>149401</v>
      </c>
      <c r="E21" s="268">
        <v>0</v>
      </c>
      <c r="F21" s="268">
        <v>83.18</v>
      </c>
      <c r="G21" s="268">
        <v>0</v>
      </c>
      <c r="H21" s="269">
        <v>100</v>
      </c>
      <c r="I21" s="6">
        <v>3284</v>
      </c>
      <c r="J21" s="280">
        <v>44800.000000032</v>
      </c>
      <c r="K21" s="276">
        <v>10320</v>
      </c>
      <c r="L21" s="277">
        <v>0</v>
      </c>
      <c r="M21" s="276">
        <v>5211</v>
      </c>
      <c r="N21" s="276">
        <v>1612</v>
      </c>
      <c r="O21" s="278">
        <v>0</v>
      </c>
      <c r="P21" s="278">
        <v>0</v>
      </c>
      <c r="Q21" s="288">
        <v>5495</v>
      </c>
      <c r="R21" s="289">
        <f t="shared" si="0"/>
        <v>143906</v>
      </c>
      <c r="S21" s="290"/>
      <c r="T21" s="298" t="s">
        <v>59</v>
      </c>
      <c r="U21" s="307" t="s">
        <v>60</v>
      </c>
      <c r="V21" s="286">
        <f>V17+V19</f>
        <v>22.8</v>
      </c>
      <c r="W21" s="57" t="s">
        <v>61</v>
      </c>
      <c r="X21" s="294"/>
      <c r="AB21" s="322">
        <f t="shared" si="1"/>
        <v>83.18</v>
      </c>
      <c r="AD21" s="3">
        <f t="shared" si="2"/>
        <v>0.0377212902867149</v>
      </c>
      <c r="AE21" s="3">
        <f t="shared" si="3"/>
        <v>0.0194571456367351</v>
      </c>
      <c r="AF21" s="3">
        <f t="shared" si="4"/>
        <v>0</v>
      </c>
      <c r="AG21" s="3">
        <f t="shared" si="5"/>
        <v>0.016113956332606</v>
      </c>
      <c r="AH21" s="3">
        <f t="shared" si="6"/>
        <v>0.0727554097813851</v>
      </c>
      <c r="AI21" s="3">
        <f t="shared" si="7"/>
        <v>0.146047802037441</v>
      </c>
      <c r="AK21" s="3">
        <f>AB21*(100-进出水!T23)/100</f>
        <v>17.80052</v>
      </c>
      <c r="AL21" s="3">
        <f t="shared" si="8"/>
        <v>5.61781341219245</v>
      </c>
    </row>
    <row r="22" ht="18.6" customHeight="1" spans="1:38">
      <c r="A22" s="6">
        <v>18</v>
      </c>
      <c r="B22" s="265">
        <v>25.4</v>
      </c>
      <c r="C22" s="266" t="s">
        <v>40</v>
      </c>
      <c r="D22" s="267">
        <v>153184</v>
      </c>
      <c r="E22" s="268">
        <v>67.72</v>
      </c>
      <c r="F22" s="268">
        <v>0</v>
      </c>
      <c r="G22" s="268">
        <v>16.5</v>
      </c>
      <c r="H22" s="269">
        <v>150</v>
      </c>
      <c r="I22" s="6">
        <v>4110</v>
      </c>
      <c r="J22" s="64">
        <v>43799.9999999738</v>
      </c>
      <c r="K22" s="276">
        <v>0</v>
      </c>
      <c r="L22" s="277">
        <v>0.2</v>
      </c>
      <c r="M22" s="276">
        <v>5211</v>
      </c>
      <c r="N22" s="276">
        <v>1708</v>
      </c>
      <c r="O22" s="278">
        <v>0</v>
      </c>
      <c r="P22" s="278">
        <v>0</v>
      </c>
      <c r="Q22" s="288">
        <v>5516</v>
      </c>
      <c r="R22" s="289">
        <f t="shared" si="0"/>
        <v>147668</v>
      </c>
      <c r="S22" s="290"/>
      <c r="T22" s="304">
        <f>T18+T20</f>
        <v>67856.44</v>
      </c>
      <c r="U22" s="307"/>
      <c r="V22" s="57"/>
      <c r="W22" s="308">
        <f>T16-E37-F37-G37</f>
        <v>-2.27373675443232e-13</v>
      </c>
      <c r="X22" s="294"/>
      <c r="AB22" s="322">
        <f t="shared" si="1"/>
        <v>84.22</v>
      </c>
      <c r="AD22" s="3">
        <f t="shared" si="2"/>
        <v>0</v>
      </c>
      <c r="AE22" s="3">
        <f t="shared" si="3"/>
        <v>0.0284421811089742</v>
      </c>
      <c r="AF22" s="3">
        <f t="shared" si="4"/>
        <v>1.40856515968253e-5</v>
      </c>
      <c r="AG22" s="3">
        <f t="shared" si="5"/>
        <v>0.0157034360863559</v>
      </c>
      <c r="AH22" s="3">
        <f t="shared" si="6"/>
        <v>0.0751243329631335</v>
      </c>
      <c r="AI22" s="3">
        <f t="shared" si="7"/>
        <v>0.11928403581006</v>
      </c>
      <c r="AK22" s="3">
        <f>AB22*(100-进出水!T24)/100</f>
        <v>18.19152</v>
      </c>
      <c r="AL22" s="3">
        <f t="shared" si="8"/>
        <v>8.24560014776116</v>
      </c>
    </row>
    <row r="23" ht="18.6" customHeight="1" spans="1:38">
      <c r="A23" s="6">
        <v>19</v>
      </c>
      <c r="B23" s="265">
        <v>25.5</v>
      </c>
      <c r="C23" s="266" t="s">
        <v>40</v>
      </c>
      <c r="D23" s="267">
        <v>158973</v>
      </c>
      <c r="E23" s="268">
        <v>101.58</v>
      </c>
      <c r="F23" s="268">
        <v>0</v>
      </c>
      <c r="G23" s="268">
        <v>0</v>
      </c>
      <c r="H23" s="269">
        <v>125</v>
      </c>
      <c r="I23" s="6">
        <v>3584</v>
      </c>
      <c r="J23" s="64">
        <v>45300.0000000247</v>
      </c>
      <c r="K23" s="276">
        <v>9120</v>
      </c>
      <c r="L23" s="277">
        <v>0</v>
      </c>
      <c r="M23" s="276">
        <v>4856</v>
      </c>
      <c r="N23" s="276">
        <v>1588</v>
      </c>
      <c r="O23" s="278">
        <v>0</v>
      </c>
      <c r="P23" s="278">
        <v>0</v>
      </c>
      <c r="Q23" s="288">
        <v>5488</v>
      </c>
      <c r="R23" s="289">
        <f t="shared" si="0"/>
        <v>153485</v>
      </c>
      <c r="S23" s="290"/>
      <c r="T23" s="291"/>
      <c r="U23" s="309"/>
      <c r="V23" s="57"/>
      <c r="W23" s="57"/>
      <c r="X23" s="57"/>
      <c r="AB23" s="322">
        <f t="shared" si="1"/>
        <v>101.58</v>
      </c>
      <c r="AD23" s="3">
        <f t="shared" si="2"/>
        <v>0.0312546502915594</v>
      </c>
      <c r="AE23" s="3">
        <f t="shared" si="3"/>
        <v>0.0228035312897026</v>
      </c>
      <c r="AF23" s="3">
        <f t="shared" si="4"/>
        <v>0</v>
      </c>
      <c r="AG23" s="3">
        <f t="shared" si="5"/>
        <v>0.0140790305241555</v>
      </c>
      <c r="AH23" s="3">
        <f t="shared" si="6"/>
        <v>0.0671991399811056</v>
      </c>
      <c r="AI23" s="3">
        <f t="shared" si="7"/>
        <v>0.135336352086523</v>
      </c>
      <c r="AK23" s="3">
        <f>AB23*(100-进出水!T25)/100</f>
        <v>21.8397</v>
      </c>
      <c r="AL23" s="3">
        <f t="shared" si="8"/>
        <v>5.72352184324876</v>
      </c>
    </row>
    <row r="24" ht="18.6" customHeight="1" spans="1:38">
      <c r="A24" s="6">
        <v>20</v>
      </c>
      <c r="B24" s="265">
        <v>25.6</v>
      </c>
      <c r="C24" s="266" t="s">
        <v>40</v>
      </c>
      <c r="D24" s="267">
        <v>160898</v>
      </c>
      <c r="E24" s="268">
        <v>99.8</v>
      </c>
      <c r="F24" s="268">
        <v>0</v>
      </c>
      <c r="G24" s="268">
        <v>0</v>
      </c>
      <c r="H24" s="269">
        <v>125</v>
      </c>
      <c r="I24" s="6">
        <v>4458</v>
      </c>
      <c r="J24" s="64">
        <v>46299.9999999738</v>
      </c>
      <c r="K24" s="276">
        <v>22320</v>
      </c>
      <c r="L24" s="277">
        <v>0.2</v>
      </c>
      <c r="M24" s="276">
        <v>4359</v>
      </c>
      <c r="N24" s="276">
        <v>1420</v>
      </c>
      <c r="O24" s="278">
        <v>0</v>
      </c>
      <c r="P24" s="278">
        <v>0</v>
      </c>
      <c r="Q24" s="288">
        <v>5504</v>
      </c>
      <c r="R24" s="289">
        <f t="shared" si="0"/>
        <v>155394</v>
      </c>
      <c r="S24" s="290"/>
      <c r="T24" s="291" t="s">
        <v>62</v>
      </c>
      <c r="U24" s="309" t="s">
        <v>63</v>
      </c>
      <c r="V24" s="310">
        <f>H37</f>
        <v>4225</v>
      </c>
      <c r="W24" s="57">
        <f>L37</f>
        <v>2.6</v>
      </c>
      <c r="X24" s="57"/>
      <c r="AB24" s="322">
        <f t="shared" si="1"/>
        <v>99.8</v>
      </c>
      <c r="AD24" s="3">
        <f t="shared" si="2"/>
        <v>0.0755519518128113</v>
      </c>
      <c r="AE24" s="3">
        <f t="shared" si="3"/>
        <v>0.0225233921515631</v>
      </c>
      <c r="AF24" s="3">
        <f t="shared" si="4"/>
        <v>1.33853301929289e-5</v>
      </c>
      <c r="AG24" s="3">
        <f t="shared" si="5"/>
        <v>0.0124828178694158</v>
      </c>
      <c r="AH24" s="3">
        <f t="shared" si="6"/>
        <v>0.059351712421329</v>
      </c>
      <c r="AI24" s="3">
        <f t="shared" si="7"/>
        <v>0.169923259585312</v>
      </c>
      <c r="AK24" s="3">
        <f>AB24*(100-进出水!T26)/100</f>
        <v>21.3572</v>
      </c>
      <c r="AL24" s="3">
        <f t="shared" si="8"/>
        <v>5.85282714962635</v>
      </c>
    </row>
    <row r="25" ht="18.6" customHeight="1" spans="1:38">
      <c r="A25" s="6">
        <v>21</v>
      </c>
      <c r="B25" s="265">
        <v>25.3</v>
      </c>
      <c r="C25" s="266" t="s">
        <v>40</v>
      </c>
      <c r="D25" s="267">
        <v>162672</v>
      </c>
      <c r="E25" s="268">
        <v>102.74</v>
      </c>
      <c r="F25" s="268">
        <v>0</v>
      </c>
      <c r="G25" s="268">
        <v>0</v>
      </c>
      <c r="H25" s="269">
        <v>100</v>
      </c>
      <c r="I25" s="6">
        <v>4708</v>
      </c>
      <c r="J25" s="280">
        <v>45800.0000000175</v>
      </c>
      <c r="K25" s="276">
        <v>3840</v>
      </c>
      <c r="L25" s="277">
        <v>0</v>
      </c>
      <c r="M25" s="276">
        <v>2016</v>
      </c>
      <c r="N25" s="276">
        <v>628</v>
      </c>
      <c r="O25" s="278">
        <v>0</v>
      </c>
      <c r="P25" s="278">
        <v>0</v>
      </c>
      <c r="Q25" s="288">
        <v>5488</v>
      </c>
      <c r="R25" s="289">
        <f t="shared" si="0"/>
        <v>157184</v>
      </c>
      <c r="S25" s="290"/>
      <c r="T25" s="291"/>
      <c r="U25" s="309" t="s">
        <v>64</v>
      </c>
      <c r="V25" s="285">
        <f>汇总!F6</f>
        <v>6.23172610848395</v>
      </c>
      <c r="W25" s="285">
        <f>W24/R37*1000</f>
        <v>0.00046702003318357</v>
      </c>
      <c r="X25" s="57"/>
      <c r="AB25" s="322">
        <f t="shared" si="1"/>
        <v>102.74</v>
      </c>
      <c r="AD25" s="3">
        <f t="shared" si="2"/>
        <v>0.0128501628664495</v>
      </c>
      <c r="AE25" s="3">
        <f t="shared" si="3"/>
        <v>0.0178135179153094</v>
      </c>
      <c r="AF25" s="3">
        <f t="shared" si="4"/>
        <v>0</v>
      </c>
      <c r="AG25" s="3">
        <f t="shared" si="5"/>
        <v>0.00570745114006515</v>
      </c>
      <c r="AH25" s="3">
        <f t="shared" si="6"/>
        <v>0.0259495877442997</v>
      </c>
      <c r="AI25" s="3">
        <f t="shared" si="7"/>
        <v>0.0623207196661238</v>
      </c>
      <c r="AK25" s="3">
        <f>AB25*(100-进出水!T27)/100</f>
        <v>22.0891</v>
      </c>
      <c r="AL25" s="3">
        <f t="shared" si="8"/>
        <v>4.52711971062651</v>
      </c>
    </row>
    <row r="26" ht="18.6" customHeight="1" spans="1:38">
      <c r="A26" s="6">
        <v>22</v>
      </c>
      <c r="B26" s="265">
        <v>25.8</v>
      </c>
      <c r="C26" s="266" t="s">
        <v>40</v>
      </c>
      <c r="D26" s="267">
        <v>166592</v>
      </c>
      <c r="E26" s="268">
        <v>103.9</v>
      </c>
      <c r="F26" s="268">
        <v>0</v>
      </c>
      <c r="G26" s="268">
        <v>0</v>
      </c>
      <c r="H26" s="269">
        <v>125</v>
      </c>
      <c r="I26" s="6">
        <v>5272</v>
      </c>
      <c r="J26" s="64">
        <v>46100.0000000058</v>
      </c>
      <c r="K26" s="276">
        <v>15960</v>
      </c>
      <c r="L26" s="277">
        <v>0</v>
      </c>
      <c r="M26" s="276">
        <v>2087</v>
      </c>
      <c r="N26" s="276">
        <v>652</v>
      </c>
      <c r="O26" s="278">
        <v>0</v>
      </c>
      <c r="P26" s="278">
        <v>0</v>
      </c>
      <c r="Q26" s="288">
        <v>5488</v>
      </c>
      <c r="R26" s="289">
        <f t="shared" si="0"/>
        <v>161104</v>
      </c>
      <c r="S26" s="290"/>
      <c r="T26" s="291" t="s">
        <v>9</v>
      </c>
      <c r="U26" s="309" t="s">
        <v>63</v>
      </c>
      <c r="V26" s="310">
        <f>K37</f>
        <v>65640</v>
      </c>
      <c r="W26" s="57"/>
      <c r="X26" s="57"/>
      <c r="AB26" s="322">
        <f t="shared" si="1"/>
        <v>103.9</v>
      </c>
      <c r="AD26" s="3">
        <f t="shared" si="2"/>
        <v>0.0521089482570265</v>
      </c>
      <c r="AE26" s="3">
        <f t="shared" si="3"/>
        <v>0.0217250968318602</v>
      </c>
      <c r="AF26" s="3">
        <f t="shared" si="4"/>
        <v>0</v>
      </c>
      <c r="AG26" s="3">
        <f t="shared" si="5"/>
        <v>0.00576469237262886</v>
      </c>
      <c r="AH26" s="3">
        <f t="shared" si="6"/>
        <v>0.0262857533022147</v>
      </c>
      <c r="AI26" s="3">
        <f t="shared" si="7"/>
        <v>0.10588449076373</v>
      </c>
      <c r="AK26" s="3">
        <f>AB26*(100-进出水!T28)/100</f>
        <v>22.6502</v>
      </c>
      <c r="AL26" s="3">
        <f t="shared" si="8"/>
        <v>5.51871506653363</v>
      </c>
    </row>
    <row r="27" ht="18.6" customHeight="1" spans="1:38">
      <c r="A27" s="6">
        <v>23</v>
      </c>
      <c r="B27" s="265">
        <v>25.6</v>
      </c>
      <c r="C27" s="266" t="s">
        <v>40</v>
      </c>
      <c r="D27" s="267">
        <v>151813</v>
      </c>
      <c r="E27" s="268">
        <v>72.26</v>
      </c>
      <c r="F27" s="268">
        <v>0</v>
      </c>
      <c r="G27" s="268">
        <v>30</v>
      </c>
      <c r="H27" s="269">
        <v>125</v>
      </c>
      <c r="I27" s="6">
        <v>4456</v>
      </c>
      <c r="J27" s="64">
        <v>47899.9999999724</v>
      </c>
      <c r="K27" s="276">
        <v>4080</v>
      </c>
      <c r="L27" s="277">
        <v>0.2</v>
      </c>
      <c r="M27" s="276">
        <v>3436</v>
      </c>
      <c r="N27" s="276">
        <v>1108</v>
      </c>
      <c r="O27" s="278">
        <v>3.06</v>
      </c>
      <c r="P27" s="278">
        <v>0</v>
      </c>
      <c r="Q27" s="288">
        <v>5480</v>
      </c>
      <c r="R27" s="289">
        <f t="shared" si="0"/>
        <v>146333</v>
      </c>
      <c r="S27" s="290"/>
      <c r="T27" s="291"/>
      <c r="U27" s="309" t="s">
        <v>65</v>
      </c>
      <c r="V27" s="308">
        <f>ROUND(K37/R37*1000,1)</f>
        <v>11.8</v>
      </c>
      <c r="W27" s="57"/>
      <c r="X27" s="57"/>
      <c r="AB27" s="322">
        <f t="shared" si="1"/>
        <v>102.26</v>
      </c>
      <c r="AD27" s="3">
        <f t="shared" si="2"/>
        <v>0.0146657281679457</v>
      </c>
      <c r="AE27" s="3">
        <f t="shared" si="3"/>
        <v>0.0239180499272208</v>
      </c>
      <c r="AF27" s="3">
        <f t="shared" si="4"/>
        <v>1.42141553853198e-5</v>
      </c>
      <c r="AG27" s="3">
        <f t="shared" si="5"/>
        <v>0.0104489076284912</v>
      </c>
      <c r="AH27" s="3">
        <f t="shared" si="6"/>
        <v>0.0491786541654992</v>
      </c>
      <c r="AI27" s="3">
        <f t="shared" si="7"/>
        <v>0.0982255540445423</v>
      </c>
      <c r="AK27" s="3">
        <f>AB27*(100-进出水!T29)/100</f>
        <v>22.39494</v>
      </c>
      <c r="AL27" s="3">
        <f t="shared" si="8"/>
        <v>5.58161799049249</v>
      </c>
    </row>
    <row r="28" ht="18.6" customHeight="1" spans="1:38">
      <c r="A28" s="6">
        <v>24</v>
      </c>
      <c r="B28" s="265">
        <v>25.9</v>
      </c>
      <c r="C28" s="266" t="s">
        <v>40</v>
      </c>
      <c r="D28" s="267">
        <v>163431</v>
      </c>
      <c r="E28" s="268">
        <v>83.68</v>
      </c>
      <c r="F28" s="268">
        <v>0</v>
      </c>
      <c r="G28" s="268">
        <v>15</v>
      </c>
      <c r="H28" s="269">
        <v>125</v>
      </c>
      <c r="I28" s="6">
        <v>3220</v>
      </c>
      <c r="J28" s="64">
        <v>49100.0000000349</v>
      </c>
      <c r="K28" s="276">
        <v>0</v>
      </c>
      <c r="L28" s="277">
        <v>0</v>
      </c>
      <c r="M28" s="276">
        <v>4146</v>
      </c>
      <c r="N28" s="276">
        <v>1324</v>
      </c>
      <c r="O28" s="278">
        <v>3.06</v>
      </c>
      <c r="P28" s="278">
        <v>0</v>
      </c>
      <c r="Q28" s="288">
        <v>5488</v>
      </c>
      <c r="R28" s="289">
        <f t="shared" si="0"/>
        <v>157943</v>
      </c>
      <c r="S28" s="290"/>
      <c r="T28" s="291" t="s">
        <v>11</v>
      </c>
      <c r="U28" s="309" t="s">
        <v>63</v>
      </c>
      <c r="V28" s="310">
        <f>M37</f>
        <v>121852</v>
      </c>
      <c r="W28" s="57"/>
      <c r="X28" s="57"/>
      <c r="AB28" s="322">
        <f t="shared" si="1"/>
        <v>98.68</v>
      </c>
      <c r="AD28" s="3">
        <f t="shared" si="2"/>
        <v>0</v>
      </c>
      <c r="AE28" s="3">
        <f t="shared" si="3"/>
        <v>0.0221598931260012</v>
      </c>
      <c r="AF28" s="3">
        <f t="shared" si="4"/>
        <v>0</v>
      </c>
      <c r="AG28" s="3">
        <f t="shared" si="5"/>
        <v>0.0116812394344795</v>
      </c>
      <c r="AH28" s="3">
        <f t="shared" si="6"/>
        <v>0.0544460976428205</v>
      </c>
      <c r="AI28" s="3">
        <f t="shared" si="7"/>
        <v>0.0882872302033012</v>
      </c>
      <c r="AK28" s="3">
        <f>AB28*(100-进出水!T30)/100</f>
        <v>21.41356</v>
      </c>
      <c r="AL28" s="3">
        <f t="shared" si="8"/>
        <v>5.83742264247514</v>
      </c>
    </row>
    <row r="29" ht="18.6" customHeight="1" spans="1:38">
      <c r="A29" s="6">
        <v>25</v>
      </c>
      <c r="B29" s="265">
        <v>25.6</v>
      </c>
      <c r="C29" s="266" t="s">
        <v>40</v>
      </c>
      <c r="D29" s="267">
        <v>171692</v>
      </c>
      <c r="E29" s="268">
        <v>103</v>
      </c>
      <c r="F29" s="268">
        <v>0</v>
      </c>
      <c r="G29" s="268">
        <v>0</v>
      </c>
      <c r="H29" s="269">
        <v>125</v>
      </c>
      <c r="I29" s="6">
        <v>4738</v>
      </c>
      <c r="J29" s="64">
        <v>49599.9999999913</v>
      </c>
      <c r="K29" s="276">
        <v>0</v>
      </c>
      <c r="L29" s="277">
        <v>0.2</v>
      </c>
      <c r="M29" s="276">
        <v>5424</v>
      </c>
      <c r="N29" s="276">
        <v>1780</v>
      </c>
      <c r="O29" s="278">
        <v>2.04</v>
      </c>
      <c r="P29" s="278">
        <v>0</v>
      </c>
      <c r="Q29" s="288">
        <v>5488</v>
      </c>
      <c r="R29" s="289">
        <f t="shared" si="0"/>
        <v>166204</v>
      </c>
      <c r="S29" s="290"/>
      <c r="T29" s="291"/>
      <c r="U29" s="309" t="s">
        <v>65</v>
      </c>
      <c r="V29" s="311">
        <f>ROUND(M37/R37*1000,1)</f>
        <v>21.9</v>
      </c>
      <c r="W29" s="57"/>
      <c r="X29" s="57"/>
      <c r="AB29" s="322">
        <f t="shared" si="1"/>
        <v>103</v>
      </c>
      <c r="AD29" s="3">
        <f t="shared" si="2"/>
        <v>0</v>
      </c>
      <c r="AE29" s="3">
        <f t="shared" si="3"/>
        <v>0.0210584582801858</v>
      </c>
      <c r="AF29" s="3">
        <f t="shared" si="4"/>
        <v>1.25147409207961e-5</v>
      </c>
      <c r="AG29" s="3">
        <f t="shared" si="5"/>
        <v>0.0145223941662054</v>
      </c>
      <c r="AH29" s="3">
        <f t="shared" si="6"/>
        <v>0.0695596977208731</v>
      </c>
      <c r="AI29" s="3">
        <f t="shared" si="7"/>
        <v>0.105153064908185</v>
      </c>
      <c r="AK29" s="3">
        <f>AB29*(100-进出水!T31)/100</f>
        <v>22.454</v>
      </c>
      <c r="AL29" s="3">
        <f t="shared" si="8"/>
        <v>5.56693684866839</v>
      </c>
    </row>
    <row r="30" ht="18.6" customHeight="1" spans="1:38">
      <c r="A30" s="6">
        <v>26</v>
      </c>
      <c r="B30" s="265">
        <v>25.2</v>
      </c>
      <c r="C30" s="266" t="s">
        <v>44</v>
      </c>
      <c r="D30" s="267">
        <v>193798</v>
      </c>
      <c r="E30" s="268">
        <v>103.3</v>
      </c>
      <c r="F30" s="268">
        <v>0</v>
      </c>
      <c r="G30" s="268">
        <v>0</v>
      </c>
      <c r="H30" s="269">
        <v>125</v>
      </c>
      <c r="I30" s="6">
        <v>4776</v>
      </c>
      <c r="J30" s="64">
        <v>51899.9999999869</v>
      </c>
      <c r="K30" s="276">
        <v>0</v>
      </c>
      <c r="L30" s="277">
        <v>0</v>
      </c>
      <c r="M30" s="276">
        <v>5211</v>
      </c>
      <c r="N30" s="276">
        <v>1684</v>
      </c>
      <c r="O30" s="278">
        <v>1.62</v>
      </c>
      <c r="P30" s="278">
        <v>0</v>
      </c>
      <c r="Q30" s="288">
        <v>5482</v>
      </c>
      <c r="R30" s="289">
        <f t="shared" si="0"/>
        <v>188316</v>
      </c>
      <c r="S30" s="290"/>
      <c r="T30" s="291" t="s">
        <v>12</v>
      </c>
      <c r="U30" s="309" t="s">
        <v>63</v>
      </c>
      <c r="V30" s="310">
        <f>处理量!N37</f>
        <v>38812</v>
      </c>
      <c r="W30" s="57"/>
      <c r="X30" s="57"/>
      <c r="AB30" s="322">
        <f t="shared" si="1"/>
        <v>103.3</v>
      </c>
      <c r="AD30" s="3">
        <f t="shared" si="2"/>
        <v>0</v>
      </c>
      <c r="AE30" s="3">
        <f t="shared" si="3"/>
        <v>0.0185857813462478</v>
      </c>
      <c r="AF30" s="3">
        <f t="shared" si="4"/>
        <v>0</v>
      </c>
      <c r="AG30" s="3">
        <f t="shared" si="5"/>
        <v>0.0123138501242592</v>
      </c>
      <c r="AH30" s="3">
        <f t="shared" si="6"/>
        <v>0.0580809915248837</v>
      </c>
      <c r="AI30" s="3">
        <f t="shared" si="7"/>
        <v>0.0889806229953907</v>
      </c>
      <c r="AK30" s="3">
        <f>AB30*(100-进出水!T32)/100</f>
        <v>22.4161</v>
      </c>
      <c r="AL30" s="3">
        <f t="shared" si="8"/>
        <v>5.57634914191139</v>
      </c>
    </row>
    <row r="31" ht="18.6" customHeight="1" spans="1:38">
      <c r="A31" s="6">
        <v>27</v>
      </c>
      <c r="B31" s="265">
        <v>24.9</v>
      </c>
      <c r="C31" s="266" t="s">
        <v>44</v>
      </c>
      <c r="D31" s="267">
        <v>208804</v>
      </c>
      <c r="E31" s="268">
        <v>104.22</v>
      </c>
      <c r="F31" s="268">
        <v>0</v>
      </c>
      <c r="G31" s="268">
        <v>0</v>
      </c>
      <c r="H31" s="269">
        <v>125</v>
      </c>
      <c r="I31" s="6">
        <v>5164</v>
      </c>
      <c r="J31" s="64">
        <v>52000.0000000073</v>
      </c>
      <c r="K31" s="276">
        <v>0</v>
      </c>
      <c r="L31" s="277">
        <v>0.2</v>
      </c>
      <c r="M31" s="276">
        <v>5069</v>
      </c>
      <c r="N31" s="276">
        <v>1588</v>
      </c>
      <c r="O31" s="278">
        <v>1.56</v>
      </c>
      <c r="P31" s="278">
        <v>0</v>
      </c>
      <c r="Q31" s="288">
        <v>5486</v>
      </c>
      <c r="R31" s="289">
        <f t="shared" si="0"/>
        <v>203318</v>
      </c>
      <c r="S31" s="290"/>
      <c r="T31" s="291"/>
      <c r="U31" s="309" t="s">
        <v>65</v>
      </c>
      <c r="V31" s="308">
        <f>ROUND(N37/R37*1000,2)</f>
        <v>6.97</v>
      </c>
      <c r="W31" s="57"/>
      <c r="X31" s="57"/>
      <c r="AB31" s="322">
        <f t="shared" si="1"/>
        <v>104.22</v>
      </c>
      <c r="AD31" s="3">
        <f t="shared" si="2"/>
        <v>0</v>
      </c>
      <c r="AE31" s="3">
        <f t="shared" si="3"/>
        <v>0.0172144128901524</v>
      </c>
      <c r="AF31" s="3">
        <f t="shared" si="4"/>
        <v>1.02302796604334e-5</v>
      </c>
      <c r="AG31" s="3">
        <f t="shared" si="5"/>
        <v>0.0110944677795375</v>
      </c>
      <c r="AH31" s="3">
        <f t="shared" si="6"/>
        <v>0.0507287106896586</v>
      </c>
      <c r="AI31" s="3">
        <f t="shared" si="7"/>
        <v>0.0790478216390088</v>
      </c>
      <c r="AK31" s="3">
        <f>AB31*(100-进出水!T33)/100</f>
        <v>22.82418</v>
      </c>
      <c r="AL31" s="3">
        <f t="shared" si="8"/>
        <v>5.47664801101288</v>
      </c>
    </row>
    <row r="32" ht="18.6" customHeight="1" spans="1:38">
      <c r="A32" s="6">
        <v>28</v>
      </c>
      <c r="B32" s="265">
        <v>25.8</v>
      </c>
      <c r="C32" s="266" t="s">
        <v>40</v>
      </c>
      <c r="D32" s="267">
        <v>207834</v>
      </c>
      <c r="E32" s="268">
        <v>104.54</v>
      </c>
      <c r="F32" s="268">
        <v>0</v>
      </c>
      <c r="G32" s="268">
        <v>0</v>
      </c>
      <c r="H32" s="269">
        <v>175</v>
      </c>
      <c r="I32" s="6">
        <v>4476</v>
      </c>
      <c r="J32" s="64">
        <v>55799.9999999811</v>
      </c>
      <c r="K32" s="276">
        <v>0</v>
      </c>
      <c r="L32" s="277">
        <v>0</v>
      </c>
      <c r="M32" s="276">
        <v>3010</v>
      </c>
      <c r="N32" s="276">
        <v>940</v>
      </c>
      <c r="O32" s="278">
        <v>1.2</v>
      </c>
      <c r="P32" s="278">
        <v>0</v>
      </c>
      <c r="Q32" s="288">
        <v>5480</v>
      </c>
      <c r="R32" s="289">
        <f t="shared" si="0"/>
        <v>202354</v>
      </c>
      <c r="S32" s="290"/>
      <c r="T32" s="291" t="s">
        <v>66</v>
      </c>
      <c r="U32" s="309" t="s">
        <v>67</v>
      </c>
      <c r="V32" s="57">
        <f>O37</f>
        <v>18.84</v>
      </c>
      <c r="W32" s="57"/>
      <c r="X32" s="57"/>
      <c r="AB32" s="322">
        <f t="shared" si="1"/>
        <v>104.54</v>
      </c>
      <c r="AD32" s="3">
        <f t="shared" si="2"/>
        <v>0</v>
      </c>
      <c r="AE32" s="3">
        <f t="shared" si="3"/>
        <v>0.024214989572729</v>
      </c>
      <c r="AF32" s="3">
        <f t="shared" si="4"/>
        <v>0</v>
      </c>
      <c r="AG32" s="3">
        <f t="shared" si="5"/>
        <v>0.0066193403639167</v>
      </c>
      <c r="AH32" s="3">
        <f t="shared" si="6"/>
        <v>0.0301713828241596</v>
      </c>
      <c r="AI32" s="3">
        <f t="shared" si="7"/>
        <v>0.0610057127608053</v>
      </c>
      <c r="AK32" s="3">
        <f>AB32*(100-进出水!T34)/100</f>
        <v>22.68518</v>
      </c>
      <c r="AL32" s="3">
        <f t="shared" si="8"/>
        <v>7.71428747755142</v>
      </c>
    </row>
    <row r="33" ht="18.6" customHeight="1" spans="1:38">
      <c r="A33" s="6">
        <v>29</v>
      </c>
      <c r="B33" s="265">
        <v>25</v>
      </c>
      <c r="C33" s="266" t="s">
        <v>40</v>
      </c>
      <c r="D33" s="267">
        <v>211061</v>
      </c>
      <c r="E33" s="268">
        <v>105.48</v>
      </c>
      <c r="F33" s="268">
        <v>68.54</v>
      </c>
      <c r="G33" s="268">
        <v>0</v>
      </c>
      <c r="H33" s="269">
        <v>250</v>
      </c>
      <c r="I33" s="6">
        <v>4524</v>
      </c>
      <c r="J33" s="64">
        <v>54500.0000000073</v>
      </c>
      <c r="K33" s="276">
        <v>0</v>
      </c>
      <c r="L33" s="277">
        <v>0.2</v>
      </c>
      <c r="M33" s="276">
        <v>1874</v>
      </c>
      <c r="N33" s="276">
        <v>580</v>
      </c>
      <c r="O33" s="278">
        <v>0</v>
      </c>
      <c r="P33" s="278">
        <v>0</v>
      </c>
      <c r="Q33" s="288">
        <v>5480</v>
      </c>
      <c r="R33" s="289">
        <f t="shared" si="0"/>
        <v>205581</v>
      </c>
      <c r="S33" s="290"/>
      <c r="T33" s="291"/>
      <c r="U33" s="309" t="s">
        <v>65</v>
      </c>
      <c r="V33" s="308">
        <f>ROUND(V32/R37*1000000,2)</f>
        <v>3.38</v>
      </c>
      <c r="W33" s="57"/>
      <c r="X33" s="57"/>
      <c r="AB33" s="322">
        <f t="shared" si="1"/>
        <v>174.02</v>
      </c>
      <c r="AD33" s="3">
        <f t="shared" si="2"/>
        <v>0</v>
      </c>
      <c r="AE33" s="3">
        <f t="shared" si="3"/>
        <v>0.0340498392361162</v>
      </c>
      <c r="AF33" s="3">
        <f t="shared" si="4"/>
        <v>1.01176665158745e-5</v>
      </c>
      <c r="AG33" s="3">
        <f t="shared" si="5"/>
        <v>0.00405645463345348</v>
      </c>
      <c r="AH33" s="3">
        <f t="shared" si="6"/>
        <v>0.0183241641980533</v>
      </c>
      <c r="AI33" s="3">
        <f t="shared" si="7"/>
        <v>0.0564405757341389</v>
      </c>
      <c r="AK33" s="3">
        <f>AB33*(100-进出水!T35)/100</f>
        <v>37.4143</v>
      </c>
      <c r="AL33" s="3">
        <f t="shared" si="8"/>
        <v>6.68193712029892</v>
      </c>
    </row>
    <row r="34" ht="18.6" customHeight="1" spans="1:38">
      <c r="A34" s="6">
        <v>30</v>
      </c>
      <c r="B34" s="265">
        <v>25.2</v>
      </c>
      <c r="C34" s="266" t="s">
        <v>68</v>
      </c>
      <c r="D34" s="267">
        <v>191949</v>
      </c>
      <c r="E34" s="268">
        <v>86.36</v>
      </c>
      <c r="F34" s="268">
        <v>86.44</v>
      </c>
      <c r="G34" s="268">
        <v>0</v>
      </c>
      <c r="H34" s="269">
        <v>200</v>
      </c>
      <c r="I34" s="6">
        <v>3812</v>
      </c>
      <c r="J34" s="64">
        <v>52900.0000000087</v>
      </c>
      <c r="K34" s="276">
        <v>0</v>
      </c>
      <c r="L34" s="277">
        <v>0</v>
      </c>
      <c r="M34" s="276">
        <v>3081</v>
      </c>
      <c r="N34" s="276">
        <v>988</v>
      </c>
      <c r="O34" s="278">
        <v>0</v>
      </c>
      <c r="P34" s="278">
        <v>0</v>
      </c>
      <c r="Q34" s="288">
        <v>5472</v>
      </c>
      <c r="R34" s="289">
        <f t="shared" si="0"/>
        <v>186477</v>
      </c>
      <c r="S34" s="290"/>
      <c r="T34" s="291"/>
      <c r="U34" s="309"/>
      <c r="V34" s="308"/>
      <c r="W34" s="57"/>
      <c r="X34" s="57"/>
      <c r="AB34" s="322">
        <f t="shared" si="1"/>
        <v>172.8</v>
      </c>
      <c r="AD34" s="3">
        <f t="shared" si="2"/>
        <v>0</v>
      </c>
      <c r="AE34" s="3">
        <f t="shared" si="3"/>
        <v>0.0300305131463934</v>
      </c>
      <c r="AF34" s="3">
        <f t="shared" si="4"/>
        <v>0</v>
      </c>
      <c r="AG34" s="3">
        <f t="shared" si="5"/>
        <v>0.00735235444585659</v>
      </c>
      <c r="AH34" s="3">
        <f t="shared" si="6"/>
        <v>0.0344120722662849</v>
      </c>
      <c r="AI34" s="3">
        <f t="shared" si="7"/>
        <v>0.0717949398585348</v>
      </c>
      <c r="AK34" s="3">
        <f>AB34*(100-进出水!T36)/100</f>
        <v>37.3248</v>
      </c>
      <c r="AL34" s="3">
        <f t="shared" si="8"/>
        <v>5.35836762688615</v>
      </c>
    </row>
    <row r="35" ht="18.6" customHeight="1" spans="1:38">
      <c r="A35" s="6">
        <v>31</v>
      </c>
      <c r="B35" s="265">
        <v>24.2</v>
      </c>
      <c r="C35" s="266" t="s">
        <v>68</v>
      </c>
      <c r="D35" s="267">
        <v>172310</v>
      </c>
      <c r="E35" s="268">
        <v>123.8</v>
      </c>
      <c r="F35" s="268">
        <v>53.04</v>
      </c>
      <c r="G35" s="268">
        <v>0</v>
      </c>
      <c r="H35" s="269">
        <v>275</v>
      </c>
      <c r="I35" s="6">
        <v>4646</v>
      </c>
      <c r="J35" s="64">
        <v>50000</v>
      </c>
      <c r="K35" s="276">
        <v>0</v>
      </c>
      <c r="L35" s="277">
        <v>0</v>
      </c>
      <c r="M35" s="276">
        <v>5921</v>
      </c>
      <c r="N35" s="276">
        <v>1852</v>
      </c>
      <c r="O35" s="278">
        <v>1.5</v>
      </c>
      <c r="P35" s="278">
        <v>0</v>
      </c>
      <c r="Q35" s="288">
        <v>5488</v>
      </c>
      <c r="R35" s="289">
        <f t="shared" si="0"/>
        <v>166822</v>
      </c>
      <c r="S35" s="290"/>
      <c r="T35" s="291"/>
      <c r="U35" s="309"/>
      <c r="V35" s="57"/>
      <c r="W35" s="57"/>
      <c r="X35" s="57"/>
      <c r="AB35" s="322">
        <f t="shared" si="1"/>
        <v>176.84</v>
      </c>
      <c r="AD35" s="3">
        <f t="shared" si="2"/>
        <v>0</v>
      </c>
      <c r="AE35" s="3">
        <f t="shared" si="3"/>
        <v>0.0461569816930621</v>
      </c>
      <c r="AF35" s="3">
        <f t="shared" si="4"/>
        <v>0</v>
      </c>
      <c r="AG35" s="3">
        <f t="shared" si="5"/>
        <v>0.0157943496661112</v>
      </c>
      <c r="AH35" s="3">
        <f t="shared" si="6"/>
        <v>0.0721052379182602</v>
      </c>
      <c r="AI35" s="3">
        <f t="shared" si="7"/>
        <v>0.134056569277433</v>
      </c>
      <c r="AK35" s="3">
        <f>AB35*(100-进出水!T37)/100</f>
        <v>38.55112</v>
      </c>
      <c r="AL35" s="3">
        <f t="shared" si="8"/>
        <v>7.13338548918942</v>
      </c>
    </row>
    <row r="36" ht="19" customHeight="1" spans="1:20">
      <c r="A36" s="5" t="s">
        <v>69</v>
      </c>
      <c r="B36" s="61">
        <f>AVERAGE(B5:B35)</f>
        <v>25.9548387096774</v>
      </c>
      <c r="C36" s="8" t="s">
        <v>70</v>
      </c>
      <c r="D36" s="270">
        <f>AVERAGE(D5:D35)</f>
        <v>185083.258064516</v>
      </c>
      <c r="E36" s="173">
        <f>AVERAGE(E5:E35)</f>
        <v>64.021935483871</v>
      </c>
      <c r="F36" s="173">
        <f>AVERAGE(F5:F35)</f>
        <v>31.9832258064516</v>
      </c>
      <c r="G36" s="173">
        <f>AVERAGE(G5:G35)</f>
        <v>4.54838709677419</v>
      </c>
      <c r="H36" s="270">
        <f t="shared" ref="H36:Q36" si="9">AVERAGE(H5:H35)</f>
        <v>136.290322580645</v>
      </c>
      <c r="I36" s="270">
        <f t="shared" si="9"/>
        <v>4148.12903225806</v>
      </c>
      <c r="J36" s="270">
        <f t="shared" si="9"/>
        <v>49722.5806451611</v>
      </c>
      <c r="K36" s="270">
        <f t="shared" si="9"/>
        <v>2117.41935483871</v>
      </c>
      <c r="L36" s="270">
        <f t="shared" si="9"/>
        <v>0.0838709677419355</v>
      </c>
      <c r="M36" s="270">
        <f t="shared" si="9"/>
        <v>3930.70967741935</v>
      </c>
      <c r="N36" s="270">
        <f t="shared" si="9"/>
        <v>1252</v>
      </c>
      <c r="O36" s="281">
        <f t="shared" si="9"/>
        <v>0.607741935483871</v>
      </c>
      <c r="P36" s="173">
        <f t="shared" si="9"/>
        <v>0</v>
      </c>
      <c r="Q36" s="270">
        <f t="shared" si="9"/>
        <v>5495.74193548387</v>
      </c>
      <c r="R36" s="312">
        <f t="shared" si="0"/>
        <v>179587.516129032</v>
      </c>
      <c r="S36" s="313"/>
      <c r="T36" s="314"/>
    </row>
    <row r="37" ht="17" customHeight="1" spans="1:28">
      <c r="A37" s="5" t="s">
        <v>26</v>
      </c>
      <c r="B37" s="6" t="s">
        <v>70</v>
      </c>
      <c r="C37" s="6" t="s">
        <v>70</v>
      </c>
      <c r="D37" s="271">
        <f>SUM(D5:D35)</f>
        <v>5737581</v>
      </c>
      <c r="E37" s="272">
        <f>SUM(E5:E35)</f>
        <v>1984.68</v>
      </c>
      <c r="F37" s="272">
        <f>SUM(F5:F35)</f>
        <v>991.48</v>
      </c>
      <c r="G37" s="272">
        <f>SUM(G5:G35)</f>
        <v>141</v>
      </c>
      <c r="H37" s="271">
        <f>SUM(H5:H35)</f>
        <v>4225</v>
      </c>
      <c r="I37" s="6" t="s">
        <v>70</v>
      </c>
      <c r="J37" s="270">
        <f t="shared" ref="J37:R37" si="10">SUM(J5:J35)</f>
        <v>1541399.99999999</v>
      </c>
      <c r="K37" s="270">
        <f t="shared" si="10"/>
        <v>65640</v>
      </c>
      <c r="L37" s="282">
        <f t="shared" si="10"/>
        <v>2.6</v>
      </c>
      <c r="M37" s="270">
        <f t="shared" si="10"/>
        <v>121852</v>
      </c>
      <c r="N37" s="270">
        <f t="shared" si="10"/>
        <v>38812</v>
      </c>
      <c r="O37" s="173">
        <f t="shared" si="10"/>
        <v>18.84</v>
      </c>
      <c r="P37" s="173">
        <f t="shared" si="10"/>
        <v>0</v>
      </c>
      <c r="Q37" s="270">
        <f t="shared" si="10"/>
        <v>170368</v>
      </c>
      <c r="R37" s="270">
        <f t="shared" si="10"/>
        <v>5567213</v>
      </c>
      <c r="S37" s="315"/>
      <c r="T37" s="316"/>
      <c r="AB37" s="3">
        <f>SUM(AB5:AB36)</f>
        <v>3117.16</v>
      </c>
    </row>
    <row r="38" ht="18.6" customHeight="1" spans="1:18">
      <c r="A38" s="273" t="s">
        <v>71</v>
      </c>
      <c r="B38" s="273"/>
      <c r="C38" s="273"/>
      <c r="D38" s="273"/>
      <c r="E38" s="274"/>
      <c r="F38" s="274"/>
      <c r="I38" s="283" t="s">
        <v>72</v>
      </c>
      <c r="Q38" s="317" t="s">
        <v>73</v>
      </c>
      <c r="R38" s="318">
        <v>44867</v>
      </c>
    </row>
    <row r="39" ht="18.6" customHeight="1" spans="13:13">
      <c r="M39" s="255">
        <f>M37*0.31</f>
        <v>37774.12</v>
      </c>
    </row>
    <row r="40" spans="7:28">
      <c r="G40" s="255"/>
      <c r="H40" s="255"/>
      <c r="Q40" s="255" t="s">
        <v>74</v>
      </c>
      <c r="R40" s="255">
        <f>MAX(R5:R35)</f>
        <v>208154</v>
      </c>
      <c r="AB40" s="3">
        <f>(100-进出水!T38)*AB37/100</f>
        <v>677.9823</v>
      </c>
    </row>
    <row r="41" spans="7:18">
      <c r="G41" s="255"/>
      <c r="H41" s="255"/>
      <c r="O41" s="255">
        <f>O37*1000</f>
        <v>18840</v>
      </c>
      <c r="Q41" s="255" t="s">
        <v>75</v>
      </c>
      <c r="R41" s="255">
        <f>MIN(R5:R35)</f>
        <v>143906</v>
      </c>
    </row>
    <row r="42" spans="12:12">
      <c r="L42" s="255">
        <f>L37*1000/R37</f>
        <v>0.00046702003318357</v>
      </c>
    </row>
    <row r="44" spans="18:18">
      <c r="R44" s="255">
        <f>L37/R37*1000</f>
        <v>0.00046702003318357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O18" sqref="O18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7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199" t="s">
        <v>76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="195" customFormat="1" ht="20.1" customHeight="1" spans="1:13">
      <c r="A2" s="200">
        <v>44835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="195" customFormat="1" ht="24" customHeight="1" spans="1:22">
      <c r="A3" s="201" t="s">
        <v>77</v>
      </c>
      <c r="B3" s="202" t="s">
        <v>78</v>
      </c>
      <c r="C3" s="203">
        <f>处理量!R37</f>
        <v>5567213</v>
      </c>
      <c r="D3" s="204" t="s">
        <v>79</v>
      </c>
      <c r="E3" s="202" t="s">
        <v>80</v>
      </c>
      <c r="F3" s="205">
        <f>处理量!E37+处理量!F37+处理量!G37</f>
        <v>3117.16</v>
      </c>
      <c r="G3" s="201" t="s">
        <v>81</v>
      </c>
      <c r="H3" s="202" t="s">
        <v>82</v>
      </c>
      <c r="I3" s="202"/>
      <c r="J3" s="37">
        <f>处理量!J37</f>
        <v>1541399.99999999</v>
      </c>
      <c r="K3" s="204" t="s">
        <v>83</v>
      </c>
      <c r="L3" s="202" t="s">
        <v>84</v>
      </c>
      <c r="M3" s="239">
        <f>J3/C3</f>
        <v>0.276871030441981</v>
      </c>
      <c r="P3" s="195" t="s">
        <v>85</v>
      </c>
      <c r="Q3" s="253">
        <v>1773.2</v>
      </c>
      <c r="R3" s="195">
        <f>J5-Q3</f>
        <v>1620.8</v>
      </c>
      <c r="V3" s="195">
        <v>188314</v>
      </c>
    </row>
    <row r="4" s="195" customFormat="1" ht="24" customHeight="1" spans="1:22">
      <c r="A4" s="201"/>
      <c r="B4" s="202" t="s">
        <v>86</v>
      </c>
      <c r="C4" s="206">
        <f>处理量!R36</f>
        <v>179587.516129032</v>
      </c>
      <c r="D4" s="207"/>
      <c r="E4" s="202" t="s">
        <v>87</v>
      </c>
      <c r="F4" s="208">
        <f>处理量!H37</f>
        <v>4225</v>
      </c>
      <c r="G4" s="201"/>
      <c r="H4" s="202" t="s">
        <v>88</v>
      </c>
      <c r="I4" s="202"/>
      <c r="J4" s="208">
        <f>J3/M15</f>
        <v>49722.5806451611</v>
      </c>
      <c r="K4" s="207"/>
      <c r="L4" s="202" t="s">
        <v>89</v>
      </c>
      <c r="M4" s="240">
        <f>J3/I12</f>
        <v>1.45568365111452</v>
      </c>
      <c r="P4" s="195" t="s">
        <v>90</v>
      </c>
      <c r="Q4" s="253">
        <v>50535.9999999999</v>
      </c>
      <c r="V4" s="195">
        <v>193894</v>
      </c>
    </row>
    <row r="5" s="195" customFormat="1" ht="24" customHeight="1" spans="1:22">
      <c r="A5" s="201"/>
      <c r="B5" s="202"/>
      <c r="C5" s="209"/>
      <c r="D5" s="207"/>
      <c r="E5" s="202" t="s">
        <v>91</v>
      </c>
      <c r="F5" s="210">
        <f>进出水!T38</f>
        <v>78.25</v>
      </c>
      <c r="G5" s="201"/>
      <c r="H5" s="202" t="s">
        <v>92</v>
      </c>
      <c r="I5" s="202"/>
      <c r="J5" s="241">
        <v>3394</v>
      </c>
      <c r="K5" s="207"/>
      <c r="L5" s="202"/>
      <c r="M5" s="242"/>
      <c r="V5" s="195">
        <f>V4-V3</f>
        <v>5580</v>
      </c>
    </row>
    <row r="6" s="195" customFormat="1" ht="24" customHeight="1" spans="1:13">
      <c r="A6" s="201"/>
      <c r="B6" s="202" t="s">
        <v>93</v>
      </c>
      <c r="C6" s="211">
        <f>处理量!R40</f>
        <v>208154</v>
      </c>
      <c r="D6" s="207"/>
      <c r="E6" s="201" t="s">
        <v>94</v>
      </c>
      <c r="F6" s="205">
        <f>F4/(F3*(100-F5)/100)</f>
        <v>6.23172610848395</v>
      </c>
      <c r="G6" s="204" t="s">
        <v>95</v>
      </c>
      <c r="H6" s="202" t="s">
        <v>96</v>
      </c>
      <c r="I6" s="202"/>
      <c r="J6" s="214">
        <f>处理量!M37/1000</f>
        <v>121.852</v>
      </c>
      <c r="K6" s="207"/>
      <c r="L6" s="202" t="s">
        <v>97</v>
      </c>
      <c r="M6" s="214">
        <f>J3/I13</f>
        <v>2.92737397379976</v>
      </c>
    </row>
    <row r="7" s="195" customFormat="1" ht="24" customHeight="1" spans="1:13">
      <c r="A7" s="201"/>
      <c r="B7" s="202" t="s">
        <v>98</v>
      </c>
      <c r="C7" s="37">
        <f>处理量!R41</f>
        <v>143906</v>
      </c>
      <c r="D7" s="212"/>
      <c r="E7" s="201" t="s">
        <v>99</v>
      </c>
      <c r="F7" s="213">
        <f>F3*(100-F5)/100*1000/(C3/1000)</f>
        <v>121.781275478413</v>
      </c>
      <c r="G7" s="207"/>
      <c r="H7" s="202" t="s">
        <v>100</v>
      </c>
      <c r="I7" s="202"/>
      <c r="J7" s="228">
        <f>J6*1000/(C3/1000)</f>
        <v>21.887432724417</v>
      </c>
      <c r="K7" s="207"/>
      <c r="L7" s="243" t="s">
        <v>101</v>
      </c>
      <c r="M7" s="214">
        <f>J3/I14</f>
        <v>2.54687729226365</v>
      </c>
    </row>
    <row r="8" s="195" customFormat="1" ht="24" customHeight="1" spans="1:13">
      <c r="A8" s="201"/>
      <c r="B8" s="202" t="s">
        <v>102</v>
      </c>
      <c r="C8" s="214">
        <f>C4/200000*100</f>
        <v>89.7937580645161</v>
      </c>
      <c r="D8" s="201" t="s">
        <v>103</v>
      </c>
      <c r="E8" s="202" t="s">
        <v>104</v>
      </c>
      <c r="F8" s="214">
        <f>处理量!K37/1000</f>
        <v>65.64</v>
      </c>
      <c r="G8" s="207"/>
      <c r="H8" s="202" t="s">
        <v>105</v>
      </c>
      <c r="I8" s="202"/>
      <c r="J8" s="214">
        <f>处理量!N37/1000</f>
        <v>38.812</v>
      </c>
      <c r="K8" s="244" t="s">
        <v>106</v>
      </c>
      <c r="L8" s="223" t="s">
        <v>107</v>
      </c>
      <c r="M8" s="245">
        <f>处理量!O37</f>
        <v>18.84</v>
      </c>
    </row>
    <row r="9" s="195" customFormat="1" ht="24" customHeight="1" spans="1:13">
      <c r="A9" s="201"/>
      <c r="B9" s="215" t="s">
        <v>108</v>
      </c>
      <c r="C9" s="216">
        <f>处理量!B36</f>
        <v>25.9548387096774</v>
      </c>
      <c r="D9" s="201"/>
      <c r="E9" s="202" t="s">
        <v>100</v>
      </c>
      <c r="F9" s="214">
        <f>F8*1000/(C3/1000)</f>
        <v>11.7904596069883</v>
      </c>
      <c r="G9" s="212"/>
      <c r="H9" s="202" t="s">
        <v>100</v>
      </c>
      <c r="I9" s="202"/>
      <c r="J9" s="205">
        <f>J8*1000/(C3/1000)</f>
        <v>6.97153135689258</v>
      </c>
      <c r="K9" s="220"/>
      <c r="L9" s="37" t="s">
        <v>100</v>
      </c>
      <c r="M9" s="245">
        <f>M8*1000000/C3</f>
        <v>3.38409900968402</v>
      </c>
    </row>
    <row r="10" s="195" customFormat="1" ht="24" customHeight="1" spans="1:13">
      <c r="A10" s="201" t="s">
        <v>109</v>
      </c>
      <c r="B10" s="217" t="s">
        <v>110</v>
      </c>
      <c r="C10" s="218" t="s">
        <v>111</v>
      </c>
      <c r="D10" s="219"/>
      <c r="E10" s="218" t="s">
        <v>112</v>
      </c>
      <c r="F10" s="219"/>
      <c r="G10" s="218" t="s">
        <v>113</v>
      </c>
      <c r="H10" s="219"/>
      <c r="I10" s="218" t="s">
        <v>114</v>
      </c>
      <c r="J10" s="219"/>
      <c r="K10" s="204" t="s">
        <v>115</v>
      </c>
      <c r="L10" s="223" t="s">
        <v>107</v>
      </c>
      <c r="M10" s="37">
        <v>0</v>
      </c>
    </row>
    <row r="11" s="195" customFormat="1" ht="24" customHeight="1" spans="1:13">
      <c r="A11" s="201"/>
      <c r="B11" s="220"/>
      <c r="C11" s="221"/>
      <c r="D11" s="222"/>
      <c r="E11" s="221"/>
      <c r="F11" s="222"/>
      <c r="G11" s="221"/>
      <c r="H11" s="222"/>
      <c r="I11" s="221"/>
      <c r="J11" s="222"/>
      <c r="K11" s="212"/>
      <c r="L11" s="37" t="s">
        <v>100</v>
      </c>
      <c r="M11" s="37">
        <v>0</v>
      </c>
    </row>
    <row r="12" s="195" customFormat="1" ht="24" customHeight="1" spans="1:19">
      <c r="A12" s="201"/>
      <c r="B12" s="223" t="s">
        <v>116</v>
      </c>
      <c r="C12" s="208">
        <f>进出水!B38</f>
        <v>212</v>
      </c>
      <c r="D12" s="208"/>
      <c r="E12" s="224">
        <f>进出水!N38</f>
        <v>21.8</v>
      </c>
      <c r="F12" s="225"/>
      <c r="G12" s="224">
        <f t="shared" ref="G12:G17" si="0">(C12-E12)/C12*100</f>
        <v>89.7169811320755</v>
      </c>
      <c r="H12" s="225"/>
      <c r="I12" s="208">
        <f>$C$3*(C12-E12)/1000</f>
        <v>1058883.9126</v>
      </c>
      <c r="J12" s="208"/>
      <c r="K12" s="201" t="s">
        <v>117</v>
      </c>
      <c r="L12" s="202" t="s">
        <v>30</v>
      </c>
      <c r="M12" s="205">
        <f>处理量!V16</f>
        <v>1984.68</v>
      </c>
      <c r="P12" s="246">
        <f t="shared" ref="P12:P17" si="1">ROUND(E12,2)</f>
        <v>21.8</v>
      </c>
      <c r="Q12" s="254">
        <f>C3</f>
        <v>5567213</v>
      </c>
      <c r="R12" s="246">
        <f t="shared" ref="R12:R17" si="2">P12*Q12/1000000</f>
        <v>121.3652434</v>
      </c>
      <c r="S12" s="223" t="s">
        <v>116</v>
      </c>
    </row>
    <row r="13" s="195" customFormat="1" ht="24" customHeight="1" spans="1:19">
      <c r="A13" s="201"/>
      <c r="B13" s="223" t="s">
        <v>118</v>
      </c>
      <c r="C13" s="208">
        <f>进出水!C38</f>
        <v>97</v>
      </c>
      <c r="D13" s="208"/>
      <c r="E13" s="226">
        <f>进出水!O38</f>
        <v>2.42</v>
      </c>
      <c r="F13" s="227"/>
      <c r="G13" s="224">
        <f t="shared" si="0"/>
        <v>97.5051546391752</v>
      </c>
      <c r="H13" s="225"/>
      <c r="I13" s="208">
        <f>$C$3*(C13-E13)/1000</f>
        <v>526547.00554</v>
      </c>
      <c r="J13" s="208"/>
      <c r="K13" s="201"/>
      <c r="L13" s="34" t="s">
        <v>31</v>
      </c>
      <c r="M13" s="247">
        <f>处理量!U16</f>
        <v>991.48</v>
      </c>
      <c r="P13" s="246">
        <f t="shared" si="1"/>
        <v>2.42</v>
      </c>
      <c r="Q13" s="254">
        <f t="shared" ref="Q13:Q17" si="3">Q12</f>
        <v>5567213</v>
      </c>
      <c r="R13" s="246">
        <f t="shared" si="2"/>
        <v>13.47265546</v>
      </c>
      <c r="S13" s="223" t="s">
        <v>118</v>
      </c>
    </row>
    <row r="14" s="195" customFormat="1" ht="24" customHeight="1" spans="1:19">
      <c r="A14" s="201"/>
      <c r="B14" s="223" t="s">
        <v>119</v>
      </c>
      <c r="C14" s="208">
        <f>进出水!D38</f>
        <v>114</v>
      </c>
      <c r="D14" s="208"/>
      <c r="E14" s="226">
        <f>进出水!P38</f>
        <v>5.29</v>
      </c>
      <c r="F14" s="227"/>
      <c r="G14" s="224">
        <f t="shared" si="0"/>
        <v>95.359649122807</v>
      </c>
      <c r="H14" s="225"/>
      <c r="I14" s="208">
        <f>$C$3*(C14-E14)/1000</f>
        <v>605211.72523</v>
      </c>
      <c r="J14" s="208"/>
      <c r="K14" s="201"/>
      <c r="L14" s="34" t="s">
        <v>120</v>
      </c>
      <c r="M14" s="247">
        <f>处理量!W16</f>
        <v>141</v>
      </c>
      <c r="P14" s="246">
        <f t="shared" si="1"/>
        <v>5.29</v>
      </c>
      <c r="Q14" s="254">
        <f t="shared" si="3"/>
        <v>5567213</v>
      </c>
      <c r="R14" s="246">
        <f t="shared" si="2"/>
        <v>29.45055677</v>
      </c>
      <c r="S14" s="223" t="s">
        <v>119</v>
      </c>
    </row>
    <row r="15" s="195" customFormat="1" ht="24" customHeight="1" spans="1:19">
      <c r="A15" s="201"/>
      <c r="B15" s="223" t="s">
        <v>121</v>
      </c>
      <c r="C15" s="205">
        <f>进出水!E38</f>
        <v>2.63</v>
      </c>
      <c r="D15" s="205"/>
      <c r="E15" s="226">
        <f>进出水!Q38</f>
        <v>0.17</v>
      </c>
      <c r="F15" s="227"/>
      <c r="G15" s="224">
        <f t="shared" si="0"/>
        <v>93.5361216730038</v>
      </c>
      <c r="H15" s="225"/>
      <c r="I15" s="208">
        <f>$C$3*(C15-E15)/1000</f>
        <v>13695.34398</v>
      </c>
      <c r="J15" s="208"/>
      <c r="K15" s="204" t="s">
        <v>122</v>
      </c>
      <c r="L15" s="248" t="s">
        <v>123</v>
      </c>
      <c r="M15" s="36">
        <v>31</v>
      </c>
      <c r="P15" s="246">
        <f t="shared" si="1"/>
        <v>0.17</v>
      </c>
      <c r="Q15" s="254">
        <f t="shared" si="3"/>
        <v>5567213</v>
      </c>
      <c r="R15" s="246">
        <f t="shared" si="2"/>
        <v>0.94642621</v>
      </c>
      <c r="S15" s="223" t="s">
        <v>121</v>
      </c>
    </row>
    <row r="16" s="195" customFormat="1" ht="24" customHeight="1" spans="1:19">
      <c r="A16" s="201"/>
      <c r="B16" s="223" t="s">
        <v>124</v>
      </c>
      <c r="C16" s="228">
        <f>进出水!G38</f>
        <v>30.3</v>
      </c>
      <c r="D16" s="228"/>
      <c r="E16" s="226">
        <f>进出水!S38</f>
        <v>7.07</v>
      </c>
      <c r="F16" s="227"/>
      <c r="G16" s="224">
        <f t="shared" si="0"/>
        <v>76.6666666666667</v>
      </c>
      <c r="H16" s="225"/>
      <c r="I16" s="208">
        <f>$C$3*(C16-E16)/1000</f>
        <v>129326.35799</v>
      </c>
      <c r="J16" s="208"/>
      <c r="K16" s="207"/>
      <c r="L16" s="249" t="s">
        <v>125</v>
      </c>
      <c r="M16" s="37">
        <v>31</v>
      </c>
      <c r="P16" s="246">
        <f t="shared" si="1"/>
        <v>7.07</v>
      </c>
      <c r="Q16" s="254">
        <f t="shared" si="3"/>
        <v>5567213</v>
      </c>
      <c r="R16" s="246">
        <f t="shared" si="2"/>
        <v>39.36019591</v>
      </c>
      <c r="S16" s="223" t="s">
        <v>124</v>
      </c>
    </row>
    <row r="17" s="195" customFormat="1" ht="24" customHeight="1" spans="1:19">
      <c r="A17" s="201"/>
      <c r="B17" s="223" t="s">
        <v>126</v>
      </c>
      <c r="C17" s="228">
        <f>进出水!F38</f>
        <v>23.7</v>
      </c>
      <c r="D17" s="228"/>
      <c r="E17" s="226">
        <f>进出水!R38</f>
        <v>0.33</v>
      </c>
      <c r="F17" s="227"/>
      <c r="G17" s="224">
        <f t="shared" si="0"/>
        <v>98.6075949367089</v>
      </c>
      <c r="H17" s="225"/>
      <c r="I17" s="208">
        <f>$C$3*(C17-E17)/1000</f>
        <v>130105.76781</v>
      </c>
      <c r="J17" s="208"/>
      <c r="K17" s="207"/>
      <c r="L17" s="249" t="s">
        <v>127</v>
      </c>
      <c r="M17" s="36">
        <v>31</v>
      </c>
      <c r="P17" s="246">
        <f t="shared" si="1"/>
        <v>0.33</v>
      </c>
      <c r="Q17" s="254">
        <f t="shared" si="3"/>
        <v>5567213</v>
      </c>
      <c r="R17" s="246">
        <f t="shared" si="2"/>
        <v>1.83718029</v>
      </c>
      <c r="S17" s="223" t="s">
        <v>126</v>
      </c>
    </row>
    <row r="18" s="195" customFormat="1" ht="24" customHeight="1" spans="1:13">
      <c r="A18" s="201"/>
      <c r="B18" s="215" t="s">
        <v>128</v>
      </c>
      <c r="C18" s="229"/>
      <c r="D18" s="230"/>
      <c r="E18" s="231" t="s">
        <v>129</v>
      </c>
      <c r="F18" s="232"/>
      <c r="G18" s="229"/>
      <c r="H18" s="230"/>
      <c r="I18" s="229"/>
      <c r="J18" s="230"/>
      <c r="K18" s="212"/>
      <c r="L18" s="243" t="s">
        <v>130</v>
      </c>
      <c r="M18" s="37">
        <v>100</v>
      </c>
    </row>
    <row r="19" s="195" customFormat="1" ht="20.1" customHeight="1" spans="1:16">
      <c r="A19" s="201" t="s">
        <v>131</v>
      </c>
      <c r="B19" s="233" t="s">
        <v>132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50"/>
      <c r="P19" s="195">
        <f>F3*(100-F5)/100</f>
        <v>677.9823</v>
      </c>
    </row>
    <row r="20" s="195" customFormat="1" ht="20.1" customHeight="1" spans="1:13">
      <c r="A20" s="201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51"/>
    </row>
    <row r="21" ht="20.1" customHeight="1" spans="1:13">
      <c r="A21" s="237" t="s">
        <v>133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</row>
    <row r="22" ht="17.25" customHeight="1" spans="9:9">
      <c r="I22" s="252"/>
    </row>
    <row r="23" ht="17.25" customHeight="1" spans="5:9">
      <c r="E23" s="238"/>
      <c r="I23" s="252"/>
    </row>
    <row r="24" ht="17.25" customHeight="1" spans="5:9">
      <c r="E24" s="238"/>
      <c r="I24" s="252"/>
    </row>
    <row r="25" ht="17.25" customHeight="1" spans="5:9">
      <c r="E25" s="238"/>
      <c r="I25" s="252"/>
    </row>
    <row r="26" ht="17.25" customHeight="1" spans="5:9">
      <c r="E26" s="238"/>
      <c r="I26" s="252"/>
    </row>
    <row r="27" ht="17.25" customHeight="1" spans="5:9">
      <c r="E27" s="238"/>
      <c r="I27" s="252"/>
    </row>
    <row r="28" ht="17.25" customHeight="1" spans="5:9">
      <c r="E28" s="238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topLeftCell="A4" workbookViewId="0">
      <selection activeCell="S7" sqref="S7:S37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134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65"/>
      <c r="J2" s="165"/>
      <c r="K2" s="98"/>
      <c r="L2" s="97"/>
      <c r="M2" s="97"/>
      <c r="N2" s="97"/>
      <c r="O2" s="97"/>
      <c r="P2" s="97"/>
      <c r="Q2" s="97"/>
      <c r="R2" s="97"/>
      <c r="S2" s="97"/>
      <c r="T2" s="97"/>
      <c r="U2" s="27"/>
    </row>
    <row r="3" spans="1:21">
      <c r="A3" s="33" t="s">
        <v>135</v>
      </c>
      <c r="B3" s="33"/>
      <c r="C3" s="33"/>
      <c r="D3" s="33"/>
      <c r="E3" s="33"/>
      <c r="F3" s="33"/>
      <c r="G3" s="33"/>
      <c r="H3" s="99"/>
      <c r="I3" s="166"/>
      <c r="J3" s="167">
        <v>44835</v>
      </c>
      <c r="K3" s="168"/>
      <c r="L3" s="33"/>
      <c r="M3" s="33"/>
      <c r="N3" s="33"/>
      <c r="O3" s="33"/>
      <c r="P3" s="33"/>
      <c r="Q3" s="33"/>
      <c r="R3" s="33"/>
      <c r="S3" s="33"/>
      <c r="T3" s="189"/>
      <c r="U3" s="27"/>
    </row>
    <row r="4" ht="12.75" customHeight="1" spans="1:21">
      <c r="A4" s="100" t="s">
        <v>136</v>
      </c>
      <c r="B4" s="101" t="s">
        <v>111</v>
      </c>
      <c r="C4" s="102"/>
      <c r="D4" s="102"/>
      <c r="E4" s="102"/>
      <c r="F4" s="102"/>
      <c r="G4" s="103"/>
      <c r="H4" s="104" t="s">
        <v>137</v>
      </c>
      <c r="I4" s="104"/>
      <c r="J4" s="104"/>
      <c r="K4" s="104"/>
      <c r="L4" s="104"/>
      <c r="M4" s="104"/>
      <c r="N4" s="169" t="s">
        <v>138</v>
      </c>
      <c r="O4" s="169"/>
      <c r="P4" s="169"/>
      <c r="Q4" s="169"/>
      <c r="R4" s="169"/>
      <c r="S4" s="169"/>
      <c r="T4" s="190" t="s">
        <v>139</v>
      </c>
      <c r="U4" s="190" t="s">
        <v>140</v>
      </c>
    </row>
    <row r="5" ht="15" customHeight="1" spans="1:21">
      <c r="A5" s="105"/>
      <c r="B5" s="106" t="s">
        <v>141</v>
      </c>
      <c r="C5" s="106" t="s">
        <v>118</v>
      </c>
      <c r="D5" s="106" t="s">
        <v>119</v>
      </c>
      <c r="E5" s="106" t="s">
        <v>121</v>
      </c>
      <c r="F5" s="106" t="s">
        <v>126</v>
      </c>
      <c r="G5" s="106" t="s">
        <v>124</v>
      </c>
      <c r="H5" s="107" t="s">
        <v>141</v>
      </c>
      <c r="I5" s="107" t="s">
        <v>118</v>
      </c>
      <c r="J5" s="107" t="s">
        <v>119</v>
      </c>
      <c r="K5" s="107" t="s">
        <v>121</v>
      </c>
      <c r="L5" s="106" t="s">
        <v>126</v>
      </c>
      <c r="M5" s="106" t="s">
        <v>124</v>
      </c>
      <c r="N5" s="100" t="s">
        <v>142</v>
      </c>
      <c r="O5" s="100" t="s">
        <v>143</v>
      </c>
      <c r="P5" s="100" t="s">
        <v>119</v>
      </c>
      <c r="Q5" s="100" t="s">
        <v>121</v>
      </c>
      <c r="R5" s="100" t="s">
        <v>144</v>
      </c>
      <c r="S5" s="100" t="s">
        <v>124</v>
      </c>
      <c r="T5" s="191"/>
      <c r="U5" s="191"/>
    </row>
    <row r="6" ht="22.5" customHeight="1" spans="1:21">
      <c r="A6" s="108"/>
      <c r="B6" s="109" t="s">
        <v>145</v>
      </c>
      <c r="C6" s="109" t="s">
        <v>145</v>
      </c>
      <c r="D6" s="109" t="s">
        <v>145</v>
      </c>
      <c r="E6" s="109" t="s">
        <v>145</v>
      </c>
      <c r="F6" s="109" t="s">
        <v>145</v>
      </c>
      <c r="G6" s="109" t="s">
        <v>145</v>
      </c>
      <c r="H6" s="110" t="s">
        <v>145</v>
      </c>
      <c r="I6" s="110" t="s">
        <v>145</v>
      </c>
      <c r="J6" s="110" t="s">
        <v>145</v>
      </c>
      <c r="K6" s="110" t="s">
        <v>145</v>
      </c>
      <c r="L6" s="109" t="s">
        <v>145</v>
      </c>
      <c r="M6" s="109" t="s">
        <v>145</v>
      </c>
      <c r="N6" s="109" t="s">
        <v>145</v>
      </c>
      <c r="O6" s="109" t="s">
        <v>145</v>
      </c>
      <c r="P6" s="109" t="s">
        <v>145</v>
      </c>
      <c r="Q6" s="109" t="s">
        <v>145</v>
      </c>
      <c r="R6" s="109" t="s">
        <v>145</v>
      </c>
      <c r="S6" s="109" t="s">
        <v>145</v>
      </c>
      <c r="T6" s="108" t="s">
        <v>146</v>
      </c>
      <c r="U6" s="108" t="s">
        <v>147</v>
      </c>
    </row>
    <row r="7" ht="12.95" customHeight="1" spans="1:23">
      <c r="A7" s="111">
        <v>1</v>
      </c>
      <c r="B7" s="112">
        <v>198</v>
      </c>
      <c r="C7" s="113">
        <v>90.4</v>
      </c>
      <c r="D7" s="114">
        <v>110</v>
      </c>
      <c r="E7" s="115">
        <v>3.62</v>
      </c>
      <c r="F7" s="116">
        <v>27.7</v>
      </c>
      <c r="G7" s="117">
        <v>32.9</v>
      </c>
      <c r="H7" s="118">
        <v>29</v>
      </c>
      <c r="I7" s="115">
        <v>3.1</v>
      </c>
      <c r="J7" s="118">
        <v>18</v>
      </c>
      <c r="K7" s="115">
        <v>0.52</v>
      </c>
      <c r="L7" s="170">
        <v>0.44</v>
      </c>
      <c r="M7" s="170">
        <v>9.57</v>
      </c>
      <c r="N7" s="114">
        <v>19</v>
      </c>
      <c r="O7" s="171">
        <v>2.55</v>
      </c>
      <c r="P7" s="114">
        <v>5</v>
      </c>
      <c r="Q7" s="170">
        <v>0.15</v>
      </c>
      <c r="R7" s="119">
        <v>0.43</v>
      </c>
      <c r="S7" s="170">
        <v>8.76</v>
      </c>
      <c r="T7" s="121">
        <v>78.3</v>
      </c>
      <c r="U7" s="124" t="s">
        <v>129</v>
      </c>
      <c r="V7" s="192"/>
      <c r="W7" s="193">
        <f>1-S7/G7</f>
        <v>0.733738601823708</v>
      </c>
    </row>
    <row r="8" ht="12.95" customHeight="1" spans="1:23">
      <c r="A8" s="111">
        <v>2</v>
      </c>
      <c r="B8" s="112">
        <v>242</v>
      </c>
      <c r="C8" s="113">
        <v>110</v>
      </c>
      <c r="D8" s="114">
        <v>162</v>
      </c>
      <c r="E8" s="119">
        <v>2.9</v>
      </c>
      <c r="F8" s="117">
        <v>30.5</v>
      </c>
      <c r="G8" s="117">
        <v>35.8</v>
      </c>
      <c r="H8" s="118">
        <v>26</v>
      </c>
      <c r="I8" s="115">
        <v>2.87</v>
      </c>
      <c r="J8" s="118">
        <v>14</v>
      </c>
      <c r="K8" s="115">
        <v>0.5</v>
      </c>
      <c r="L8" s="170">
        <v>0.35</v>
      </c>
      <c r="M8" s="170">
        <v>8.57</v>
      </c>
      <c r="N8" s="114">
        <v>25</v>
      </c>
      <c r="O8" s="171">
        <v>2.31</v>
      </c>
      <c r="P8" s="114">
        <v>6</v>
      </c>
      <c r="Q8" s="170">
        <v>0.16</v>
      </c>
      <c r="R8" s="119">
        <v>0.34</v>
      </c>
      <c r="S8" s="170">
        <v>8.02</v>
      </c>
      <c r="T8" s="121">
        <v>78.1</v>
      </c>
      <c r="U8" s="124" t="s">
        <v>129</v>
      </c>
      <c r="V8" s="192"/>
      <c r="W8" s="193">
        <f t="shared" ref="W8:W37" si="0">1-S8/G8</f>
        <v>0.775977653631285</v>
      </c>
    </row>
    <row r="9" ht="12.95" customHeight="1" spans="1:23">
      <c r="A9" s="111">
        <v>3</v>
      </c>
      <c r="B9" s="112">
        <v>154</v>
      </c>
      <c r="C9" s="113">
        <v>71.6</v>
      </c>
      <c r="D9" s="114">
        <v>98</v>
      </c>
      <c r="E9" s="115">
        <v>2.68</v>
      </c>
      <c r="F9" s="117">
        <v>28.2</v>
      </c>
      <c r="G9" s="117">
        <v>35.1</v>
      </c>
      <c r="H9" s="118">
        <v>19</v>
      </c>
      <c r="I9" s="115">
        <v>2.25</v>
      </c>
      <c r="J9" s="118">
        <v>14</v>
      </c>
      <c r="K9" s="115">
        <v>0.55</v>
      </c>
      <c r="L9" s="170">
        <v>0.24</v>
      </c>
      <c r="M9" s="170">
        <v>6.83</v>
      </c>
      <c r="N9" s="114" t="s">
        <v>148</v>
      </c>
      <c r="O9" s="171">
        <v>2.2</v>
      </c>
      <c r="P9" s="114">
        <v>6</v>
      </c>
      <c r="Q9" s="170">
        <v>0.16</v>
      </c>
      <c r="R9" s="119">
        <v>0.21</v>
      </c>
      <c r="S9" s="170">
        <v>6.06</v>
      </c>
      <c r="T9" s="121">
        <v>77.9</v>
      </c>
      <c r="U9" s="124" t="s">
        <v>129</v>
      </c>
      <c r="V9" s="192"/>
      <c r="W9" s="193">
        <f t="shared" si="0"/>
        <v>0.827350427350427</v>
      </c>
    </row>
    <row r="10" ht="12.95" customHeight="1" spans="1:23">
      <c r="A10" s="111">
        <v>4</v>
      </c>
      <c r="B10" s="112">
        <v>190</v>
      </c>
      <c r="C10" s="113">
        <v>86.4</v>
      </c>
      <c r="D10" s="114">
        <v>144</v>
      </c>
      <c r="E10" s="115">
        <v>3.39</v>
      </c>
      <c r="F10" s="117">
        <v>30.7</v>
      </c>
      <c r="G10" s="117">
        <v>37.6</v>
      </c>
      <c r="H10" s="118">
        <v>25</v>
      </c>
      <c r="I10" s="115">
        <v>3.1</v>
      </c>
      <c r="J10" s="118">
        <v>13</v>
      </c>
      <c r="K10" s="115">
        <v>0.53</v>
      </c>
      <c r="L10" s="170">
        <v>0.32</v>
      </c>
      <c r="M10" s="170">
        <v>8.09</v>
      </c>
      <c r="N10" s="114">
        <v>17</v>
      </c>
      <c r="O10" s="171">
        <v>2.5</v>
      </c>
      <c r="P10" s="114">
        <v>6</v>
      </c>
      <c r="Q10" s="170">
        <v>0.14</v>
      </c>
      <c r="R10" s="119">
        <v>0.31</v>
      </c>
      <c r="S10" s="170">
        <v>7.76</v>
      </c>
      <c r="T10" s="121">
        <v>77.6</v>
      </c>
      <c r="U10" s="124" t="s">
        <v>129</v>
      </c>
      <c r="V10" s="192"/>
      <c r="W10" s="193">
        <f t="shared" si="0"/>
        <v>0.793617021276596</v>
      </c>
    </row>
    <row r="11" ht="12.95" customHeight="1" spans="1:23">
      <c r="A11" s="111">
        <v>5</v>
      </c>
      <c r="B11" s="112">
        <v>224</v>
      </c>
      <c r="C11" s="113">
        <v>102</v>
      </c>
      <c r="D11" s="114">
        <v>136</v>
      </c>
      <c r="E11" s="115">
        <v>2.69</v>
      </c>
      <c r="F11" s="120">
        <v>27.3</v>
      </c>
      <c r="G11" s="117">
        <v>38.6</v>
      </c>
      <c r="H11" s="118">
        <v>20</v>
      </c>
      <c r="I11" s="115">
        <v>2.46</v>
      </c>
      <c r="J11" s="118">
        <v>12</v>
      </c>
      <c r="K11" s="115">
        <v>0.5</v>
      </c>
      <c r="L11" s="170">
        <v>0.61</v>
      </c>
      <c r="M11" s="116">
        <v>10.7</v>
      </c>
      <c r="N11" s="114">
        <v>18</v>
      </c>
      <c r="O11" s="171">
        <v>2.21</v>
      </c>
      <c r="P11" s="114">
        <v>5</v>
      </c>
      <c r="Q11" s="170">
        <v>0.16</v>
      </c>
      <c r="R11" s="119">
        <v>0.53</v>
      </c>
      <c r="S11" s="116">
        <v>10.5</v>
      </c>
      <c r="T11" s="121">
        <v>77.8</v>
      </c>
      <c r="U11" s="124">
        <v>70</v>
      </c>
      <c r="V11" s="192"/>
      <c r="W11" s="193">
        <f t="shared" si="0"/>
        <v>0.727979274611399</v>
      </c>
    </row>
    <row r="12" ht="12.95" customHeight="1" spans="1:23">
      <c r="A12" s="111">
        <v>6</v>
      </c>
      <c r="B12" s="112">
        <v>144</v>
      </c>
      <c r="C12" s="113">
        <v>65.2</v>
      </c>
      <c r="D12" s="114">
        <v>92</v>
      </c>
      <c r="E12" s="115">
        <v>2.07</v>
      </c>
      <c r="F12" s="116">
        <v>24.1</v>
      </c>
      <c r="G12" s="117">
        <v>34.2</v>
      </c>
      <c r="H12" s="118">
        <v>23</v>
      </c>
      <c r="I12" s="115">
        <v>2.6</v>
      </c>
      <c r="J12" s="118">
        <v>14</v>
      </c>
      <c r="K12" s="115">
        <v>0.55</v>
      </c>
      <c r="L12" s="170">
        <v>0.53</v>
      </c>
      <c r="M12" s="170">
        <v>7.99</v>
      </c>
      <c r="N12" s="114">
        <v>22</v>
      </c>
      <c r="O12" s="171">
        <v>2.47</v>
      </c>
      <c r="P12" s="114">
        <v>5</v>
      </c>
      <c r="Q12" s="170">
        <v>0.15</v>
      </c>
      <c r="R12" s="119">
        <v>0.5</v>
      </c>
      <c r="S12" s="170">
        <v>7.86</v>
      </c>
      <c r="T12" s="121">
        <v>78</v>
      </c>
      <c r="U12" s="124" t="s">
        <v>129</v>
      </c>
      <c r="V12" s="192"/>
      <c r="W12" s="193">
        <f t="shared" si="0"/>
        <v>0.770175438596491</v>
      </c>
    </row>
    <row r="13" ht="12.95" customHeight="1" spans="1:23">
      <c r="A13" s="111">
        <v>7</v>
      </c>
      <c r="B13" s="112">
        <v>216</v>
      </c>
      <c r="C13" s="113">
        <v>99.4</v>
      </c>
      <c r="D13" s="114">
        <v>148</v>
      </c>
      <c r="E13" s="115">
        <v>3.89</v>
      </c>
      <c r="F13" s="116">
        <v>25.5</v>
      </c>
      <c r="G13" s="117">
        <v>32.3</v>
      </c>
      <c r="H13" s="118">
        <v>23</v>
      </c>
      <c r="I13" s="115">
        <v>2.77</v>
      </c>
      <c r="J13" s="118">
        <v>12</v>
      </c>
      <c r="K13" s="115">
        <v>0.52</v>
      </c>
      <c r="L13" s="170">
        <v>0.5</v>
      </c>
      <c r="M13" s="170">
        <v>8.99</v>
      </c>
      <c r="N13" s="114">
        <v>16</v>
      </c>
      <c r="O13" s="171">
        <v>2.1</v>
      </c>
      <c r="P13" s="114">
        <v>5</v>
      </c>
      <c r="Q13" s="170">
        <v>0.15</v>
      </c>
      <c r="R13" s="119">
        <v>0.41</v>
      </c>
      <c r="S13" s="170">
        <v>8.8</v>
      </c>
      <c r="T13" s="121">
        <v>78.3</v>
      </c>
      <c r="U13" s="124" t="s">
        <v>129</v>
      </c>
      <c r="V13" s="192"/>
      <c r="W13" s="193">
        <f t="shared" si="0"/>
        <v>0.727554179566563</v>
      </c>
    </row>
    <row r="14" ht="12.95" customHeight="1" spans="1:23">
      <c r="A14" s="111">
        <v>8</v>
      </c>
      <c r="B14" s="112">
        <v>172</v>
      </c>
      <c r="C14" s="113">
        <v>76.2</v>
      </c>
      <c r="D14" s="114">
        <v>132</v>
      </c>
      <c r="E14" s="115">
        <v>2.33</v>
      </c>
      <c r="F14" s="121">
        <v>20.6</v>
      </c>
      <c r="G14" s="117">
        <v>27.5</v>
      </c>
      <c r="H14" s="118">
        <v>38</v>
      </c>
      <c r="I14" s="115">
        <v>3.33</v>
      </c>
      <c r="J14" s="118">
        <v>17</v>
      </c>
      <c r="K14" s="115">
        <v>0.55</v>
      </c>
      <c r="L14" s="170">
        <v>0.18</v>
      </c>
      <c r="M14" s="170">
        <v>8.94</v>
      </c>
      <c r="N14" s="114">
        <v>20</v>
      </c>
      <c r="O14" s="171">
        <v>2.46</v>
      </c>
      <c r="P14" s="114">
        <v>5</v>
      </c>
      <c r="Q14" s="170">
        <v>0.14</v>
      </c>
      <c r="R14" s="119">
        <v>0.17</v>
      </c>
      <c r="S14" s="170">
        <v>7.22</v>
      </c>
      <c r="T14" s="121">
        <v>78.1</v>
      </c>
      <c r="U14" s="124" t="s">
        <v>129</v>
      </c>
      <c r="V14" s="192"/>
      <c r="W14" s="193">
        <f t="shared" si="0"/>
        <v>0.737454545454545</v>
      </c>
    </row>
    <row r="15" ht="12.95" customHeight="1" spans="1:23">
      <c r="A15" s="111">
        <v>9</v>
      </c>
      <c r="B15" s="112">
        <v>178</v>
      </c>
      <c r="C15" s="113">
        <v>78.4</v>
      </c>
      <c r="D15" s="114">
        <v>82</v>
      </c>
      <c r="E15" s="115">
        <v>2.5</v>
      </c>
      <c r="F15" s="117">
        <v>15.7</v>
      </c>
      <c r="G15" s="117">
        <v>19.7</v>
      </c>
      <c r="H15" s="118">
        <v>27</v>
      </c>
      <c r="I15" s="115">
        <v>2.81</v>
      </c>
      <c r="J15" s="118">
        <v>15</v>
      </c>
      <c r="K15" s="115">
        <v>0.51</v>
      </c>
      <c r="L15" s="170">
        <v>0.25</v>
      </c>
      <c r="M15" s="170">
        <v>8.62</v>
      </c>
      <c r="N15" s="114">
        <v>19</v>
      </c>
      <c r="O15" s="171">
        <v>2.3</v>
      </c>
      <c r="P15" s="114">
        <v>5</v>
      </c>
      <c r="Q15" s="170">
        <v>0.16</v>
      </c>
      <c r="R15" s="119">
        <v>0.14</v>
      </c>
      <c r="S15" s="170">
        <v>7.18</v>
      </c>
      <c r="T15" s="121">
        <v>78.4</v>
      </c>
      <c r="U15" s="124" t="s">
        <v>129</v>
      </c>
      <c r="V15" s="192"/>
      <c r="W15" s="193">
        <f t="shared" si="0"/>
        <v>0.635532994923858</v>
      </c>
    </row>
    <row r="16" ht="12.95" customHeight="1" spans="1:23">
      <c r="A16" s="111">
        <v>10</v>
      </c>
      <c r="B16" s="112">
        <v>110</v>
      </c>
      <c r="C16" s="122">
        <v>50.2</v>
      </c>
      <c r="D16" s="114">
        <v>58</v>
      </c>
      <c r="E16" s="115">
        <v>1.59</v>
      </c>
      <c r="F16" s="117">
        <v>15.5</v>
      </c>
      <c r="G16" s="117">
        <v>20.9</v>
      </c>
      <c r="H16" s="118">
        <v>25</v>
      </c>
      <c r="I16" s="172">
        <v>2.25</v>
      </c>
      <c r="J16" s="118">
        <v>10</v>
      </c>
      <c r="K16" s="115">
        <v>0.56</v>
      </c>
      <c r="L16" s="170">
        <v>0.36</v>
      </c>
      <c r="M16" s="170">
        <v>7.94</v>
      </c>
      <c r="N16" s="114">
        <v>18</v>
      </c>
      <c r="O16" s="171">
        <v>2.2</v>
      </c>
      <c r="P16" s="114">
        <v>5</v>
      </c>
      <c r="Q16" s="170">
        <v>0.18</v>
      </c>
      <c r="R16" s="119">
        <v>0.21</v>
      </c>
      <c r="S16" s="170">
        <v>6.12</v>
      </c>
      <c r="T16" s="121">
        <v>78.7</v>
      </c>
      <c r="U16" s="124">
        <v>100</v>
      </c>
      <c r="V16" s="192"/>
      <c r="W16" s="193">
        <f t="shared" si="0"/>
        <v>0.707177033492823</v>
      </c>
    </row>
    <row r="17" ht="12.95" customHeight="1" spans="1:23">
      <c r="A17" s="111">
        <v>11</v>
      </c>
      <c r="B17" s="112">
        <v>166</v>
      </c>
      <c r="C17" s="113">
        <v>73.4</v>
      </c>
      <c r="D17" s="114">
        <v>86</v>
      </c>
      <c r="E17" s="115">
        <v>2.5</v>
      </c>
      <c r="F17" s="116">
        <v>23.5</v>
      </c>
      <c r="G17" s="117">
        <v>29.1</v>
      </c>
      <c r="H17" s="118">
        <v>27</v>
      </c>
      <c r="I17" s="115">
        <v>2.41</v>
      </c>
      <c r="J17" s="118">
        <v>14</v>
      </c>
      <c r="K17" s="115">
        <v>0.51</v>
      </c>
      <c r="L17" s="170">
        <v>0.42</v>
      </c>
      <c r="M17" s="170">
        <v>6.15</v>
      </c>
      <c r="N17" s="114">
        <v>18</v>
      </c>
      <c r="O17" s="171">
        <v>2.19</v>
      </c>
      <c r="P17" s="114">
        <v>5</v>
      </c>
      <c r="Q17" s="170">
        <v>0.27</v>
      </c>
      <c r="R17" s="119">
        <v>0.32</v>
      </c>
      <c r="S17" s="170">
        <v>5.02</v>
      </c>
      <c r="T17" s="121">
        <v>78.5</v>
      </c>
      <c r="U17" s="124" t="s">
        <v>129</v>
      </c>
      <c r="V17" s="192"/>
      <c r="W17" s="193">
        <f t="shared" si="0"/>
        <v>0.827491408934708</v>
      </c>
    </row>
    <row r="18" ht="12.95" customHeight="1" spans="1:23">
      <c r="A18" s="111">
        <v>12</v>
      </c>
      <c r="B18" s="114">
        <v>166</v>
      </c>
      <c r="C18" s="113">
        <v>75.6</v>
      </c>
      <c r="D18" s="123">
        <v>108</v>
      </c>
      <c r="E18" s="115">
        <v>2.18</v>
      </c>
      <c r="F18" s="117">
        <v>20.1</v>
      </c>
      <c r="G18" s="117">
        <v>25.1</v>
      </c>
      <c r="H18" s="118">
        <v>29</v>
      </c>
      <c r="I18" s="115">
        <v>2.78</v>
      </c>
      <c r="J18" s="61">
        <v>18</v>
      </c>
      <c r="K18" s="115">
        <v>0.52</v>
      </c>
      <c r="L18" s="170">
        <v>0.49</v>
      </c>
      <c r="M18" s="170">
        <v>8.04</v>
      </c>
      <c r="N18" s="114">
        <v>18</v>
      </c>
      <c r="O18" s="171">
        <v>2.31</v>
      </c>
      <c r="P18" s="114">
        <v>5</v>
      </c>
      <c r="Q18" s="170">
        <v>0.19</v>
      </c>
      <c r="R18" s="119">
        <v>0.35</v>
      </c>
      <c r="S18" s="173">
        <v>6.02</v>
      </c>
      <c r="T18" s="121">
        <v>78.2</v>
      </c>
      <c r="U18" s="124" t="s">
        <v>129</v>
      </c>
      <c r="V18" s="192"/>
      <c r="W18" s="193">
        <f t="shared" si="0"/>
        <v>0.760159362549801</v>
      </c>
    </row>
    <row r="19" ht="12.95" customHeight="1" spans="1:23">
      <c r="A19" s="111">
        <v>13</v>
      </c>
      <c r="B19" s="112">
        <v>202</v>
      </c>
      <c r="C19" s="113">
        <v>91.6</v>
      </c>
      <c r="D19" s="123">
        <v>76</v>
      </c>
      <c r="E19" s="115">
        <v>2.85</v>
      </c>
      <c r="F19" s="117">
        <v>20.7</v>
      </c>
      <c r="G19" s="117">
        <v>26.8</v>
      </c>
      <c r="H19" s="118">
        <v>37</v>
      </c>
      <c r="I19" s="115">
        <v>3.4</v>
      </c>
      <c r="J19" s="61">
        <v>15</v>
      </c>
      <c r="K19" s="115">
        <v>0.56</v>
      </c>
      <c r="L19" s="170">
        <v>0.52</v>
      </c>
      <c r="M19" s="170">
        <v>6.83</v>
      </c>
      <c r="N19" s="114">
        <v>21</v>
      </c>
      <c r="O19" s="171">
        <v>2.57</v>
      </c>
      <c r="P19" s="114">
        <v>5</v>
      </c>
      <c r="Q19" s="170">
        <v>0.13</v>
      </c>
      <c r="R19" s="119">
        <v>0.39</v>
      </c>
      <c r="S19" s="170">
        <v>5.96</v>
      </c>
      <c r="T19" s="121">
        <v>77.9</v>
      </c>
      <c r="U19" s="124" t="s">
        <v>129</v>
      </c>
      <c r="V19" s="192"/>
      <c r="W19" s="193">
        <f t="shared" si="0"/>
        <v>0.777611940298507</v>
      </c>
    </row>
    <row r="20" ht="12.95" customHeight="1" spans="1:23">
      <c r="A20" s="111">
        <v>14</v>
      </c>
      <c r="B20" s="112">
        <v>183</v>
      </c>
      <c r="C20" s="113">
        <v>85.3</v>
      </c>
      <c r="D20" s="114">
        <v>104</v>
      </c>
      <c r="E20" s="115">
        <v>1.82</v>
      </c>
      <c r="F20" s="121">
        <v>25.9</v>
      </c>
      <c r="G20" s="117">
        <v>31.9</v>
      </c>
      <c r="H20" s="118">
        <v>32</v>
      </c>
      <c r="I20" s="172">
        <v>3.07</v>
      </c>
      <c r="J20" s="118">
        <v>17</v>
      </c>
      <c r="K20" s="115">
        <v>0.49</v>
      </c>
      <c r="L20" s="170">
        <v>0.45</v>
      </c>
      <c r="M20" s="170">
        <v>8.44</v>
      </c>
      <c r="N20" s="114">
        <v>22</v>
      </c>
      <c r="O20" s="171">
        <v>2.24</v>
      </c>
      <c r="P20" s="114">
        <v>6</v>
      </c>
      <c r="Q20" s="170">
        <v>0.13</v>
      </c>
      <c r="R20" s="119">
        <v>0.34</v>
      </c>
      <c r="S20" s="170">
        <v>7.73</v>
      </c>
      <c r="T20" s="121">
        <v>78.1</v>
      </c>
      <c r="U20" s="124" t="s">
        <v>129</v>
      </c>
      <c r="V20" s="192"/>
      <c r="W20" s="193">
        <f t="shared" si="0"/>
        <v>0.757680250783699</v>
      </c>
    </row>
    <row r="21" ht="12.95" customHeight="1" spans="1:23">
      <c r="A21" s="111">
        <v>15</v>
      </c>
      <c r="B21" s="112">
        <v>254</v>
      </c>
      <c r="C21" s="113">
        <v>116</v>
      </c>
      <c r="D21" s="114">
        <v>152</v>
      </c>
      <c r="E21" s="115">
        <v>2.33</v>
      </c>
      <c r="F21" s="116">
        <v>20.9</v>
      </c>
      <c r="G21" s="117">
        <v>27.7</v>
      </c>
      <c r="H21" s="118">
        <v>41</v>
      </c>
      <c r="I21" s="115">
        <v>3.88</v>
      </c>
      <c r="J21" s="118">
        <v>18</v>
      </c>
      <c r="K21" s="115">
        <v>0.55</v>
      </c>
      <c r="L21" s="170">
        <v>0.62</v>
      </c>
      <c r="M21" s="170">
        <v>6.94</v>
      </c>
      <c r="N21" s="114">
        <v>23</v>
      </c>
      <c r="O21" s="171">
        <v>2.61</v>
      </c>
      <c r="P21" s="114">
        <v>6</v>
      </c>
      <c r="Q21" s="170">
        <v>0.15</v>
      </c>
      <c r="R21" s="119">
        <v>0.35</v>
      </c>
      <c r="S21" s="170">
        <v>5.62</v>
      </c>
      <c r="T21" s="121">
        <v>78.3</v>
      </c>
      <c r="U21" s="124" t="s">
        <v>129</v>
      </c>
      <c r="V21" s="192"/>
      <c r="W21" s="193">
        <f t="shared" si="0"/>
        <v>0.797111913357401</v>
      </c>
    </row>
    <row r="22" ht="12" customHeight="1" spans="1:23">
      <c r="A22" s="111">
        <v>16</v>
      </c>
      <c r="B22" s="112">
        <v>230</v>
      </c>
      <c r="C22" s="113">
        <v>105</v>
      </c>
      <c r="D22" s="114">
        <v>136</v>
      </c>
      <c r="E22" s="115">
        <v>3.47</v>
      </c>
      <c r="F22" s="116">
        <v>20.6</v>
      </c>
      <c r="G22" s="117">
        <v>29.3</v>
      </c>
      <c r="H22" s="118">
        <v>43</v>
      </c>
      <c r="I22" s="115">
        <v>3.95</v>
      </c>
      <c r="J22" s="118">
        <v>16</v>
      </c>
      <c r="K22" s="115">
        <v>0.55</v>
      </c>
      <c r="L22" s="170">
        <v>0.54</v>
      </c>
      <c r="M22" s="116">
        <v>10.8</v>
      </c>
      <c r="N22" s="114">
        <v>23</v>
      </c>
      <c r="O22" s="171">
        <v>2.59</v>
      </c>
      <c r="P22" s="114">
        <v>5</v>
      </c>
      <c r="Q22" s="170">
        <v>0.18</v>
      </c>
      <c r="R22" s="119">
        <v>0.49</v>
      </c>
      <c r="S22" s="170">
        <v>7.16</v>
      </c>
      <c r="T22" s="121">
        <v>78.4</v>
      </c>
      <c r="U22" s="124">
        <v>60</v>
      </c>
      <c r="V22" s="192"/>
      <c r="W22" s="193">
        <f t="shared" si="0"/>
        <v>0.755631399317406</v>
      </c>
    </row>
    <row r="23" ht="12.95" customHeight="1" spans="1:23">
      <c r="A23" s="111">
        <v>17</v>
      </c>
      <c r="B23" s="112">
        <v>348</v>
      </c>
      <c r="C23" s="113">
        <v>155</v>
      </c>
      <c r="D23" s="114">
        <v>148</v>
      </c>
      <c r="E23" s="115">
        <v>3.59</v>
      </c>
      <c r="F23" s="116">
        <v>18</v>
      </c>
      <c r="G23" s="117">
        <v>24.8</v>
      </c>
      <c r="H23" s="118">
        <v>42</v>
      </c>
      <c r="I23" s="115">
        <v>3.58</v>
      </c>
      <c r="J23" s="118">
        <v>18</v>
      </c>
      <c r="K23" s="115">
        <v>0.5</v>
      </c>
      <c r="L23" s="170">
        <v>0.28</v>
      </c>
      <c r="M23" s="170">
        <v>6.94</v>
      </c>
      <c r="N23" s="114">
        <v>21</v>
      </c>
      <c r="O23" s="171">
        <v>2.54</v>
      </c>
      <c r="P23" s="114">
        <v>5</v>
      </c>
      <c r="Q23" s="170">
        <v>0.21</v>
      </c>
      <c r="R23" s="119">
        <v>0.21</v>
      </c>
      <c r="S23" s="170">
        <v>5.96</v>
      </c>
      <c r="T23" s="121">
        <v>78.6</v>
      </c>
      <c r="U23" s="124" t="s">
        <v>129</v>
      </c>
      <c r="V23" s="192"/>
      <c r="W23" s="193">
        <f t="shared" si="0"/>
        <v>0.759677419354839</v>
      </c>
    </row>
    <row r="24" ht="12.95" customHeight="1" spans="1:23">
      <c r="A24" s="111">
        <v>18</v>
      </c>
      <c r="B24" s="124">
        <v>159</v>
      </c>
      <c r="C24" s="113">
        <v>72.3</v>
      </c>
      <c r="D24" s="114">
        <v>80</v>
      </c>
      <c r="E24" s="115">
        <v>2.22</v>
      </c>
      <c r="F24" s="116">
        <v>22.4</v>
      </c>
      <c r="G24" s="117">
        <v>28.6</v>
      </c>
      <c r="H24" s="118">
        <v>28</v>
      </c>
      <c r="I24" s="115">
        <v>2.44</v>
      </c>
      <c r="J24" s="118">
        <v>12</v>
      </c>
      <c r="K24" s="115">
        <v>0.55</v>
      </c>
      <c r="L24" s="170">
        <v>0.32</v>
      </c>
      <c r="M24" s="170">
        <v>6.58</v>
      </c>
      <c r="N24" s="114">
        <v>23</v>
      </c>
      <c r="O24" s="171">
        <v>2.2</v>
      </c>
      <c r="P24" s="114">
        <v>5</v>
      </c>
      <c r="Q24" s="170">
        <v>0.2</v>
      </c>
      <c r="R24" s="119">
        <v>0.26</v>
      </c>
      <c r="S24" s="170">
        <v>6.06</v>
      </c>
      <c r="T24" s="121">
        <v>78.4</v>
      </c>
      <c r="U24" s="124" t="s">
        <v>129</v>
      </c>
      <c r="V24" s="192"/>
      <c r="W24" s="193">
        <f t="shared" si="0"/>
        <v>0.788111888111888</v>
      </c>
    </row>
    <row r="25" ht="12.95" customHeight="1" spans="1:23">
      <c r="A25" s="111">
        <v>19</v>
      </c>
      <c r="B25" s="124">
        <v>182</v>
      </c>
      <c r="C25" s="113">
        <v>82.1</v>
      </c>
      <c r="D25" s="114">
        <v>96</v>
      </c>
      <c r="E25" s="115">
        <v>1.92</v>
      </c>
      <c r="F25" s="117">
        <v>17.9</v>
      </c>
      <c r="G25" s="117">
        <v>23.9</v>
      </c>
      <c r="H25" s="118">
        <v>27</v>
      </c>
      <c r="I25" s="172">
        <v>2.99</v>
      </c>
      <c r="J25" s="118">
        <v>11</v>
      </c>
      <c r="K25" s="115">
        <v>0.53</v>
      </c>
      <c r="L25" s="170">
        <v>0.45</v>
      </c>
      <c r="M25" s="170">
        <v>6.78</v>
      </c>
      <c r="N25" s="114">
        <v>16</v>
      </c>
      <c r="O25" s="171">
        <v>2.34</v>
      </c>
      <c r="P25" s="114">
        <v>5</v>
      </c>
      <c r="Q25" s="170">
        <v>0.18</v>
      </c>
      <c r="R25" s="119">
        <v>0.39</v>
      </c>
      <c r="S25" s="170">
        <v>5.36</v>
      </c>
      <c r="T25" s="121">
        <v>78.5</v>
      </c>
      <c r="U25" s="124" t="s">
        <v>129</v>
      </c>
      <c r="V25" s="192"/>
      <c r="W25" s="193">
        <f t="shared" si="0"/>
        <v>0.775732217573222</v>
      </c>
    </row>
    <row r="26" ht="12.95" customHeight="1" spans="1:23">
      <c r="A26" s="111">
        <v>20</v>
      </c>
      <c r="B26" s="124">
        <v>278</v>
      </c>
      <c r="C26" s="113">
        <v>128</v>
      </c>
      <c r="D26" s="114">
        <v>102</v>
      </c>
      <c r="E26" s="115">
        <v>2.81</v>
      </c>
      <c r="F26" s="117">
        <v>19.1</v>
      </c>
      <c r="G26" s="117">
        <v>26.9</v>
      </c>
      <c r="H26" s="118">
        <v>34</v>
      </c>
      <c r="I26" s="115">
        <v>3.14</v>
      </c>
      <c r="J26" s="118">
        <v>13</v>
      </c>
      <c r="K26" s="115">
        <v>0.5</v>
      </c>
      <c r="L26" s="170">
        <v>0.28</v>
      </c>
      <c r="M26" s="170">
        <v>7.54</v>
      </c>
      <c r="N26" s="114">
        <v>24</v>
      </c>
      <c r="O26" s="171">
        <v>2.62</v>
      </c>
      <c r="P26" s="114">
        <v>5</v>
      </c>
      <c r="Q26" s="170">
        <v>0.2</v>
      </c>
      <c r="R26" s="119">
        <v>0.22</v>
      </c>
      <c r="S26" s="170">
        <v>7.06</v>
      </c>
      <c r="T26" s="121">
        <v>78.6</v>
      </c>
      <c r="U26" s="124" t="s">
        <v>129</v>
      </c>
      <c r="V26" s="192"/>
      <c r="W26" s="193">
        <f t="shared" si="0"/>
        <v>0.737546468401487</v>
      </c>
    </row>
    <row r="27" ht="12.95" customHeight="1" spans="1:23">
      <c r="A27" s="111">
        <v>21</v>
      </c>
      <c r="B27" s="124">
        <v>224</v>
      </c>
      <c r="C27" s="113">
        <v>101</v>
      </c>
      <c r="D27" s="114">
        <v>122</v>
      </c>
      <c r="E27" s="115">
        <v>3.05</v>
      </c>
      <c r="F27" s="121">
        <v>25.5</v>
      </c>
      <c r="G27" s="117">
        <v>30.4</v>
      </c>
      <c r="H27" s="118">
        <v>37</v>
      </c>
      <c r="I27" s="115">
        <v>3.47</v>
      </c>
      <c r="J27" s="118">
        <v>16</v>
      </c>
      <c r="K27" s="115">
        <v>0.56</v>
      </c>
      <c r="L27" s="170">
        <v>0.41</v>
      </c>
      <c r="M27" s="170">
        <v>6.11</v>
      </c>
      <c r="N27" s="114">
        <v>24</v>
      </c>
      <c r="O27" s="171">
        <v>2.5</v>
      </c>
      <c r="P27" s="114">
        <v>6</v>
      </c>
      <c r="Q27" s="170">
        <v>0.2</v>
      </c>
      <c r="R27" s="119">
        <v>0.33</v>
      </c>
      <c r="S27" s="170">
        <v>5.74</v>
      </c>
      <c r="T27" s="121">
        <v>78.5</v>
      </c>
      <c r="U27" s="124" t="s">
        <v>129</v>
      </c>
      <c r="V27" s="192"/>
      <c r="W27" s="193">
        <f t="shared" si="0"/>
        <v>0.811184210526316</v>
      </c>
    </row>
    <row r="28" ht="12.95" customHeight="1" spans="1:23">
      <c r="A28" s="111">
        <v>22</v>
      </c>
      <c r="B28" s="124">
        <v>226</v>
      </c>
      <c r="C28" s="113">
        <v>104</v>
      </c>
      <c r="D28" s="114">
        <v>148</v>
      </c>
      <c r="E28" s="115">
        <v>2.09</v>
      </c>
      <c r="F28" s="125">
        <v>15.2</v>
      </c>
      <c r="G28" s="126">
        <v>21.2</v>
      </c>
      <c r="H28" s="118">
        <v>37</v>
      </c>
      <c r="I28" s="115">
        <v>3.6</v>
      </c>
      <c r="J28" s="118">
        <v>17</v>
      </c>
      <c r="K28" s="115">
        <v>0.54</v>
      </c>
      <c r="L28" s="170">
        <v>0.25</v>
      </c>
      <c r="M28" s="170">
        <v>6.81</v>
      </c>
      <c r="N28" s="114">
        <v>25</v>
      </c>
      <c r="O28" s="171">
        <v>2.54</v>
      </c>
      <c r="P28" s="114">
        <v>6</v>
      </c>
      <c r="Q28" s="170">
        <v>0.26</v>
      </c>
      <c r="R28" s="119">
        <v>0.22</v>
      </c>
      <c r="S28" s="170">
        <v>6.04</v>
      </c>
      <c r="T28" s="121">
        <v>78.2</v>
      </c>
      <c r="U28" s="124" t="s">
        <v>129</v>
      </c>
      <c r="V28" s="192"/>
      <c r="W28" s="193">
        <f t="shared" si="0"/>
        <v>0.715094339622641</v>
      </c>
    </row>
    <row r="29" ht="12.95" customHeight="1" spans="1:23">
      <c r="A29" s="111">
        <v>23</v>
      </c>
      <c r="B29" s="124">
        <v>164</v>
      </c>
      <c r="C29" s="113">
        <v>74.4</v>
      </c>
      <c r="D29" s="114">
        <v>86</v>
      </c>
      <c r="E29" s="115">
        <v>1.95</v>
      </c>
      <c r="F29" s="121">
        <v>22</v>
      </c>
      <c r="G29" s="117">
        <v>28.1</v>
      </c>
      <c r="H29" s="118">
        <v>37</v>
      </c>
      <c r="I29" s="172">
        <v>3.44</v>
      </c>
      <c r="J29" s="118">
        <v>15</v>
      </c>
      <c r="K29" s="115">
        <v>0.54</v>
      </c>
      <c r="L29" s="170">
        <v>0.41</v>
      </c>
      <c r="M29" s="170">
        <v>5.96</v>
      </c>
      <c r="N29" s="114">
        <v>26</v>
      </c>
      <c r="O29" s="171">
        <v>2.25</v>
      </c>
      <c r="P29" s="114">
        <v>6</v>
      </c>
      <c r="Q29" s="170">
        <v>0.21</v>
      </c>
      <c r="R29" s="119">
        <v>0.28</v>
      </c>
      <c r="S29" s="170">
        <v>5.84</v>
      </c>
      <c r="T29" s="121">
        <v>78.1</v>
      </c>
      <c r="U29" s="124" t="s">
        <v>129</v>
      </c>
      <c r="V29" s="192"/>
      <c r="W29" s="193">
        <f t="shared" si="0"/>
        <v>0.792170818505338</v>
      </c>
    </row>
    <row r="30" ht="12.95" customHeight="1" spans="1:23">
      <c r="A30" s="111">
        <v>24</v>
      </c>
      <c r="B30" s="124">
        <v>228</v>
      </c>
      <c r="C30" s="113">
        <v>103</v>
      </c>
      <c r="D30" s="114">
        <v>130</v>
      </c>
      <c r="E30" s="115">
        <v>3.48</v>
      </c>
      <c r="F30" s="126">
        <v>31.3</v>
      </c>
      <c r="G30" s="125">
        <v>38.5</v>
      </c>
      <c r="H30" s="118">
        <v>38</v>
      </c>
      <c r="I30" s="115">
        <v>3.58</v>
      </c>
      <c r="J30" s="118">
        <v>16</v>
      </c>
      <c r="K30" s="115">
        <v>0.56</v>
      </c>
      <c r="L30" s="170">
        <v>0.62</v>
      </c>
      <c r="M30" s="170">
        <v>7.81</v>
      </c>
      <c r="N30" s="114">
        <v>25</v>
      </c>
      <c r="O30" s="171">
        <v>2.71</v>
      </c>
      <c r="P30" s="114">
        <v>5</v>
      </c>
      <c r="Q30" s="170">
        <v>0.14</v>
      </c>
      <c r="R30" s="170">
        <v>0.5</v>
      </c>
      <c r="S30" s="170">
        <v>6.94</v>
      </c>
      <c r="T30" s="121">
        <v>78.3</v>
      </c>
      <c r="U30" s="124">
        <v>80</v>
      </c>
      <c r="V30" s="192"/>
      <c r="W30" s="193">
        <f t="shared" si="0"/>
        <v>0.81974025974026</v>
      </c>
    </row>
    <row r="31" ht="12.95" customHeight="1" spans="1:23">
      <c r="A31" s="111">
        <v>25</v>
      </c>
      <c r="B31" s="124">
        <v>236</v>
      </c>
      <c r="C31" s="113">
        <v>109</v>
      </c>
      <c r="D31" s="114">
        <v>110</v>
      </c>
      <c r="E31" s="115">
        <v>2.93</v>
      </c>
      <c r="F31" s="117">
        <v>33</v>
      </c>
      <c r="G31" s="125">
        <v>37.4</v>
      </c>
      <c r="H31" s="118">
        <v>35</v>
      </c>
      <c r="I31" s="115">
        <v>3.41</v>
      </c>
      <c r="J31" s="118">
        <v>15</v>
      </c>
      <c r="K31" s="115">
        <v>0.51</v>
      </c>
      <c r="L31" s="170">
        <v>0.42</v>
      </c>
      <c r="M31" s="173">
        <v>7.66</v>
      </c>
      <c r="N31" s="114">
        <v>25</v>
      </c>
      <c r="O31" s="171">
        <v>2.2</v>
      </c>
      <c r="P31" s="114">
        <v>5</v>
      </c>
      <c r="Q31" s="170">
        <v>0.15</v>
      </c>
      <c r="R31" s="170">
        <v>0.36</v>
      </c>
      <c r="S31" s="173">
        <v>6.71</v>
      </c>
      <c r="T31" s="121">
        <v>78.2</v>
      </c>
      <c r="U31" s="124" t="s">
        <v>129</v>
      </c>
      <c r="V31" s="192"/>
      <c r="W31" s="193">
        <f t="shared" si="0"/>
        <v>0.820588235294118</v>
      </c>
    </row>
    <row r="32" ht="12.95" customHeight="1" spans="1:23">
      <c r="A32" s="111">
        <v>26</v>
      </c>
      <c r="B32" s="124">
        <v>220</v>
      </c>
      <c r="C32" s="113">
        <v>102</v>
      </c>
      <c r="D32" s="114">
        <v>82</v>
      </c>
      <c r="E32" s="115">
        <v>2.19</v>
      </c>
      <c r="F32" s="116">
        <v>18.1</v>
      </c>
      <c r="G32" s="117">
        <v>29.2</v>
      </c>
      <c r="H32" s="118">
        <v>30</v>
      </c>
      <c r="I32" s="115">
        <v>3.07</v>
      </c>
      <c r="J32" s="118">
        <v>13</v>
      </c>
      <c r="K32" s="115">
        <v>0.51</v>
      </c>
      <c r="L32" s="170">
        <v>0.31</v>
      </c>
      <c r="M32" s="170">
        <v>9</v>
      </c>
      <c r="N32" s="114">
        <v>27</v>
      </c>
      <c r="O32" s="171">
        <v>2.61</v>
      </c>
      <c r="P32" s="114">
        <v>5</v>
      </c>
      <c r="Q32" s="170">
        <v>0.17</v>
      </c>
      <c r="R32" s="170">
        <v>0.29</v>
      </c>
      <c r="S32" s="170">
        <v>8.68</v>
      </c>
      <c r="T32" s="121">
        <v>78.3</v>
      </c>
      <c r="U32" s="124" t="s">
        <v>129</v>
      </c>
      <c r="V32" s="192"/>
      <c r="W32" s="193">
        <f t="shared" si="0"/>
        <v>0.702739726027397</v>
      </c>
    </row>
    <row r="33" ht="12.95" customHeight="1" spans="1:23">
      <c r="A33" s="111">
        <v>27</v>
      </c>
      <c r="B33" s="124">
        <v>254</v>
      </c>
      <c r="C33" s="113">
        <v>116</v>
      </c>
      <c r="D33" s="114">
        <v>88</v>
      </c>
      <c r="E33" s="115">
        <v>1.88</v>
      </c>
      <c r="F33" s="121">
        <v>22.9</v>
      </c>
      <c r="G33" s="117">
        <v>29.1</v>
      </c>
      <c r="H33" s="118">
        <v>31</v>
      </c>
      <c r="I33" s="115">
        <v>3.11</v>
      </c>
      <c r="J33" s="118">
        <v>14</v>
      </c>
      <c r="K33" s="115">
        <v>0.52</v>
      </c>
      <c r="L33" s="170">
        <v>0.44</v>
      </c>
      <c r="M33" s="170">
        <v>8.06</v>
      </c>
      <c r="N33" s="114">
        <v>26</v>
      </c>
      <c r="O33" s="171">
        <v>2.45</v>
      </c>
      <c r="P33" s="114">
        <v>5</v>
      </c>
      <c r="Q33" s="170">
        <v>0.15</v>
      </c>
      <c r="R33" s="170">
        <v>0.43</v>
      </c>
      <c r="S33" s="170">
        <v>7.94</v>
      </c>
      <c r="T33" s="121">
        <v>78.1</v>
      </c>
      <c r="U33" s="124" t="s">
        <v>129</v>
      </c>
      <c r="V33" s="192"/>
      <c r="W33" s="193">
        <f t="shared" si="0"/>
        <v>0.727147766323024</v>
      </c>
    </row>
    <row r="34" ht="12.95" customHeight="1" spans="1:23">
      <c r="A34" s="111">
        <v>28</v>
      </c>
      <c r="B34" s="124">
        <v>204</v>
      </c>
      <c r="C34" s="113">
        <v>93.1</v>
      </c>
      <c r="D34" s="114">
        <v>132</v>
      </c>
      <c r="E34" s="115">
        <v>2.74</v>
      </c>
      <c r="F34" s="116">
        <v>27</v>
      </c>
      <c r="G34" s="117">
        <v>32.3</v>
      </c>
      <c r="H34" s="118">
        <v>42</v>
      </c>
      <c r="I34" s="115">
        <v>4.01</v>
      </c>
      <c r="J34" s="118">
        <v>18</v>
      </c>
      <c r="K34" s="115">
        <v>0.51</v>
      </c>
      <c r="L34" s="170">
        <v>0.39</v>
      </c>
      <c r="M34" s="116">
        <v>10.7</v>
      </c>
      <c r="N34" s="114">
        <v>22</v>
      </c>
      <c r="O34" s="171">
        <v>2.58</v>
      </c>
      <c r="P34" s="114">
        <v>6</v>
      </c>
      <c r="Q34" s="170">
        <v>0.13</v>
      </c>
      <c r="R34" s="170">
        <v>0.29</v>
      </c>
      <c r="S34" s="170">
        <v>8.78</v>
      </c>
      <c r="T34" s="121">
        <v>78.3</v>
      </c>
      <c r="U34" s="124" t="s">
        <v>129</v>
      </c>
      <c r="V34" s="192"/>
      <c r="W34" s="193">
        <f t="shared" si="0"/>
        <v>0.728173374613003</v>
      </c>
    </row>
    <row r="35" ht="12.95" customHeight="1" spans="1:23">
      <c r="A35" s="111">
        <v>29</v>
      </c>
      <c r="B35" s="124">
        <v>258</v>
      </c>
      <c r="C35" s="113">
        <v>118</v>
      </c>
      <c r="D35" s="114">
        <v>152</v>
      </c>
      <c r="E35" s="115">
        <v>3.28</v>
      </c>
      <c r="F35" s="116">
        <v>29</v>
      </c>
      <c r="G35" s="117">
        <v>36.2</v>
      </c>
      <c r="H35" s="118">
        <v>38</v>
      </c>
      <c r="I35" s="115">
        <v>3.37</v>
      </c>
      <c r="J35" s="118">
        <v>16</v>
      </c>
      <c r="K35" s="115">
        <v>0.55</v>
      </c>
      <c r="L35" s="170">
        <v>0.25</v>
      </c>
      <c r="M35" s="170">
        <v>8.06</v>
      </c>
      <c r="N35" s="114">
        <v>26</v>
      </c>
      <c r="O35" s="171">
        <v>2.58</v>
      </c>
      <c r="P35" s="114">
        <v>5</v>
      </c>
      <c r="Q35" s="170">
        <v>0.15</v>
      </c>
      <c r="R35" s="170">
        <v>0.24</v>
      </c>
      <c r="S35" s="170">
        <v>7.88</v>
      </c>
      <c r="T35" s="121">
        <v>78.5</v>
      </c>
      <c r="U35" s="124" t="s">
        <v>129</v>
      </c>
      <c r="V35" s="192"/>
      <c r="W35" s="193">
        <f t="shared" si="0"/>
        <v>0.78232044198895</v>
      </c>
    </row>
    <row r="36" ht="12.95" customHeight="1" spans="1:23">
      <c r="A36" s="111">
        <v>30</v>
      </c>
      <c r="B36" s="124">
        <v>178</v>
      </c>
      <c r="C36" s="113">
        <v>82.2</v>
      </c>
      <c r="D36" s="114">
        <v>104</v>
      </c>
      <c r="E36" s="115">
        <v>2.1</v>
      </c>
      <c r="F36" s="116">
        <v>25.4</v>
      </c>
      <c r="G36" s="117">
        <v>31.3</v>
      </c>
      <c r="H36" s="118">
        <v>37</v>
      </c>
      <c r="I36" s="115">
        <v>3.33</v>
      </c>
      <c r="J36" s="118">
        <v>16</v>
      </c>
      <c r="K36" s="115">
        <v>0.51</v>
      </c>
      <c r="L36" s="170">
        <v>0.42</v>
      </c>
      <c r="M36" s="170">
        <v>8.01</v>
      </c>
      <c r="N36" s="114">
        <v>23</v>
      </c>
      <c r="O36" s="171">
        <v>2.76</v>
      </c>
      <c r="P36" s="114">
        <v>5</v>
      </c>
      <c r="Q36" s="170">
        <v>0.14</v>
      </c>
      <c r="R36" s="170">
        <v>0.37</v>
      </c>
      <c r="S36" s="170">
        <v>6.88</v>
      </c>
      <c r="T36" s="121">
        <v>78.4</v>
      </c>
      <c r="U36" s="124" t="s">
        <v>129</v>
      </c>
      <c r="V36" s="192"/>
      <c r="W36" s="193">
        <f t="shared" si="0"/>
        <v>0.780191693290735</v>
      </c>
    </row>
    <row r="37" ht="12.95" customHeight="1" spans="1:23">
      <c r="A37" s="111">
        <v>31</v>
      </c>
      <c r="B37" s="124">
        <v>394</v>
      </c>
      <c r="C37" s="113">
        <v>180</v>
      </c>
      <c r="D37" s="114">
        <v>134</v>
      </c>
      <c r="E37" s="115">
        <v>2.61</v>
      </c>
      <c r="F37" s="116">
        <v>31.7</v>
      </c>
      <c r="G37" s="117">
        <v>37.2</v>
      </c>
      <c r="H37" s="118">
        <v>30</v>
      </c>
      <c r="I37" s="115">
        <v>2.96</v>
      </c>
      <c r="J37" s="118">
        <v>12</v>
      </c>
      <c r="K37" s="115">
        <v>0.5</v>
      </c>
      <c r="L37" s="170">
        <v>0.44</v>
      </c>
      <c r="M37" s="119">
        <v>7.76</v>
      </c>
      <c r="N37" s="114">
        <v>23</v>
      </c>
      <c r="O37" s="171">
        <v>2.47</v>
      </c>
      <c r="P37" s="114">
        <v>5</v>
      </c>
      <c r="Q37" s="170">
        <v>0.13</v>
      </c>
      <c r="R37" s="170">
        <v>0.29</v>
      </c>
      <c r="S37" s="170">
        <v>7.54</v>
      </c>
      <c r="T37" s="121">
        <v>78.2</v>
      </c>
      <c r="U37" s="124" t="s">
        <v>129</v>
      </c>
      <c r="V37" s="192"/>
      <c r="W37" s="193">
        <f t="shared" si="0"/>
        <v>0.797311827956989</v>
      </c>
    </row>
    <row r="38" ht="12.95" customHeight="1" spans="1:21">
      <c r="A38" s="111" t="s">
        <v>69</v>
      </c>
      <c r="B38" s="114">
        <f>ROUND(AVERAGE(B7:B37),0)</f>
        <v>212</v>
      </c>
      <c r="C38" s="114">
        <f>ROUND(AVERAGE(C7:C37),0)</f>
        <v>97</v>
      </c>
      <c r="D38" s="114">
        <f>ROUND(AVERAGE(D7:D37),0)</f>
        <v>114</v>
      </c>
      <c r="E38" s="115">
        <f>ROUND(AVERAGE(E7:E37),2)</f>
        <v>2.63</v>
      </c>
      <c r="F38" s="121">
        <f>ROUND(AVERAGE(F7:F37),1)</f>
        <v>23.7</v>
      </c>
      <c r="G38" s="121">
        <f>ROUND(AVERAGE(G7:G37),1)</f>
        <v>30.3</v>
      </c>
      <c r="H38" s="127">
        <f>ROUND(AVERAGE(H7:H37),1)</f>
        <v>31.8</v>
      </c>
      <c r="I38" s="174">
        <f>ROUND(AVERAGE(I7:I37),2)</f>
        <v>3.11</v>
      </c>
      <c r="J38" s="175">
        <f>ROUND(AVERAGE(J7:J37),2)</f>
        <v>14.81</v>
      </c>
      <c r="K38" s="174">
        <f>ROUND(AVERAGE(K7:K37),2)</f>
        <v>0.53</v>
      </c>
      <c r="L38" s="174">
        <f>ROUND(AVERAGE(L7:L37),2)</f>
        <v>0.4</v>
      </c>
      <c r="M38" s="119">
        <f>ROUND(AVERAGE(M7:M37),1)</f>
        <v>8</v>
      </c>
      <c r="N38" s="114">
        <f>ROUND(AVERAGE(N7:N37),1)</f>
        <v>21.8</v>
      </c>
      <c r="O38" s="115">
        <f t="shared" ref="O38:T38" si="1">ROUND(AVERAGE(O7:O37),2)</f>
        <v>2.42</v>
      </c>
      <c r="P38" s="115">
        <f t="shared" si="1"/>
        <v>5.29</v>
      </c>
      <c r="Q38" s="170">
        <f t="shared" si="1"/>
        <v>0.17</v>
      </c>
      <c r="R38" s="115">
        <f t="shared" si="1"/>
        <v>0.33</v>
      </c>
      <c r="S38" s="119">
        <f t="shared" si="1"/>
        <v>7.07</v>
      </c>
      <c r="T38" s="117">
        <f t="shared" si="1"/>
        <v>78.25</v>
      </c>
      <c r="U38" s="124" t="s">
        <v>129</v>
      </c>
    </row>
    <row r="39" ht="21" customHeight="1" spans="1:21">
      <c r="A39" s="128" t="s">
        <v>71</v>
      </c>
      <c r="B39" s="129"/>
      <c r="C39" s="129"/>
      <c r="D39" s="130"/>
      <c r="E39" s="131"/>
      <c r="F39" s="132"/>
      <c r="H39"/>
      <c r="I39"/>
      <c r="J39" s="128" t="s">
        <v>72</v>
      </c>
      <c r="K39" s="176"/>
      <c r="L39" s="176"/>
      <c r="M39" s="176"/>
      <c r="N39" s="128"/>
      <c r="O39" s="132"/>
      <c r="P39" s="132"/>
      <c r="Q39" s="194" t="s">
        <v>149</v>
      </c>
      <c r="R39" s="194"/>
      <c r="S39" s="194"/>
      <c r="T39" s="194"/>
      <c r="U39" s="195"/>
    </row>
    <row r="40" ht="21" customHeight="1" spans="1:21">
      <c r="A40" s="133"/>
      <c r="B40" s="134"/>
      <c r="C40" s="135"/>
      <c r="D40" s="136"/>
      <c r="E40" s="137"/>
      <c r="F40" s="138"/>
      <c r="H40"/>
      <c r="I40"/>
      <c r="J40" s="132"/>
      <c r="K40" s="132"/>
      <c r="L40" s="132"/>
      <c r="M40" s="132"/>
      <c r="N40" s="133"/>
      <c r="O40" s="132"/>
      <c r="P40" s="132"/>
      <c r="Q40" s="196"/>
      <c r="R40" s="196"/>
      <c r="S40" s="196"/>
      <c r="T40" s="196"/>
      <c r="U40" s="195"/>
    </row>
    <row r="41" ht="15.75" spans="2:19">
      <c r="B41" s="139" t="s">
        <v>110</v>
      </c>
      <c r="C41" s="139" t="s">
        <v>150</v>
      </c>
      <c r="D41" s="140" t="s">
        <v>151</v>
      </c>
      <c r="E41" s="139" t="s">
        <v>152</v>
      </c>
      <c r="F41" s="139" t="s">
        <v>153</v>
      </c>
      <c r="G41" s="140" t="s">
        <v>151</v>
      </c>
      <c r="H41" s="139" t="s">
        <v>152</v>
      </c>
      <c r="I41" s="140" t="s">
        <v>154</v>
      </c>
      <c r="J41" s="132"/>
      <c r="K41" s="132"/>
      <c r="L41" s="132"/>
      <c r="S41" s="197"/>
    </row>
    <row r="42" ht="30" spans="2:20">
      <c r="B42" s="139"/>
      <c r="C42" s="139"/>
      <c r="D42" s="141" t="s">
        <v>155</v>
      </c>
      <c r="E42" s="139"/>
      <c r="F42" s="139"/>
      <c r="G42" s="141" t="s">
        <v>155</v>
      </c>
      <c r="H42" s="139"/>
      <c r="I42" s="141" t="s">
        <v>156</v>
      </c>
      <c r="J42" s="132"/>
      <c r="K42" s="132"/>
      <c r="L42" s="132"/>
      <c r="M42" s="177"/>
      <c r="N42" s="177"/>
      <c r="O42" s="177"/>
      <c r="P42" s="177"/>
      <c r="Q42" s="177"/>
      <c r="R42" s="177"/>
      <c r="S42" s="198"/>
      <c r="T42" s="198"/>
    </row>
    <row r="43" ht="18" spans="2:18">
      <c r="B43" s="142" t="s">
        <v>157</v>
      </c>
      <c r="C43" s="143">
        <f>B38</f>
        <v>212</v>
      </c>
      <c r="D43" s="144">
        <f>MAX(B7:B37)</f>
        <v>394</v>
      </c>
      <c r="E43" s="144">
        <f>MIN(B7:B37)</f>
        <v>110</v>
      </c>
      <c r="F43" s="145">
        <f>N38</f>
        <v>21.8</v>
      </c>
      <c r="G43" s="146">
        <f>MAX(N7:N37)</f>
        <v>27</v>
      </c>
      <c r="H43" s="144">
        <f>MIN(N7:N37)</f>
        <v>16</v>
      </c>
      <c r="I43" s="178">
        <f t="shared" ref="I43:I48" si="2">1-F43/C43</f>
        <v>0.897169811320755</v>
      </c>
      <c r="J43" s="162"/>
      <c r="K43" s="142" t="s">
        <v>158</v>
      </c>
      <c r="L43" s="179">
        <f>C44/C43</f>
        <v>0.457547169811321</v>
      </c>
      <c r="M43" s="180"/>
      <c r="N43" s="181"/>
      <c r="O43" s="181"/>
      <c r="P43" s="181"/>
      <c r="Q43" s="180"/>
      <c r="R43" s="185"/>
    </row>
    <row r="44" ht="17.25" spans="2:18">
      <c r="B44" s="147" t="s">
        <v>159</v>
      </c>
      <c r="C44" s="148">
        <f>C38</f>
        <v>97</v>
      </c>
      <c r="D44" s="149">
        <f>MAX(C7:C37)</f>
        <v>180</v>
      </c>
      <c r="E44" s="150">
        <f>MIN(C7:C37)</f>
        <v>50.2</v>
      </c>
      <c r="F44" s="151">
        <f>O38</f>
        <v>2.42</v>
      </c>
      <c r="G44" s="150">
        <f>MAX(O7:O37)</f>
        <v>2.76</v>
      </c>
      <c r="H44" s="150">
        <f>MIN(O7:O37)</f>
        <v>2.1</v>
      </c>
      <c r="I44" s="182">
        <f>1-2/C44</f>
        <v>0.979381443298969</v>
      </c>
      <c r="J44" s="162"/>
      <c r="K44" s="147" t="s">
        <v>160</v>
      </c>
      <c r="L44" s="183">
        <f>C44/C48</f>
        <v>3.2013201320132</v>
      </c>
      <c r="M44" s="180"/>
      <c r="N44" s="181"/>
      <c r="O44" s="181"/>
      <c r="P44" s="181"/>
      <c r="Q44" s="180"/>
      <c r="R44" s="185"/>
    </row>
    <row r="45" ht="17.25" spans="2:18">
      <c r="B45" s="147" t="s">
        <v>119</v>
      </c>
      <c r="C45" s="152">
        <f>D38</f>
        <v>114</v>
      </c>
      <c r="D45" s="150">
        <f>MAX(D7:D37)</f>
        <v>162</v>
      </c>
      <c r="E45" s="153">
        <f>MIN(D7:D37)</f>
        <v>58</v>
      </c>
      <c r="F45" s="154">
        <f>P38</f>
        <v>5.29</v>
      </c>
      <c r="G45" s="155">
        <f>MAX(P7:P37)</f>
        <v>6</v>
      </c>
      <c r="H45" s="155">
        <f>MIN(P7:P37)</f>
        <v>5</v>
      </c>
      <c r="I45" s="182">
        <f t="shared" si="2"/>
        <v>0.95359649122807</v>
      </c>
      <c r="J45" s="162"/>
      <c r="K45" s="147" t="s">
        <v>161</v>
      </c>
      <c r="L45" s="184">
        <f>C44/C46</f>
        <v>36.8821292775665</v>
      </c>
      <c r="M45" s="185"/>
      <c r="N45" s="185"/>
      <c r="O45" s="185"/>
      <c r="P45" s="185"/>
      <c r="Q45" s="185"/>
      <c r="R45" s="185"/>
    </row>
    <row r="46" ht="17.25" spans="2:12">
      <c r="B46" s="147" t="s">
        <v>121</v>
      </c>
      <c r="C46" s="154">
        <f>E38</f>
        <v>2.63</v>
      </c>
      <c r="D46" s="150">
        <f>MAX(E7:E37)</f>
        <v>3.89</v>
      </c>
      <c r="E46" s="150">
        <f>MIN(E7:E37)</f>
        <v>1.59</v>
      </c>
      <c r="F46" s="154">
        <f>Q38</f>
        <v>0.17</v>
      </c>
      <c r="G46" s="155">
        <f>MAX(Q7:Q37)</f>
        <v>0.27</v>
      </c>
      <c r="H46" s="155">
        <f>MIN(Q7:Q37)</f>
        <v>0.13</v>
      </c>
      <c r="I46" s="182">
        <f t="shared" si="2"/>
        <v>0.935361216730038</v>
      </c>
      <c r="J46" s="162"/>
      <c r="K46" s="147"/>
      <c r="L46" s="186"/>
    </row>
    <row r="47" ht="17.25" spans="2:12">
      <c r="B47" s="147" t="s">
        <v>162</v>
      </c>
      <c r="C47" s="148">
        <f>F38</f>
        <v>23.7</v>
      </c>
      <c r="D47" s="150">
        <f>MAX(F7:F37)</f>
        <v>33</v>
      </c>
      <c r="E47" s="150">
        <f>MIN(F7:F37)</f>
        <v>15.2</v>
      </c>
      <c r="F47" s="154">
        <f>R38</f>
        <v>0.33</v>
      </c>
      <c r="G47" s="150">
        <f>MAX(R7:R37)</f>
        <v>0.53</v>
      </c>
      <c r="H47" s="155">
        <f>MIN(R7:R37)</f>
        <v>0.14</v>
      </c>
      <c r="I47" s="182">
        <f t="shared" si="2"/>
        <v>0.986075949367089</v>
      </c>
      <c r="J47" s="162"/>
      <c r="K47" s="147"/>
      <c r="L47" s="186"/>
    </row>
    <row r="48" ht="17.25" spans="2:12">
      <c r="B48" s="156" t="s">
        <v>124</v>
      </c>
      <c r="C48" s="157">
        <f>G38</f>
        <v>30.3</v>
      </c>
      <c r="D48" s="158">
        <f>MAX(G7:G37)</f>
        <v>38.6</v>
      </c>
      <c r="E48" s="158">
        <f>MIN(G7:G37)</f>
        <v>19.7</v>
      </c>
      <c r="F48" s="159">
        <f>S38</f>
        <v>7.07</v>
      </c>
      <c r="G48" s="160">
        <f>MAX(S7:S37)</f>
        <v>10.5</v>
      </c>
      <c r="H48" s="158">
        <f>MIN(S7:S37)</f>
        <v>5.02</v>
      </c>
      <c r="I48" s="187">
        <f t="shared" si="2"/>
        <v>0.766666666666667</v>
      </c>
      <c r="J48" s="162"/>
      <c r="K48" s="156"/>
      <c r="L48" s="188"/>
    </row>
    <row r="49" ht="17.25" spans="2:12">
      <c r="B49" s="161"/>
      <c r="C49" s="162"/>
      <c r="D49" s="162"/>
      <c r="E49" s="162"/>
      <c r="F49" s="162"/>
      <c r="G49" s="162"/>
      <c r="H49" s="163"/>
      <c r="I49" s="162"/>
      <c r="J49" s="162"/>
      <c r="K49" s="163"/>
      <c r="L49" s="162"/>
    </row>
    <row r="50" spans="2:2">
      <c r="B50" s="164"/>
    </row>
    <row r="51" spans="2:2">
      <c r="B51" s="164"/>
    </row>
    <row r="52" spans="2:2">
      <c r="B52" s="164"/>
    </row>
    <row r="53" spans="2:2">
      <c r="B53" s="164"/>
    </row>
    <row r="54" spans="2:2">
      <c r="B54" s="164"/>
    </row>
    <row r="55" spans="2:2">
      <c r="B55" s="164"/>
    </row>
    <row r="56" spans="2:2">
      <c r="B56" s="164"/>
    </row>
    <row r="57" spans="2:2">
      <c r="B57" s="164"/>
    </row>
    <row r="58" spans="2:2">
      <c r="B58" s="164"/>
    </row>
    <row r="59" spans="2:2">
      <c r="B59" s="164"/>
    </row>
    <row r="60" spans="2:2">
      <c r="B60" s="164"/>
    </row>
    <row r="61" spans="2:2">
      <c r="B61" s="164"/>
    </row>
    <row r="62" spans="2:2">
      <c r="B62" s="164"/>
    </row>
    <row r="63" spans="2:2">
      <c r="B63" s="164"/>
    </row>
    <row r="64" spans="2:2">
      <c r="B64" s="164"/>
    </row>
    <row r="65" spans="2:2">
      <c r="B65" s="164"/>
    </row>
    <row r="66" spans="2:2">
      <c r="B66" s="164"/>
    </row>
    <row r="67" spans="2:2">
      <c r="B67" s="164"/>
    </row>
    <row r="68" spans="2:2">
      <c r="B68" s="164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abSelected="1" workbookViewId="0">
      <selection activeCell="J19" sqref="J19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163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44835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164</v>
      </c>
      <c r="B3" s="6" t="s">
        <v>165</v>
      </c>
      <c r="C3" s="6" t="s">
        <v>166</v>
      </c>
      <c r="D3" s="6" t="s">
        <v>167</v>
      </c>
      <c r="E3" s="60" t="s">
        <v>168</v>
      </c>
      <c r="F3" s="60" t="s">
        <v>169</v>
      </c>
      <c r="G3" s="61" t="s">
        <v>170</v>
      </c>
      <c r="H3" s="62" t="s">
        <v>171</v>
      </c>
      <c r="I3" s="60" t="s">
        <v>172</v>
      </c>
      <c r="J3" s="6" t="s">
        <v>173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174</v>
      </c>
      <c r="E5" s="60" t="s">
        <v>175</v>
      </c>
      <c r="F5" s="60" t="s">
        <v>176</v>
      </c>
      <c r="G5" s="61" t="s">
        <v>176</v>
      </c>
      <c r="H5" s="62" t="s">
        <v>177</v>
      </c>
      <c r="I5" s="60" t="s">
        <v>177</v>
      </c>
      <c r="J5" s="6"/>
    </row>
    <row r="6" customHeight="1" spans="1:10">
      <c r="A6" s="64" t="s">
        <v>178</v>
      </c>
      <c r="B6" s="65" t="s">
        <v>179</v>
      </c>
      <c r="C6" s="65" t="s">
        <v>180</v>
      </c>
      <c r="D6" s="65">
        <v>31</v>
      </c>
      <c r="E6" s="65">
        <v>2</v>
      </c>
      <c r="F6" s="65">
        <v>62</v>
      </c>
      <c r="G6" s="65">
        <v>31</v>
      </c>
      <c r="H6" s="66">
        <v>0.5</v>
      </c>
      <c r="I6" s="66">
        <v>1</v>
      </c>
      <c r="J6" s="65"/>
    </row>
    <row r="7" customHeight="1" spans="1:10">
      <c r="A7" s="64"/>
      <c r="B7" s="65"/>
      <c r="C7" s="65" t="s">
        <v>181</v>
      </c>
      <c r="D7" s="65">
        <v>31</v>
      </c>
      <c r="E7" s="65">
        <v>2</v>
      </c>
      <c r="F7" s="65">
        <v>62</v>
      </c>
      <c r="G7" s="65">
        <v>31</v>
      </c>
      <c r="H7" s="66">
        <v>0.5</v>
      </c>
      <c r="I7" s="66">
        <v>1</v>
      </c>
      <c r="J7" s="65"/>
    </row>
    <row r="8" customHeight="1" spans="1:10">
      <c r="A8" s="64"/>
      <c r="B8" s="65" t="s">
        <v>182</v>
      </c>
      <c r="C8" s="65" t="s">
        <v>70</v>
      </c>
      <c r="D8" s="65">
        <v>31</v>
      </c>
      <c r="E8" s="65">
        <v>2</v>
      </c>
      <c r="F8" s="65">
        <v>62</v>
      </c>
      <c r="G8" s="65">
        <v>31</v>
      </c>
      <c r="H8" s="66">
        <v>0.5</v>
      </c>
      <c r="I8" s="66">
        <v>1</v>
      </c>
      <c r="J8" s="65"/>
    </row>
    <row r="9" customHeight="1" spans="1:10">
      <c r="A9" s="64"/>
      <c r="B9" s="65" t="s">
        <v>183</v>
      </c>
      <c r="C9" s="65" t="s">
        <v>70</v>
      </c>
      <c r="D9" s="65">
        <v>31</v>
      </c>
      <c r="E9" s="65">
        <v>2</v>
      </c>
      <c r="F9" s="65">
        <v>62</v>
      </c>
      <c r="G9" s="65">
        <v>31</v>
      </c>
      <c r="H9" s="66">
        <v>0.5</v>
      </c>
      <c r="I9" s="66">
        <v>1</v>
      </c>
      <c r="J9" s="65"/>
    </row>
    <row r="10" customHeight="1" spans="1:10">
      <c r="A10" s="64"/>
      <c r="B10" s="65" t="s">
        <v>184</v>
      </c>
      <c r="C10" s="65" t="s">
        <v>180</v>
      </c>
      <c r="D10" s="65">
        <v>31</v>
      </c>
      <c r="E10" s="65">
        <v>24</v>
      </c>
      <c r="F10" s="65">
        <v>744</v>
      </c>
      <c r="G10" s="65">
        <v>55</v>
      </c>
      <c r="H10" s="66">
        <v>0.0739247311827957</v>
      </c>
      <c r="I10" s="66">
        <v>1</v>
      </c>
      <c r="J10" s="65" t="s">
        <v>185</v>
      </c>
    </row>
    <row r="11" customHeight="1" spans="1:10">
      <c r="A11" s="64"/>
      <c r="B11" s="65"/>
      <c r="C11" s="65" t="s">
        <v>181</v>
      </c>
      <c r="D11" s="65">
        <v>31</v>
      </c>
      <c r="E11" s="65">
        <v>24</v>
      </c>
      <c r="F11" s="65">
        <v>744</v>
      </c>
      <c r="G11" s="65">
        <v>414</v>
      </c>
      <c r="H11" s="66">
        <v>0.556451612903226</v>
      </c>
      <c r="I11" s="66">
        <v>0.94</v>
      </c>
      <c r="J11" s="65" t="s">
        <v>186</v>
      </c>
    </row>
    <row r="12" customHeight="1" spans="1:10">
      <c r="A12" s="64"/>
      <c r="B12" s="65"/>
      <c r="C12" s="65" t="s">
        <v>187</v>
      </c>
      <c r="D12" s="65">
        <v>31</v>
      </c>
      <c r="E12" s="65">
        <v>24</v>
      </c>
      <c r="F12" s="65">
        <v>744</v>
      </c>
      <c r="G12" s="65">
        <v>544</v>
      </c>
      <c r="H12" s="66">
        <v>0.731182795698925</v>
      </c>
      <c r="I12" s="66">
        <v>1</v>
      </c>
      <c r="J12" s="65"/>
    </row>
    <row r="13" customHeight="1" spans="1:10">
      <c r="A13" s="64"/>
      <c r="B13" s="65"/>
      <c r="C13" s="65" t="s">
        <v>188</v>
      </c>
      <c r="D13" s="65">
        <v>31</v>
      </c>
      <c r="E13" s="65">
        <v>24</v>
      </c>
      <c r="F13" s="65">
        <v>744</v>
      </c>
      <c r="G13" s="65">
        <v>248</v>
      </c>
      <c r="H13" s="66">
        <v>0.333333333333333</v>
      </c>
      <c r="I13" s="66">
        <v>1</v>
      </c>
      <c r="J13" s="65"/>
    </row>
    <row r="14" customHeight="1" spans="1:10">
      <c r="A14" s="64"/>
      <c r="B14" s="65"/>
      <c r="C14" s="65" t="s">
        <v>189</v>
      </c>
      <c r="D14" s="65">
        <v>31</v>
      </c>
      <c r="E14" s="65">
        <v>24</v>
      </c>
      <c r="F14" s="65">
        <v>744</v>
      </c>
      <c r="G14" s="65">
        <v>738</v>
      </c>
      <c r="H14" s="66">
        <v>0.991935483870968</v>
      </c>
      <c r="I14" s="66">
        <v>1</v>
      </c>
      <c r="J14" s="65"/>
    </row>
    <row r="15" customHeight="1" spans="1:10">
      <c r="A15" s="64"/>
      <c r="B15" s="65" t="s">
        <v>190</v>
      </c>
      <c r="C15" s="65" t="s">
        <v>180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181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187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188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189</v>
      </c>
      <c r="D19" s="65">
        <v>31</v>
      </c>
      <c r="E19" s="65">
        <v>2.4</v>
      </c>
      <c r="F19" s="65">
        <v>74.4</v>
      </c>
      <c r="G19" s="65">
        <v>21.6</v>
      </c>
      <c r="H19" s="66">
        <v>0.29</v>
      </c>
      <c r="I19" s="66">
        <v>0.29</v>
      </c>
      <c r="J19" s="65" t="s">
        <v>191</v>
      </c>
    </row>
    <row r="20" customHeight="1" spans="1:10">
      <c r="A20" s="64"/>
      <c r="B20" s="65"/>
      <c r="C20" s="65" t="s">
        <v>192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182</v>
      </c>
      <c r="C21" s="65" t="s">
        <v>180</v>
      </c>
      <c r="D21" s="65">
        <v>31</v>
      </c>
      <c r="E21" s="65">
        <v>2</v>
      </c>
      <c r="F21" s="65">
        <v>62</v>
      </c>
      <c r="G21" s="65">
        <v>15.5</v>
      </c>
      <c r="H21" s="66">
        <v>0.25</v>
      </c>
      <c r="I21" s="66">
        <v>1</v>
      </c>
      <c r="J21" s="65"/>
    </row>
    <row r="22" customHeight="1" spans="1:10">
      <c r="A22" s="64"/>
      <c r="B22" s="65"/>
      <c r="C22" s="65" t="s">
        <v>181</v>
      </c>
      <c r="D22" s="65">
        <v>31</v>
      </c>
      <c r="E22" s="65">
        <v>2</v>
      </c>
      <c r="F22" s="65">
        <v>62</v>
      </c>
      <c r="G22" s="65">
        <v>15.5</v>
      </c>
      <c r="H22" s="66">
        <v>0.25</v>
      </c>
      <c r="I22" s="66">
        <v>1</v>
      </c>
      <c r="J22" s="65"/>
    </row>
    <row r="23" customHeight="1" spans="1:10">
      <c r="A23" s="64"/>
      <c r="B23" s="65" t="s">
        <v>183</v>
      </c>
      <c r="C23" s="65" t="s">
        <v>180</v>
      </c>
      <c r="D23" s="65">
        <v>31</v>
      </c>
      <c r="E23" s="65">
        <v>2</v>
      </c>
      <c r="F23" s="65">
        <v>62</v>
      </c>
      <c r="G23" s="65">
        <v>15.5</v>
      </c>
      <c r="H23" s="66">
        <v>0.25</v>
      </c>
      <c r="I23" s="66">
        <v>1</v>
      </c>
      <c r="J23" s="65"/>
    </row>
    <row r="24" customHeight="1" spans="1:10">
      <c r="A24" s="64"/>
      <c r="B24" s="65"/>
      <c r="C24" s="65" t="s">
        <v>181</v>
      </c>
      <c r="D24" s="65">
        <v>31</v>
      </c>
      <c r="E24" s="65">
        <v>2</v>
      </c>
      <c r="F24" s="65">
        <v>62</v>
      </c>
      <c r="G24" s="65">
        <v>15.5</v>
      </c>
      <c r="H24" s="66">
        <v>0.25</v>
      </c>
      <c r="I24" s="66">
        <v>1</v>
      </c>
      <c r="J24" s="65"/>
    </row>
    <row r="25" customHeight="1" spans="1:10">
      <c r="A25" s="64"/>
      <c r="B25" s="65" t="s">
        <v>193</v>
      </c>
      <c r="C25" s="65" t="s">
        <v>180</v>
      </c>
      <c r="D25" s="65">
        <v>31</v>
      </c>
      <c r="E25" s="65">
        <v>24</v>
      </c>
      <c r="F25" s="65">
        <v>744</v>
      </c>
      <c r="G25" s="65">
        <v>15.5</v>
      </c>
      <c r="H25" s="66">
        <v>0.0208333333333333</v>
      </c>
      <c r="I25" s="66">
        <v>1</v>
      </c>
      <c r="J25" s="65"/>
    </row>
    <row r="26" customHeight="1" spans="1:10">
      <c r="A26" s="64"/>
      <c r="B26" s="65" t="s">
        <v>194</v>
      </c>
      <c r="C26" s="65" t="s">
        <v>180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193</v>
      </c>
      <c r="C27" s="65" t="s">
        <v>181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1</v>
      </c>
      <c r="J27" s="65"/>
    </row>
    <row r="28" customHeight="1" spans="1:10">
      <c r="A28" s="64"/>
      <c r="B28" s="65" t="s">
        <v>194</v>
      </c>
      <c r="C28" s="65" t="s">
        <v>181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193</v>
      </c>
      <c r="C29" s="65" t="s">
        <v>187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194</v>
      </c>
      <c r="C30" s="65" t="s">
        <v>187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193</v>
      </c>
      <c r="C31" s="65" t="s">
        <v>188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1</v>
      </c>
      <c r="J31" s="65"/>
    </row>
    <row r="32" customHeight="1" spans="1:10">
      <c r="A32" s="64"/>
      <c r="B32" s="65" t="s">
        <v>194</v>
      </c>
      <c r="C32" s="65" t="s">
        <v>188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195</v>
      </c>
      <c r="C33" s="65" t="s">
        <v>180</v>
      </c>
      <c r="D33" s="65">
        <v>31</v>
      </c>
      <c r="E33" s="65">
        <v>24</v>
      </c>
      <c r="F33" s="65">
        <v>744</v>
      </c>
      <c r="G33" s="65">
        <v>0</v>
      </c>
      <c r="H33" s="66">
        <v>0</v>
      </c>
      <c r="I33" s="66">
        <v>1</v>
      </c>
      <c r="J33" s="65"/>
    </row>
    <row r="34" customHeight="1" spans="1:10">
      <c r="A34" s="64"/>
      <c r="B34" s="65"/>
      <c r="C34" s="65" t="s">
        <v>181</v>
      </c>
      <c r="D34" s="65">
        <v>31</v>
      </c>
      <c r="E34" s="65">
        <v>24</v>
      </c>
      <c r="F34" s="65">
        <v>744</v>
      </c>
      <c r="G34" s="65">
        <v>324</v>
      </c>
      <c r="H34" s="66">
        <v>0.435483870967742</v>
      </c>
      <c r="I34" s="66">
        <v>1</v>
      </c>
      <c r="J34" s="65"/>
    </row>
    <row r="35" customHeight="1" spans="1:10">
      <c r="A35" s="64"/>
      <c r="B35" s="65"/>
      <c r="C35" s="65" t="s">
        <v>187</v>
      </c>
      <c r="D35" s="65">
        <v>31</v>
      </c>
      <c r="E35" s="65">
        <v>24</v>
      </c>
      <c r="F35" s="65">
        <v>744</v>
      </c>
      <c r="G35" s="65">
        <v>466</v>
      </c>
      <c r="H35" s="66">
        <v>0.626344086021505</v>
      </c>
      <c r="I35" s="66">
        <v>1</v>
      </c>
      <c r="J35" s="65" t="s">
        <v>196</v>
      </c>
    </row>
    <row r="36" customHeight="1" spans="1:10">
      <c r="A36" s="64"/>
      <c r="B36" s="65"/>
      <c r="C36" s="65" t="s">
        <v>188</v>
      </c>
      <c r="D36" s="65">
        <v>31</v>
      </c>
      <c r="E36" s="65">
        <v>24</v>
      </c>
      <c r="F36" s="65">
        <v>744</v>
      </c>
      <c r="G36" s="65">
        <v>164</v>
      </c>
      <c r="H36" s="66">
        <v>0.220430107526882</v>
      </c>
      <c r="I36" s="66">
        <v>0.99</v>
      </c>
      <c r="J36" s="65" t="s">
        <v>197</v>
      </c>
    </row>
    <row r="37" customHeight="1" spans="1:10">
      <c r="A37" s="64"/>
      <c r="B37" s="65"/>
      <c r="C37" s="65" t="s">
        <v>189</v>
      </c>
      <c r="D37" s="65">
        <v>31</v>
      </c>
      <c r="E37" s="65">
        <v>24</v>
      </c>
      <c r="F37" s="65">
        <v>744</v>
      </c>
      <c r="G37" s="65">
        <v>534</v>
      </c>
      <c r="H37" s="66">
        <v>0.717741935483871</v>
      </c>
      <c r="I37" s="66">
        <v>1</v>
      </c>
      <c r="J37" s="65"/>
    </row>
    <row r="38" customHeight="1" spans="1:10">
      <c r="A38" s="67" t="s">
        <v>71</v>
      </c>
      <c r="B38" s="67"/>
      <c r="C38" s="15"/>
      <c r="D38" s="15"/>
      <c r="E38" s="68" t="s">
        <v>72</v>
      </c>
      <c r="F38" s="68"/>
      <c r="G38" s="69"/>
      <c r="H38" s="10" t="s">
        <v>198</v>
      </c>
      <c r="I38" s="10"/>
      <c r="J38" s="10"/>
    </row>
    <row r="39" ht="34" customHeight="1"/>
    <row r="46" ht="33" customHeight="1" spans="1:10">
      <c r="A46" s="57" t="s">
        <v>163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44835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164</v>
      </c>
      <c r="B48" s="6" t="s">
        <v>165</v>
      </c>
      <c r="C48" s="6" t="s">
        <v>166</v>
      </c>
      <c r="D48" s="6" t="s">
        <v>167</v>
      </c>
      <c r="E48" s="60" t="s">
        <v>168</v>
      </c>
      <c r="F48" s="60" t="s">
        <v>169</v>
      </c>
      <c r="G48" s="61" t="s">
        <v>170</v>
      </c>
      <c r="H48" s="62" t="s">
        <v>171</v>
      </c>
      <c r="I48" s="60" t="s">
        <v>172</v>
      </c>
      <c r="J48" s="6" t="s">
        <v>173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174</v>
      </c>
      <c r="E50" s="72" t="s">
        <v>175</v>
      </c>
      <c r="F50" s="72" t="s">
        <v>176</v>
      </c>
      <c r="G50" s="73" t="s">
        <v>176</v>
      </c>
      <c r="H50" s="74" t="s">
        <v>177</v>
      </c>
      <c r="I50" s="60" t="s">
        <v>177</v>
      </c>
      <c r="J50" s="6"/>
    </row>
    <row r="51" customHeight="1" spans="1:10">
      <c r="A51" s="75" t="s">
        <v>199</v>
      </c>
      <c r="B51" s="64" t="s">
        <v>200</v>
      </c>
      <c r="C51" s="65" t="s">
        <v>180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181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187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188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189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192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201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202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203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204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205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206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207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208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209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210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211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212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213</v>
      </c>
      <c r="C69" s="65" t="s">
        <v>214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215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216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217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218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219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220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221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222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223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224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225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226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227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228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229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230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231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71</v>
      </c>
      <c r="B87" s="67"/>
      <c r="C87" s="15"/>
      <c r="D87" s="15"/>
      <c r="E87" s="68" t="s">
        <v>72</v>
      </c>
      <c r="F87" s="68"/>
      <c r="G87" s="69"/>
      <c r="H87" s="10" t="str">
        <f>H38</f>
        <v>制表时间：2022/11/4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163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44835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164</v>
      </c>
      <c r="B93" s="6" t="s">
        <v>165</v>
      </c>
      <c r="C93" s="6" t="s">
        <v>166</v>
      </c>
      <c r="D93" s="6" t="s">
        <v>167</v>
      </c>
      <c r="E93" s="60" t="s">
        <v>168</v>
      </c>
      <c r="F93" s="60" t="s">
        <v>169</v>
      </c>
      <c r="G93" s="61" t="s">
        <v>170</v>
      </c>
      <c r="H93" s="62" t="s">
        <v>171</v>
      </c>
      <c r="I93" s="60" t="s">
        <v>172</v>
      </c>
      <c r="J93" s="6" t="s">
        <v>173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174</v>
      </c>
      <c r="E95" s="60" t="s">
        <v>175</v>
      </c>
      <c r="F95" s="60" t="s">
        <v>176</v>
      </c>
      <c r="G95" s="61" t="s">
        <v>176</v>
      </c>
      <c r="H95" s="62" t="s">
        <v>177</v>
      </c>
      <c r="I95" s="60" t="s">
        <v>177</v>
      </c>
      <c r="J95" s="6"/>
    </row>
    <row r="96" customHeight="1" spans="1:10">
      <c r="A96" s="64" t="s">
        <v>199</v>
      </c>
      <c r="B96" s="64" t="s">
        <v>232</v>
      </c>
      <c r="C96" s="65" t="s">
        <v>180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181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233</v>
      </c>
      <c r="C98" s="65" t="s">
        <v>180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181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187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188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189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192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234</v>
      </c>
      <c r="C104" s="65" t="s">
        <v>180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181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187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235</v>
      </c>
      <c r="C107" s="65" t="s">
        <v>180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181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187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188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236</v>
      </c>
      <c r="B111" s="80" t="s">
        <v>237</v>
      </c>
      <c r="C111" s="65" t="s">
        <v>180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 t="s">
        <v>238</v>
      </c>
    </row>
    <row r="112" customHeight="1" spans="1:10">
      <c r="A112" s="81"/>
      <c r="B112" s="82"/>
      <c r="C112" s="65" t="s">
        <v>181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 t="s">
        <v>238</v>
      </c>
    </row>
    <row r="113" customHeight="1" spans="1:10">
      <c r="A113" s="81"/>
      <c r="B113" s="82"/>
      <c r="C113" s="65" t="s">
        <v>187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 t="s">
        <v>238</v>
      </c>
    </row>
    <row r="114" customHeight="1" spans="1:10">
      <c r="A114" s="81"/>
      <c r="B114" s="82"/>
      <c r="C114" s="65" t="s">
        <v>188</v>
      </c>
      <c r="D114" s="65">
        <v>31</v>
      </c>
      <c r="E114" s="65">
        <v>24</v>
      </c>
      <c r="F114" s="65">
        <v>744</v>
      </c>
      <c r="G114" s="65">
        <v>336</v>
      </c>
      <c r="H114" s="66">
        <v>0.451612903225806</v>
      </c>
      <c r="I114" s="66">
        <v>0.45</v>
      </c>
      <c r="J114" s="65" t="s">
        <v>239</v>
      </c>
    </row>
    <row r="115" customHeight="1" spans="1:10">
      <c r="A115" s="81"/>
      <c r="B115" s="82"/>
      <c r="C115" s="65" t="s">
        <v>189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 t="s">
        <v>238</v>
      </c>
    </row>
    <row r="116" customHeight="1" spans="1:10">
      <c r="A116" s="81"/>
      <c r="B116" s="82"/>
      <c r="C116" s="65" t="s">
        <v>192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 t="s">
        <v>238</v>
      </c>
    </row>
    <row r="117" customHeight="1" spans="1:10">
      <c r="A117" s="81"/>
      <c r="B117" s="82"/>
      <c r="C117" s="65" t="s">
        <v>201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 t="s">
        <v>238</v>
      </c>
    </row>
    <row r="118" customHeight="1" spans="1:10">
      <c r="A118" s="81"/>
      <c r="B118" s="82"/>
      <c r="C118" s="65" t="s">
        <v>202</v>
      </c>
      <c r="D118" s="65">
        <v>31</v>
      </c>
      <c r="E118" s="65">
        <v>24</v>
      </c>
      <c r="F118" s="65">
        <v>744</v>
      </c>
      <c r="G118" s="65">
        <v>744</v>
      </c>
      <c r="H118" s="66">
        <v>1</v>
      </c>
      <c r="I118" s="66">
        <v>1</v>
      </c>
      <c r="J118" s="65" t="s">
        <v>238</v>
      </c>
    </row>
    <row r="119" customHeight="1" spans="1:10">
      <c r="A119" s="81"/>
      <c r="B119" s="82"/>
      <c r="C119" s="65" t="s">
        <v>203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 t="s">
        <v>238</v>
      </c>
    </row>
    <row r="120" customHeight="1" spans="1:10">
      <c r="A120" s="81"/>
      <c r="B120" s="82"/>
      <c r="C120" s="65" t="s">
        <v>204</v>
      </c>
      <c r="D120" s="65">
        <v>31</v>
      </c>
      <c r="E120" s="65">
        <v>24</v>
      </c>
      <c r="F120" s="65">
        <v>744</v>
      </c>
      <c r="G120" s="65">
        <v>0</v>
      </c>
      <c r="H120" s="66">
        <v>0</v>
      </c>
      <c r="I120" s="66">
        <v>0</v>
      </c>
      <c r="J120" s="65"/>
    </row>
    <row r="121" customHeight="1" spans="1:10">
      <c r="A121" s="81"/>
      <c r="B121" s="82"/>
      <c r="C121" s="65" t="s">
        <v>205</v>
      </c>
      <c r="D121" s="65">
        <v>31</v>
      </c>
      <c r="E121" s="65">
        <v>24</v>
      </c>
      <c r="F121" s="65">
        <v>744</v>
      </c>
      <c r="G121" s="65">
        <v>0</v>
      </c>
      <c r="H121" s="66">
        <v>0</v>
      </c>
      <c r="I121" s="66">
        <v>0</v>
      </c>
      <c r="J121" s="65"/>
    </row>
    <row r="122" customHeight="1" spans="1:10">
      <c r="A122" s="81"/>
      <c r="B122" s="82"/>
      <c r="C122" s="65" t="s">
        <v>206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 t="s">
        <v>238</v>
      </c>
    </row>
    <row r="123" customHeight="1" spans="1:10">
      <c r="A123" s="81"/>
      <c r="B123" s="82"/>
      <c r="C123" s="65" t="s">
        <v>207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 t="s">
        <v>238</v>
      </c>
    </row>
    <row r="124" customHeight="1" spans="1:10">
      <c r="A124" s="81"/>
      <c r="B124" s="82"/>
      <c r="C124" s="65" t="s">
        <v>208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 t="s">
        <v>238</v>
      </c>
    </row>
    <row r="125" customHeight="1" spans="1:10">
      <c r="A125" s="81"/>
      <c r="B125" s="82"/>
      <c r="C125" s="65" t="s">
        <v>209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 t="s">
        <v>238</v>
      </c>
    </row>
    <row r="126" customHeight="1" spans="1:10">
      <c r="A126" s="81"/>
      <c r="B126" s="82"/>
      <c r="C126" s="65" t="s">
        <v>210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 t="s">
        <v>238</v>
      </c>
    </row>
    <row r="127" customHeight="1" spans="1:10">
      <c r="A127" s="81"/>
      <c r="B127" s="82"/>
      <c r="C127" s="65" t="s">
        <v>211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 t="s">
        <v>238</v>
      </c>
    </row>
    <row r="128" customHeight="1" spans="1:10">
      <c r="A128" s="81"/>
      <c r="B128" s="82"/>
      <c r="C128" s="65" t="s">
        <v>212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 t="s">
        <v>238</v>
      </c>
    </row>
    <row r="129" customHeight="1" spans="1:10">
      <c r="A129" s="81"/>
      <c r="B129" s="82"/>
      <c r="C129" s="65" t="s">
        <v>214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 t="s">
        <v>238</v>
      </c>
    </row>
    <row r="130" customHeight="1" spans="1:10">
      <c r="A130" s="81"/>
      <c r="B130" s="82"/>
      <c r="C130" s="65" t="s">
        <v>215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 t="s">
        <v>238</v>
      </c>
    </row>
    <row r="131" customHeight="1" spans="1:10">
      <c r="A131" s="81"/>
      <c r="B131" s="82"/>
      <c r="C131" s="65" t="s">
        <v>216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66">
        <v>1</v>
      </c>
      <c r="J131" s="65" t="s">
        <v>238</v>
      </c>
    </row>
    <row r="132" customHeight="1" spans="1:10">
      <c r="A132" s="83"/>
      <c r="B132" s="84"/>
      <c r="C132" s="65" t="s">
        <v>217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 t="s">
        <v>238</v>
      </c>
    </row>
    <row r="133" ht="14.25" spans="1:10">
      <c r="A133" s="67" t="s">
        <v>71</v>
      </c>
      <c r="B133" s="67"/>
      <c r="C133" s="15"/>
      <c r="D133" s="15"/>
      <c r="E133" s="68" t="s">
        <v>72</v>
      </c>
      <c r="F133" s="68"/>
      <c r="G133" s="69"/>
      <c r="H133" s="10" t="str">
        <f>H38</f>
        <v>制表时间：2022/11/4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163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44835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164</v>
      </c>
      <c r="B138" s="6" t="s">
        <v>165</v>
      </c>
      <c r="C138" s="6" t="s">
        <v>166</v>
      </c>
      <c r="D138" s="6" t="s">
        <v>167</v>
      </c>
      <c r="E138" s="60" t="s">
        <v>168</v>
      </c>
      <c r="F138" s="60" t="s">
        <v>169</v>
      </c>
      <c r="G138" s="61" t="s">
        <v>170</v>
      </c>
      <c r="H138" s="62" t="s">
        <v>171</v>
      </c>
      <c r="I138" s="60" t="s">
        <v>172</v>
      </c>
      <c r="J138" s="6" t="s">
        <v>173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174</v>
      </c>
      <c r="E140" s="60" t="s">
        <v>175</v>
      </c>
      <c r="F140" s="60" t="s">
        <v>176</v>
      </c>
      <c r="G140" s="61" t="s">
        <v>176</v>
      </c>
      <c r="H140" s="62" t="s">
        <v>177</v>
      </c>
      <c r="I140" s="60" t="s">
        <v>177</v>
      </c>
      <c r="J140" s="6"/>
    </row>
    <row r="141" customHeight="1" spans="1:10">
      <c r="A141" s="64" t="s">
        <v>236</v>
      </c>
      <c r="B141" s="64" t="s">
        <v>240</v>
      </c>
      <c r="C141" s="65" t="s">
        <v>218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 t="s">
        <v>238</v>
      </c>
    </row>
    <row r="142" customHeight="1" spans="1:10">
      <c r="A142" s="65"/>
      <c r="B142" s="65"/>
      <c r="C142" s="65" t="s">
        <v>219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 t="s">
        <v>238</v>
      </c>
    </row>
    <row r="143" customHeight="1" spans="1:10">
      <c r="A143" s="65"/>
      <c r="B143" s="65"/>
      <c r="C143" s="65" t="s">
        <v>220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 t="s">
        <v>238</v>
      </c>
    </row>
    <row r="144" customHeight="1" spans="1:10">
      <c r="A144" s="65"/>
      <c r="B144" s="65"/>
      <c r="C144" s="65" t="s">
        <v>221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 t="s">
        <v>238</v>
      </c>
    </row>
    <row r="145" customHeight="1" spans="1:10">
      <c r="A145" s="65"/>
      <c r="B145" s="65"/>
      <c r="C145" s="65" t="s">
        <v>222</v>
      </c>
      <c r="D145" s="65">
        <v>31</v>
      </c>
      <c r="E145" s="65">
        <v>24</v>
      </c>
      <c r="F145" s="65">
        <v>744</v>
      </c>
      <c r="G145" s="65">
        <v>744</v>
      </c>
      <c r="H145" s="66">
        <v>1</v>
      </c>
      <c r="I145" s="66">
        <v>1</v>
      </c>
      <c r="J145" s="65" t="s">
        <v>238</v>
      </c>
    </row>
    <row r="146" customHeight="1" spans="1:10">
      <c r="A146" s="65"/>
      <c r="B146" s="65"/>
      <c r="C146" s="65" t="s">
        <v>223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 t="s">
        <v>238</v>
      </c>
    </row>
    <row r="147" customHeight="1" spans="1:10">
      <c r="A147" s="65"/>
      <c r="B147" s="64" t="s">
        <v>241</v>
      </c>
      <c r="C147" s="65" t="s">
        <v>180</v>
      </c>
      <c r="D147" s="65">
        <v>31</v>
      </c>
      <c r="E147" s="65">
        <v>24</v>
      </c>
      <c r="F147" s="65">
        <v>744</v>
      </c>
      <c r="G147" s="65">
        <v>744</v>
      </c>
      <c r="H147" s="79">
        <v>1</v>
      </c>
      <c r="I147" s="79">
        <v>1</v>
      </c>
      <c r="J147" s="65"/>
    </row>
    <row r="148" customHeight="1" spans="1:10">
      <c r="A148" s="65"/>
      <c r="B148" s="65"/>
      <c r="C148" s="65" t="s">
        <v>181</v>
      </c>
      <c r="D148" s="65">
        <v>31</v>
      </c>
      <c r="E148" s="65">
        <v>24</v>
      </c>
      <c r="F148" s="65">
        <v>744</v>
      </c>
      <c r="G148" s="65">
        <v>744</v>
      </c>
      <c r="H148" s="79">
        <v>1</v>
      </c>
      <c r="I148" s="79">
        <v>1</v>
      </c>
      <c r="J148" s="65"/>
    </row>
    <row r="149" customHeight="1" spans="1:10">
      <c r="A149" s="65"/>
      <c r="B149" s="64" t="s">
        <v>242</v>
      </c>
      <c r="C149" s="65" t="s">
        <v>180</v>
      </c>
      <c r="D149" s="65">
        <v>31</v>
      </c>
      <c r="E149" s="65">
        <v>24</v>
      </c>
      <c r="F149" s="65">
        <v>744</v>
      </c>
      <c r="G149" s="65">
        <v>536</v>
      </c>
      <c r="H149" s="66">
        <v>0.720430107526882</v>
      </c>
      <c r="I149" s="66">
        <v>1</v>
      </c>
      <c r="J149" s="65"/>
    </row>
    <row r="150" customHeight="1" spans="1:10">
      <c r="A150" s="65"/>
      <c r="B150" s="65"/>
      <c r="C150" s="65" t="s">
        <v>181</v>
      </c>
      <c r="D150" s="65">
        <v>31</v>
      </c>
      <c r="E150" s="65">
        <v>24</v>
      </c>
      <c r="F150" s="65">
        <v>744</v>
      </c>
      <c r="G150" s="65">
        <v>79</v>
      </c>
      <c r="H150" s="66">
        <v>0.106182795698925</v>
      </c>
      <c r="I150" s="66">
        <v>1</v>
      </c>
      <c r="J150" s="65"/>
    </row>
    <row r="151" customHeight="1" spans="1:10">
      <c r="A151" s="65"/>
      <c r="B151" s="65"/>
      <c r="C151" s="65" t="s">
        <v>187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243</v>
      </c>
      <c r="C152" s="65" t="s">
        <v>180</v>
      </c>
      <c r="D152" s="65">
        <v>31</v>
      </c>
      <c r="E152" s="65">
        <v>24</v>
      </c>
      <c r="F152" s="65">
        <v>744</v>
      </c>
      <c r="G152" s="65">
        <v>732</v>
      </c>
      <c r="H152" s="66">
        <v>0.983870967741935</v>
      </c>
      <c r="I152" s="66">
        <v>1</v>
      </c>
      <c r="J152" s="65"/>
    </row>
    <row r="153" customHeight="1" spans="1:10">
      <c r="A153" s="65"/>
      <c r="B153" s="65"/>
      <c r="C153" s="65" t="s">
        <v>181</v>
      </c>
      <c r="D153" s="65">
        <v>31</v>
      </c>
      <c r="E153" s="65">
        <v>24</v>
      </c>
      <c r="F153" s="65">
        <v>744</v>
      </c>
      <c r="G153" s="65">
        <v>740</v>
      </c>
      <c r="H153" s="66">
        <v>0.994623655913978</v>
      </c>
      <c r="I153" s="66">
        <v>1</v>
      </c>
      <c r="J153" s="65"/>
    </row>
    <row r="154" customHeight="1" spans="1:10">
      <c r="A154" s="65"/>
      <c r="B154" s="65"/>
      <c r="C154" s="65" t="s">
        <v>187</v>
      </c>
      <c r="D154" s="65">
        <v>31</v>
      </c>
      <c r="E154" s="65">
        <v>24</v>
      </c>
      <c r="F154" s="65">
        <v>744</v>
      </c>
      <c r="G154" s="65">
        <v>740</v>
      </c>
      <c r="H154" s="66">
        <v>0.994623655913978</v>
      </c>
      <c r="I154" s="66">
        <v>1</v>
      </c>
      <c r="J154" s="65"/>
    </row>
    <row r="155" customHeight="1" spans="1:10">
      <c r="A155" s="65"/>
      <c r="B155" s="87" t="s">
        <v>244</v>
      </c>
      <c r="C155" s="88" t="s">
        <v>180</v>
      </c>
      <c r="D155" s="88">
        <v>31</v>
      </c>
      <c r="E155" s="88">
        <v>24</v>
      </c>
      <c r="F155" s="88">
        <v>744</v>
      </c>
      <c r="G155" s="88">
        <v>742</v>
      </c>
      <c r="H155" s="89">
        <v>0.997</v>
      </c>
      <c r="I155" s="89">
        <v>1</v>
      </c>
      <c r="J155" s="65" t="s">
        <v>245</v>
      </c>
    </row>
    <row r="156" customHeight="1" spans="1:10">
      <c r="A156" s="65"/>
      <c r="B156" s="88"/>
      <c r="C156" s="88" t="s">
        <v>181</v>
      </c>
      <c r="D156" s="88">
        <v>31</v>
      </c>
      <c r="E156" s="88">
        <v>24</v>
      </c>
      <c r="F156" s="88">
        <v>744</v>
      </c>
      <c r="G156" s="88">
        <v>640</v>
      </c>
      <c r="H156" s="89">
        <v>0.860215053763441</v>
      </c>
      <c r="I156" s="89">
        <v>1</v>
      </c>
      <c r="J156" s="65" t="s">
        <v>245</v>
      </c>
    </row>
    <row r="157" customHeight="1" spans="1:10">
      <c r="A157" s="65"/>
      <c r="B157" s="88"/>
      <c r="C157" s="88" t="s">
        <v>187</v>
      </c>
      <c r="D157" s="88">
        <v>31</v>
      </c>
      <c r="E157" s="88">
        <v>24</v>
      </c>
      <c r="F157" s="88">
        <v>744</v>
      </c>
      <c r="G157" s="88">
        <v>720</v>
      </c>
      <c r="H157" s="89">
        <v>0.967741935483871</v>
      </c>
      <c r="I157" s="89">
        <v>1</v>
      </c>
      <c r="J157" s="65" t="s">
        <v>245</v>
      </c>
    </row>
    <row r="158" customHeight="1" spans="1:10">
      <c r="A158" s="65"/>
      <c r="B158" s="88"/>
      <c r="C158" s="88" t="s">
        <v>188</v>
      </c>
      <c r="D158" s="88">
        <v>31</v>
      </c>
      <c r="E158" s="88">
        <v>24</v>
      </c>
      <c r="F158" s="88">
        <v>744</v>
      </c>
      <c r="G158" s="88">
        <v>744</v>
      </c>
      <c r="H158" s="89">
        <v>1</v>
      </c>
      <c r="I158" s="89">
        <v>1</v>
      </c>
      <c r="J158" s="65" t="s">
        <v>245</v>
      </c>
    </row>
    <row r="159" customHeight="1" spans="1:10">
      <c r="A159" s="65"/>
      <c r="B159" s="88"/>
      <c r="C159" s="88" t="s">
        <v>189</v>
      </c>
      <c r="D159" s="88">
        <v>31</v>
      </c>
      <c r="E159" s="88">
        <v>24</v>
      </c>
      <c r="F159" s="88">
        <v>744</v>
      </c>
      <c r="G159" s="88">
        <v>640</v>
      </c>
      <c r="H159" s="89">
        <v>0.860215053763441</v>
      </c>
      <c r="I159" s="89">
        <v>1</v>
      </c>
      <c r="J159" s="65" t="s">
        <v>245</v>
      </c>
    </row>
    <row r="160" customHeight="1" spans="1:10">
      <c r="A160" s="65"/>
      <c r="B160" s="88"/>
      <c r="C160" s="88" t="s">
        <v>192</v>
      </c>
      <c r="D160" s="88">
        <v>31</v>
      </c>
      <c r="E160" s="88">
        <v>24</v>
      </c>
      <c r="F160" s="88">
        <v>744</v>
      </c>
      <c r="G160" s="88">
        <v>720</v>
      </c>
      <c r="H160" s="89">
        <v>0.967741935483871</v>
      </c>
      <c r="I160" s="89">
        <v>1</v>
      </c>
      <c r="J160" s="65" t="s">
        <v>245</v>
      </c>
    </row>
    <row r="161" customHeight="1" spans="1:10">
      <c r="A161" s="64" t="s">
        <v>246</v>
      </c>
      <c r="B161" s="64" t="s">
        <v>247</v>
      </c>
      <c r="C161" s="65" t="s">
        <v>180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181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1</v>
      </c>
      <c r="J162" s="65"/>
    </row>
    <row r="163" customHeight="1" spans="1:10">
      <c r="A163" s="65"/>
      <c r="B163" s="65"/>
      <c r="C163" s="65" t="s">
        <v>187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188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1</v>
      </c>
      <c r="J164" s="65"/>
    </row>
    <row r="165" customHeight="1" spans="1:10">
      <c r="A165" s="65"/>
      <c r="B165" s="65"/>
      <c r="C165" s="65" t="s">
        <v>189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192</v>
      </c>
      <c r="D166" s="65">
        <v>31</v>
      </c>
      <c r="E166" s="65">
        <v>24</v>
      </c>
      <c r="F166" s="65">
        <v>744</v>
      </c>
      <c r="G166" s="65">
        <v>744</v>
      </c>
      <c r="H166" s="66">
        <v>1</v>
      </c>
      <c r="I166" s="66">
        <v>1</v>
      </c>
      <c r="J166" s="65"/>
    </row>
    <row r="167" customHeight="1" spans="1:10">
      <c r="A167" s="65"/>
      <c r="B167" s="65"/>
      <c r="C167" s="65" t="s">
        <v>201</v>
      </c>
      <c r="D167" s="65">
        <v>31</v>
      </c>
      <c r="E167" s="65">
        <v>24</v>
      </c>
      <c r="F167" s="65">
        <v>744</v>
      </c>
      <c r="G167" s="65">
        <v>744</v>
      </c>
      <c r="H167" s="66">
        <v>1</v>
      </c>
      <c r="I167" s="66">
        <v>1</v>
      </c>
      <c r="J167" s="65"/>
    </row>
    <row r="168" customHeight="1" spans="1:10">
      <c r="A168" s="65"/>
      <c r="B168" s="65"/>
      <c r="C168" s="65" t="s">
        <v>202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203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204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205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206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207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208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209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210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spans="1:10">
      <c r="A177" s="65"/>
      <c r="B177" s="65"/>
      <c r="C177" s="65" t="s">
        <v>211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212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71</v>
      </c>
      <c r="B179" s="67"/>
      <c r="C179" s="15"/>
      <c r="D179" s="15"/>
      <c r="E179" s="68" t="s">
        <v>72</v>
      </c>
      <c r="F179" s="68"/>
      <c r="G179" s="69"/>
      <c r="H179" s="10" t="str">
        <f>H38</f>
        <v>制表时间：2022/11/4</v>
      </c>
      <c r="I179" s="10"/>
      <c r="J179" s="10"/>
    </row>
    <row r="180" ht="23" customHeight="1"/>
    <row r="181" ht="28" customHeight="1" spans="1:10">
      <c r="A181" s="57" t="s">
        <v>163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44835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164</v>
      </c>
      <c r="B183" s="6" t="s">
        <v>165</v>
      </c>
      <c r="C183" s="6" t="s">
        <v>166</v>
      </c>
      <c r="D183" s="6" t="s">
        <v>167</v>
      </c>
      <c r="E183" s="60" t="s">
        <v>168</v>
      </c>
      <c r="F183" s="60" t="s">
        <v>169</v>
      </c>
      <c r="G183" s="61" t="s">
        <v>170</v>
      </c>
      <c r="H183" s="62" t="s">
        <v>171</v>
      </c>
      <c r="I183" s="60" t="s">
        <v>172</v>
      </c>
      <c r="J183" s="6" t="s">
        <v>173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174</v>
      </c>
      <c r="E185" s="60" t="s">
        <v>175</v>
      </c>
      <c r="F185" s="60" t="s">
        <v>176</v>
      </c>
      <c r="G185" s="61" t="s">
        <v>176</v>
      </c>
      <c r="H185" s="62" t="s">
        <v>177</v>
      </c>
      <c r="I185" s="60" t="s">
        <v>177</v>
      </c>
      <c r="J185" s="6"/>
    </row>
    <row r="186" customHeight="1" spans="1:10">
      <c r="A186" s="64" t="s">
        <v>246</v>
      </c>
      <c r="B186" s="64" t="s">
        <v>247</v>
      </c>
      <c r="C186" s="65" t="s">
        <v>214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215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216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217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218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219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220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/>
    </row>
    <row r="193" customHeight="1" spans="1:10">
      <c r="A193" s="65"/>
      <c r="B193" s="65"/>
      <c r="C193" s="65" t="s">
        <v>221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222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223</v>
      </c>
      <c r="D195" s="65">
        <v>31</v>
      </c>
      <c r="E195" s="65">
        <v>24</v>
      </c>
      <c r="F195" s="65">
        <v>744</v>
      </c>
      <c r="G195" s="65">
        <v>0</v>
      </c>
      <c r="H195" s="66">
        <v>0</v>
      </c>
      <c r="I195" s="66">
        <v>0</v>
      </c>
      <c r="J195" s="65"/>
    </row>
    <row r="196" customHeight="1" spans="1:10">
      <c r="A196" s="65"/>
      <c r="B196" s="65"/>
      <c r="C196" s="65" t="s">
        <v>224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225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0</v>
      </c>
      <c r="J197" s="65"/>
    </row>
    <row r="198" customHeight="1" spans="1:10">
      <c r="A198" s="65"/>
      <c r="B198" s="65"/>
      <c r="C198" s="65" t="s">
        <v>226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227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228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229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230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231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241</v>
      </c>
      <c r="C204" s="65" t="s">
        <v>187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188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243</v>
      </c>
      <c r="C206" s="65" t="s">
        <v>188</v>
      </c>
      <c r="D206" s="65">
        <v>31</v>
      </c>
      <c r="E206" s="65">
        <v>24</v>
      </c>
      <c r="F206" s="65">
        <v>744</v>
      </c>
      <c r="G206" s="65">
        <v>734</v>
      </c>
      <c r="H206" s="66">
        <v>0.986559139784946</v>
      </c>
      <c r="I206" s="66">
        <v>1</v>
      </c>
      <c r="J206" s="65"/>
    </row>
    <row r="207" customHeight="1" spans="1:10">
      <c r="A207" s="65"/>
      <c r="B207" s="65"/>
      <c r="C207" s="65" t="s">
        <v>189</v>
      </c>
      <c r="D207" s="65">
        <v>31</v>
      </c>
      <c r="E207" s="65">
        <v>24</v>
      </c>
      <c r="F207" s="65">
        <v>744</v>
      </c>
      <c r="G207" s="65">
        <v>734</v>
      </c>
      <c r="H207" s="66">
        <v>0.986559139784946</v>
      </c>
      <c r="I207" s="66">
        <v>1</v>
      </c>
      <c r="J207" s="65"/>
    </row>
    <row r="208" customHeight="1" spans="1:10">
      <c r="A208" s="65"/>
      <c r="B208" s="65"/>
      <c r="C208" s="65" t="s">
        <v>192</v>
      </c>
      <c r="D208" s="65">
        <v>31</v>
      </c>
      <c r="E208" s="65">
        <v>24</v>
      </c>
      <c r="F208" s="65">
        <v>744</v>
      </c>
      <c r="G208" s="65">
        <v>734</v>
      </c>
      <c r="H208" s="66">
        <v>0.986559139784946</v>
      </c>
      <c r="I208" s="66">
        <v>1</v>
      </c>
      <c r="J208" s="65"/>
    </row>
    <row r="209" customHeight="1" spans="1:10">
      <c r="A209" s="65"/>
      <c r="B209" s="64" t="s">
        <v>244</v>
      </c>
      <c r="C209" s="65" t="s">
        <v>180</v>
      </c>
      <c r="D209" s="65">
        <v>31</v>
      </c>
      <c r="E209" s="65">
        <v>24</v>
      </c>
      <c r="F209" s="65">
        <v>744</v>
      </c>
      <c r="G209" s="65">
        <v>72</v>
      </c>
      <c r="H209" s="66">
        <v>0.0967741935483871</v>
      </c>
      <c r="I209" s="66">
        <v>1</v>
      </c>
      <c r="J209" s="65"/>
    </row>
    <row r="210" customHeight="1" spans="1:10">
      <c r="A210" s="65"/>
      <c r="B210" s="65"/>
      <c r="C210" s="65" t="s">
        <v>181</v>
      </c>
      <c r="D210" s="65">
        <v>31</v>
      </c>
      <c r="E210" s="65">
        <v>24</v>
      </c>
      <c r="F210" s="65">
        <v>744</v>
      </c>
      <c r="G210" s="65">
        <v>744</v>
      </c>
      <c r="H210" s="66">
        <v>1</v>
      </c>
      <c r="I210" s="66">
        <v>1</v>
      </c>
      <c r="J210" s="65"/>
    </row>
    <row r="211" customHeight="1" spans="1:10">
      <c r="A211" s="65"/>
      <c r="B211" s="65"/>
      <c r="C211" s="65" t="s">
        <v>187</v>
      </c>
      <c r="D211" s="65">
        <v>31</v>
      </c>
      <c r="E211" s="65">
        <v>24</v>
      </c>
      <c r="F211" s="65">
        <v>744</v>
      </c>
      <c r="G211" s="65">
        <v>744</v>
      </c>
      <c r="H211" s="66">
        <v>1</v>
      </c>
      <c r="I211" s="66">
        <v>1</v>
      </c>
      <c r="J211" s="65"/>
    </row>
    <row r="212" customHeight="1" spans="1:10">
      <c r="A212" s="65"/>
      <c r="B212" s="65"/>
      <c r="C212" s="65" t="s">
        <v>188</v>
      </c>
      <c r="D212" s="65">
        <v>31</v>
      </c>
      <c r="E212" s="65">
        <v>24</v>
      </c>
      <c r="F212" s="65">
        <v>744</v>
      </c>
      <c r="G212" s="65">
        <v>168</v>
      </c>
      <c r="H212" s="66">
        <v>0.225806451612903</v>
      </c>
      <c r="I212" s="66">
        <v>1</v>
      </c>
      <c r="J212" s="65"/>
    </row>
    <row r="213" customHeight="1" spans="1:10">
      <c r="A213" s="65"/>
      <c r="B213" s="65"/>
      <c r="C213" s="65" t="s">
        <v>189</v>
      </c>
      <c r="D213" s="65">
        <v>31</v>
      </c>
      <c r="E213" s="65">
        <v>24</v>
      </c>
      <c r="F213" s="65">
        <v>744</v>
      </c>
      <c r="G213" s="65">
        <v>696</v>
      </c>
      <c r="H213" s="66">
        <v>0.935483870967742</v>
      </c>
      <c r="I213" s="66">
        <v>1</v>
      </c>
      <c r="J213" s="65"/>
    </row>
    <row r="214" customHeight="1" spans="1:10">
      <c r="A214" s="65"/>
      <c r="B214" s="65"/>
      <c r="C214" s="65" t="s">
        <v>192</v>
      </c>
      <c r="D214" s="65">
        <v>31</v>
      </c>
      <c r="E214" s="65">
        <v>24</v>
      </c>
      <c r="F214" s="65">
        <v>744</v>
      </c>
      <c r="G214" s="65">
        <v>744</v>
      </c>
      <c r="H214" s="66">
        <v>1</v>
      </c>
      <c r="I214" s="66">
        <v>1</v>
      </c>
      <c r="J214" s="65"/>
    </row>
    <row r="215" customHeight="1" spans="1:10">
      <c r="A215" s="80" t="s">
        <v>248</v>
      </c>
      <c r="B215" s="64" t="s">
        <v>249</v>
      </c>
      <c r="C215" s="65" t="s">
        <v>180</v>
      </c>
      <c r="D215" s="65">
        <v>31</v>
      </c>
      <c r="E215" s="65">
        <v>24</v>
      </c>
      <c r="F215" s="65">
        <v>744</v>
      </c>
      <c r="G215" s="65">
        <v>742</v>
      </c>
      <c r="H215" s="66">
        <v>1</v>
      </c>
      <c r="I215" s="66">
        <v>1</v>
      </c>
      <c r="J215" s="65" t="s">
        <v>250</v>
      </c>
    </row>
    <row r="216" customHeight="1" spans="1:10">
      <c r="A216" s="81"/>
      <c r="B216" s="65"/>
      <c r="C216" s="65" t="s">
        <v>181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 t="s">
        <v>250</v>
      </c>
    </row>
    <row r="217" customHeight="1" spans="1:10">
      <c r="A217" s="81"/>
      <c r="B217" s="65"/>
      <c r="C217" s="65" t="s">
        <v>187</v>
      </c>
      <c r="D217" s="65">
        <v>31</v>
      </c>
      <c r="E217" s="65">
        <v>24</v>
      </c>
      <c r="F217" s="65">
        <v>744</v>
      </c>
      <c r="G217" s="65">
        <v>722</v>
      </c>
      <c r="H217" s="66">
        <v>0.970430107526882</v>
      </c>
      <c r="I217" s="66">
        <v>1</v>
      </c>
      <c r="J217" s="65" t="s">
        <v>250</v>
      </c>
    </row>
    <row r="218" customHeight="1" spans="1:10">
      <c r="A218" s="81"/>
      <c r="B218" s="65"/>
      <c r="C218" s="65" t="s">
        <v>188</v>
      </c>
      <c r="D218" s="65">
        <v>31</v>
      </c>
      <c r="E218" s="65">
        <v>24</v>
      </c>
      <c r="F218" s="65">
        <v>744</v>
      </c>
      <c r="G218" s="65">
        <v>686</v>
      </c>
      <c r="H218" s="66">
        <v>0.922043010752688</v>
      </c>
      <c r="I218" s="66">
        <v>1</v>
      </c>
      <c r="J218" s="65" t="s">
        <v>250</v>
      </c>
    </row>
    <row r="219" customHeight="1" spans="1:10">
      <c r="A219" s="81"/>
      <c r="B219" s="64" t="s">
        <v>251</v>
      </c>
      <c r="C219" s="65" t="s">
        <v>180</v>
      </c>
      <c r="D219" s="65">
        <v>31</v>
      </c>
      <c r="E219" s="65">
        <v>24</v>
      </c>
      <c r="F219" s="65">
        <v>744</v>
      </c>
      <c r="G219" s="65">
        <v>744</v>
      </c>
      <c r="H219" s="79">
        <v>1</v>
      </c>
      <c r="I219" s="66">
        <v>1</v>
      </c>
      <c r="J219" s="5"/>
    </row>
    <row r="220" customHeight="1" spans="1:10">
      <c r="A220" s="81"/>
      <c r="B220" s="65"/>
      <c r="C220" s="65" t="s">
        <v>181</v>
      </c>
      <c r="D220" s="65">
        <v>31</v>
      </c>
      <c r="E220" s="65">
        <v>24</v>
      </c>
      <c r="F220" s="65">
        <v>744</v>
      </c>
      <c r="G220" s="65">
        <v>0</v>
      </c>
      <c r="H220" s="79">
        <v>0</v>
      </c>
      <c r="I220" s="66">
        <v>1</v>
      </c>
      <c r="J220" s="5"/>
    </row>
    <row r="221" customHeight="1" spans="1:10">
      <c r="A221" s="81"/>
      <c r="B221" s="65"/>
      <c r="C221" s="65" t="s">
        <v>187</v>
      </c>
      <c r="D221" s="65">
        <v>31</v>
      </c>
      <c r="E221" s="65">
        <v>24</v>
      </c>
      <c r="F221" s="65">
        <v>744</v>
      </c>
      <c r="G221" s="65">
        <v>744</v>
      </c>
      <c r="H221" s="79">
        <v>1</v>
      </c>
      <c r="I221" s="66">
        <v>1</v>
      </c>
      <c r="J221" s="5"/>
    </row>
    <row r="222" ht="14.25" spans="1:10">
      <c r="A222" s="83"/>
      <c r="B222" s="65"/>
      <c r="C222" s="65" t="s">
        <v>188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66">
        <v>1</v>
      </c>
      <c r="J222" s="5"/>
    </row>
    <row r="223" customHeight="1" spans="1:10">
      <c r="A223" s="67" t="s">
        <v>71</v>
      </c>
      <c r="B223" s="67"/>
      <c r="C223" s="15"/>
      <c r="D223" s="15"/>
      <c r="E223" s="68" t="s">
        <v>72</v>
      </c>
      <c r="F223" s="68"/>
      <c r="G223" s="69"/>
      <c r="H223" s="10" t="str">
        <f>H38</f>
        <v>制表时间：2022/11/4</v>
      </c>
      <c r="I223" s="10"/>
      <c r="J223" s="10"/>
    </row>
    <row r="224" ht="17" customHeight="1"/>
    <row r="225" ht="16" customHeight="1"/>
    <row r="226" ht="30" customHeight="1" spans="1:10">
      <c r="A226" s="57" t="s">
        <v>163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44835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164</v>
      </c>
      <c r="B228" s="6" t="s">
        <v>165</v>
      </c>
      <c r="C228" s="6" t="s">
        <v>166</v>
      </c>
      <c r="D228" s="6" t="s">
        <v>167</v>
      </c>
      <c r="E228" s="60" t="s">
        <v>168</v>
      </c>
      <c r="F228" s="60" t="s">
        <v>169</v>
      </c>
      <c r="G228" s="61" t="s">
        <v>170</v>
      </c>
      <c r="H228" s="62" t="s">
        <v>171</v>
      </c>
      <c r="I228" s="60" t="s">
        <v>172</v>
      </c>
      <c r="J228" s="6" t="s">
        <v>173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174</v>
      </c>
      <c r="E230" s="60" t="s">
        <v>175</v>
      </c>
      <c r="F230" s="60" t="s">
        <v>176</v>
      </c>
      <c r="G230" s="61" t="s">
        <v>176</v>
      </c>
      <c r="H230" s="62" t="s">
        <v>177</v>
      </c>
      <c r="I230" s="60" t="s">
        <v>177</v>
      </c>
      <c r="J230" s="6"/>
    </row>
    <row r="231" customHeight="1" spans="1:10">
      <c r="A231" s="64" t="s">
        <v>248</v>
      </c>
      <c r="B231" s="64" t="s">
        <v>252</v>
      </c>
      <c r="C231" s="65" t="s">
        <v>180</v>
      </c>
      <c r="D231" s="65">
        <v>31</v>
      </c>
      <c r="E231" s="65">
        <v>24</v>
      </c>
      <c r="F231" s="65">
        <v>744</v>
      </c>
      <c r="G231" s="65">
        <v>0</v>
      </c>
      <c r="H231" s="66">
        <v>0</v>
      </c>
      <c r="I231" s="66">
        <v>1</v>
      </c>
      <c r="J231" s="65"/>
    </row>
    <row r="232" customHeight="1" spans="1:10">
      <c r="A232" s="64"/>
      <c r="B232" s="65"/>
      <c r="C232" s="65" t="s">
        <v>181</v>
      </c>
      <c r="D232" s="65">
        <v>31</v>
      </c>
      <c r="E232" s="65">
        <v>24</v>
      </c>
      <c r="F232" s="65">
        <v>744</v>
      </c>
      <c r="G232" s="65">
        <v>0</v>
      </c>
      <c r="H232" s="66">
        <v>0</v>
      </c>
      <c r="I232" s="66">
        <v>1</v>
      </c>
      <c r="J232" s="65"/>
    </row>
    <row r="233" customHeight="1" spans="1:10">
      <c r="A233" s="64"/>
      <c r="B233" s="65"/>
      <c r="C233" s="65" t="s">
        <v>187</v>
      </c>
      <c r="D233" s="65">
        <v>31</v>
      </c>
      <c r="E233" s="65">
        <v>24</v>
      </c>
      <c r="F233" s="65">
        <v>744</v>
      </c>
      <c r="G233" s="65">
        <v>0</v>
      </c>
      <c r="H233" s="66">
        <v>0</v>
      </c>
      <c r="I233" s="66">
        <v>1</v>
      </c>
      <c r="J233" s="65"/>
    </row>
    <row r="234" customHeight="1" spans="1:10">
      <c r="A234" s="64"/>
      <c r="B234" s="65"/>
      <c r="C234" s="65" t="s">
        <v>188</v>
      </c>
      <c r="D234" s="65">
        <v>31</v>
      </c>
      <c r="E234" s="65">
        <v>24</v>
      </c>
      <c r="F234" s="65">
        <v>744</v>
      </c>
      <c r="G234" s="65">
        <v>0</v>
      </c>
      <c r="H234" s="66">
        <v>0</v>
      </c>
      <c r="I234" s="66">
        <v>1</v>
      </c>
      <c r="J234" s="65"/>
    </row>
    <row r="235" customHeight="1" spans="1:10">
      <c r="A235" s="64"/>
      <c r="B235" s="64" t="s">
        <v>253</v>
      </c>
      <c r="C235" s="65" t="s">
        <v>180</v>
      </c>
      <c r="D235" s="65">
        <v>31</v>
      </c>
      <c r="E235" s="65">
        <v>24</v>
      </c>
      <c r="F235" s="65">
        <v>744</v>
      </c>
      <c r="G235" s="65">
        <v>8</v>
      </c>
      <c r="H235" s="66">
        <v>0.010752688172043</v>
      </c>
      <c r="I235" s="66">
        <v>1</v>
      </c>
      <c r="J235" s="65"/>
    </row>
    <row r="236" customHeight="1" spans="1:10">
      <c r="A236" s="64"/>
      <c r="B236" s="65"/>
      <c r="C236" s="65" t="s">
        <v>181</v>
      </c>
      <c r="D236" s="65">
        <v>31</v>
      </c>
      <c r="E236" s="65">
        <v>24</v>
      </c>
      <c r="F236" s="65">
        <v>744</v>
      </c>
      <c r="G236" s="65">
        <v>47</v>
      </c>
      <c r="H236" s="66">
        <v>0.0631720430107527</v>
      </c>
      <c r="I236" s="66">
        <v>1</v>
      </c>
      <c r="J236" s="65"/>
    </row>
    <row r="237" customHeight="1" spans="1:10">
      <c r="A237" s="64"/>
      <c r="B237" s="65"/>
      <c r="C237" s="65" t="s">
        <v>187</v>
      </c>
      <c r="D237" s="65">
        <v>31</v>
      </c>
      <c r="E237" s="65">
        <v>24</v>
      </c>
      <c r="F237" s="65">
        <v>744</v>
      </c>
      <c r="G237" s="65">
        <v>47</v>
      </c>
      <c r="H237" s="66">
        <v>0.0631720430107527</v>
      </c>
      <c r="I237" s="66">
        <v>1</v>
      </c>
      <c r="J237" s="65"/>
    </row>
    <row r="238" customHeight="1" spans="1:10">
      <c r="A238" s="64"/>
      <c r="B238" s="65"/>
      <c r="C238" s="65" t="s">
        <v>188</v>
      </c>
      <c r="D238" s="65">
        <v>31</v>
      </c>
      <c r="E238" s="65">
        <v>24</v>
      </c>
      <c r="F238" s="65">
        <v>744</v>
      </c>
      <c r="G238" s="65">
        <v>47</v>
      </c>
      <c r="H238" s="66">
        <v>0.0631720430107527</v>
      </c>
      <c r="I238" s="66">
        <v>1</v>
      </c>
      <c r="J238" s="65"/>
    </row>
    <row r="239" customHeight="1" spans="1:10">
      <c r="A239" s="64"/>
      <c r="B239" s="65"/>
      <c r="C239" s="65" t="s">
        <v>189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192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254</v>
      </c>
      <c r="C241" s="65" t="s">
        <v>180</v>
      </c>
      <c r="D241" s="65">
        <v>31</v>
      </c>
      <c r="E241" s="65">
        <v>24</v>
      </c>
      <c r="F241" s="65">
        <v>744</v>
      </c>
      <c r="G241" s="65">
        <v>124</v>
      </c>
      <c r="H241" s="66">
        <v>0.166666666666667</v>
      </c>
      <c r="I241" s="66">
        <v>1</v>
      </c>
      <c r="J241" s="65"/>
    </row>
    <row r="242" customHeight="1" spans="1:10">
      <c r="A242" s="64"/>
      <c r="B242" s="65"/>
      <c r="C242" s="65" t="s">
        <v>181</v>
      </c>
      <c r="D242" s="65">
        <v>31</v>
      </c>
      <c r="E242" s="65">
        <v>24</v>
      </c>
      <c r="F242" s="65">
        <v>744</v>
      </c>
      <c r="G242" s="65">
        <v>124</v>
      </c>
      <c r="H242" s="66">
        <v>0.166666666666667</v>
      </c>
      <c r="I242" s="66">
        <v>1</v>
      </c>
      <c r="J242" s="65"/>
    </row>
    <row r="243" customHeight="1" spans="1:10">
      <c r="A243" s="64"/>
      <c r="B243" s="65"/>
      <c r="C243" s="65" t="s">
        <v>187</v>
      </c>
      <c r="D243" s="65">
        <v>31</v>
      </c>
      <c r="E243" s="65">
        <v>24</v>
      </c>
      <c r="F243" s="65">
        <v>744</v>
      </c>
      <c r="G243" s="65">
        <v>124</v>
      </c>
      <c r="H243" s="66">
        <v>0.166666666666667</v>
      </c>
      <c r="I243" s="66">
        <v>1</v>
      </c>
      <c r="J243" s="65"/>
    </row>
    <row r="244" customHeight="1" spans="1:10">
      <c r="A244" s="64"/>
      <c r="B244" s="65"/>
      <c r="C244" s="65" t="s">
        <v>188</v>
      </c>
      <c r="D244" s="65">
        <v>31</v>
      </c>
      <c r="E244" s="65">
        <v>24</v>
      </c>
      <c r="F244" s="65">
        <v>744</v>
      </c>
      <c r="G244" s="65">
        <v>124</v>
      </c>
      <c r="H244" s="66">
        <v>0.166666666666667</v>
      </c>
      <c r="I244" s="66">
        <v>1</v>
      </c>
      <c r="J244" s="65"/>
    </row>
    <row r="245" customHeight="1" spans="1:10">
      <c r="A245" s="64"/>
      <c r="B245" s="64" t="s">
        <v>255</v>
      </c>
      <c r="C245" s="65" t="s">
        <v>180</v>
      </c>
      <c r="D245" s="65">
        <v>31</v>
      </c>
      <c r="E245" s="65">
        <v>24</v>
      </c>
      <c r="F245" s="65">
        <v>744</v>
      </c>
      <c r="G245" s="65">
        <v>8</v>
      </c>
      <c r="H245" s="66">
        <v>0.010752688172043</v>
      </c>
      <c r="I245" s="66">
        <v>1</v>
      </c>
      <c r="J245" s="65"/>
    </row>
    <row r="246" customHeight="1" spans="1:10">
      <c r="A246" s="64"/>
      <c r="B246" s="65"/>
      <c r="C246" s="65" t="s">
        <v>181</v>
      </c>
      <c r="D246" s="65">
        <v>31</v>
      </c>
      <c r="E246" s="65">
        <v>24</v>
      </c>
      <c r="F246" s="65">
        <v>744</v>
      </c>
      <c r="G246" s="65">
        <v>47</v>
      </c>
      <c r="H246" s="66">
        <v>0.0631720430107527</v>
      </c>
      <c r="I246" s="66">
        <v>1</v>
      </c>
      <c r="J246" s="65"/>
    </row>
    <row r="247" customHeight="1" spans="1:10">
      <c r="A247" s="64"/>
      <c r="B247" s="65"/>
      <c r="C247" s="65" t="s">
        <v>187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/>
    </row>
    <row r="248" customHeight="1" spans="1:10">
      <c r="A248" s="64"/>
      <c r="B248" s="65"/>
      <c r="C248" s="65" t="s">
        <v>188</v>
      </c>
      <c r="D248" s="65">
        <v>31</v>
      </c>
      <c r="E248" s="65">
        <v>24</v>
      </c>
      <c r="F248" s="65">
        <v>744</v>
      </c>
      <c r="G248" s="65">
        <v>47</v>
      </c>
      <c r="H248" s="66">
        <v>0.0631720430107527</v>
      </c>
      <c r="I248" s="66">
        <v>1</v>
      </c>
      <c r="J248" s="65"/>
    </row>
    <row r="249" customHeight="1" spans="1:10">
      <c r="A249" s="64"/>
      <c r="B249" s="65"/>
      <c r="C249" s="65" t="s">
        <v>189</v>
      </c>
      <c r="D249" s="65">
        <v>31</v>
      </c>
      <c r="E249" s="65">
        <v>24</v>
      </c>
      <c r="F249" s="65">
        <v>744</v>
      </c>
      <c r="G249" s="65">
        <v>47</v>
      </c>
      <c r="H249" s="66">
        <v>0.0631720430107527</v>
      </c>
      <c r="I249" s="66">
        <v>1</v>
      </c>
      <c r="J249" s="65"/>
    </row>
    <row r="250" customHeight="1" spans="1:10">
      <c r="A250" s="64"/>
      <c r="B250" s="65"/>
      <c r="C250" s="65" t="s">
        <v>192</v>
      </c>
      <c r="D250" s="65">
        <v>31</v>
      </c>
      <c r="E250" s="65">
        <v>24</v>
      </c>
      <c r="F250" s="65">
        <v>744</v>
      </c>
      <c r="G250" s="65">
        <v>0</v>
      </c>
      <c r="H250" s="66">
        <v>0</v>
      </c>
      <c r="I250" s="66">
        <v>1</v>
      </c>
      <c r="J250" s="65"/>
    </row>
    <row r="251" customHeight="1" spans="1:10">
      <c r="A251" s="64"/>
      <c r="B251" s="64" t="s">
        <v>256</v>
      </c>
      <c r="C251" s="65" t="s">
        <v>180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181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187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5"/>
      <c r="C254" s="65" t="s">
        <v>188</v>
      </c>
      <c r="D254" s="65">
        <v>31</v>
      </c>
      <c r="E254" s="65">
        <v>24</v>
      </c>
      <c r="F254" s="65">
        <v>744</v>
      </c>
      <c r="G254" s="65">
        <v>0</v>
      </c>
      <c r="H254" s="66">
        <v>0</v>
      </c>
      <c r="I254" s="66">
        <v>1</v>
      </c>
      <c r="J254" s="65"/>
    </row>
    <row r="255" customHeight="1" spans="1:10">
      <c r="A255" s="64"/>
      <c r="B255" s="65"/>
      <c r="C255" s="65" t="s">
        <v>189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192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201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/>
    </row>
    <row r="258" customHeight="1" spans="1:10">
      <c r="A258" s="64"/>
      <c r="B258" s="65"/>
      <c r="C258" s="65" t="s">
        <v>202</v>
      </c>
      <c r="D258" s="65">
        <v>31</v>
      </c>
      <c r="E258" s="65">
        <v>24</v>
      </c>
      <c r="F258" s="65">
        <v>744</v>
      </c>
      <c r="G258" s="65">
        <v>0</v>
      </c>
      <c r="H258" s="66">
        <v>0</v>
      </c>
      <c r="I258" s="66">
        <v>1</v>
      </c>
      <c r="J258" s="65"/>
    </row>
    <row r="259" customHeight="1" spans="1:10">
      <c r="A259" s="64"/>
      <c r="B259" s="6" t="s">
        <v>257</v>
      </c>
      <c r="C259" s="65" t="s">
        <v>180</v>
      </c>
      <c r="D259" s="65">
        <v>31</v>
      </c>
      <c r="E259" s="65">
        <v>24</v>
      </c>
      <c r="F259" s="65">
        <v>744</v>
      </c>
      <c r="G259" s="65">
        <v>744</v>
      </c>
      <c r="H259" s="66">
        <v>1</v>
      </c>
      <c r="I259" s="66">
        <v>1</v>
      </c>
      <c r="J259" s="65" t="s">
        <v>258</v>
      </c>
    </row>
    <row r="260" customHeight="1" spans="1:10">
      <c r="A260" s="64"/>
      <c r="B260" s="5"/>
      <c r="C260" s="65" t="s">
        <v>181</v>
      </c>
      <c r="D260" s="65">
        <v>31</v>
      </c>
      <c r="E260" s="65">
        <v>24</v>
      </c>
      <c r="F260" s="65">
        <v>744</v>
      </c>
      <c r="G260" s="65">
        <v>744</v>
      </c>
      <c r="H260" s="66">
        <v>0.97</v>
      </c>
      <c r="I260" s="66">
        <v>1</v>
      </c>
      <c r="J260" s="65" t="s">
        <v>258</v>
      </c>
    </row>
    <row r="261" customHeight="1" spans="1:10">
      <c r="A261" s="64"/>
      <c r="B261" s="5"/>
      <c r="C261" s="65" t="s">
        <v>187</v>
      </c>
      <c r="D261" s="65">
        <v>31</v>
      </c>
      <c r="E261" s="65">
        <v>24</v>
      </c>
      <c r="F261" s="65">
        <v>744</v>
      </c>
      <c r="G261" s="65">
        <v>0</v>
      </c>
      <c r="H261" s="66">
        <v>0</v>
      </c>
      <c r="I261" s="66">
        <v>1</v>
      </c>
      <c r="J261" s="65" t="s">
        <v>258</v>
      </c>
    </row>
    <row r="262" customHeight="1" spans="1:10">
      <c r="A262" s="64"/>
      <c r="B262" s="6" t="s">
        <v>259</v>
      </c>
      <c r="C262" s="65" t="s">
        <v>180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181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187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/>
    </row>
    <row r="265" customHeight="1" spans="1:10">
      <c r="A265" s="64"/>
      <c r="B265" s="5"/>
      <c r="C265" s="65" t="s">
        <v>188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189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ht="19" customHeight="1" spans="1:10">
      <c r="A267" s="67" t="s">
        <v>71</v>
      </c>
      <c r="B267" s="67"/>
      <c r="C267" s="15"/>
      <c r="D267" s="15"/>
      <c r="E267" s="68" t="s">
        <v>72</v>
      </c>
      <c r="F267" s="68"/>
      <c r="G267" s="69"/>
      <c r="H267" s="10" t="str">
        <f>H38</f>
        <v>制表时间：2022/11/4</v>
      </c>
      <c r="I267" s="10"/>
      <c r="J267" s="10"/>
    </row>
    <row r="268" ht="19" customHeight="1" spans="1:10">
      <c r="A268" s="90"/>
      <c r="B268" s="90"/>
      <c r="C268" s="15"/>
      <c r="D268" s="15"/>
      <c r="E268" s="91"/>
      <c r="F268" s="91"/>
      <c r="G268" s="92"/>
      <c r="H268" s="15"/>
      <c r="I268" s="15"/>
      <c r="J268" s="15"/>
    </row>
    <row r="269" ht="17" customHeight="1" spans="1:10">
      <c r="A269" s="57" t="s">
        <v>163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44835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164</v>
      </c>
      <c r="B271" s="6" t="s">
        <v>165</v>
      </c>
      <c r="C271" s="6" t="s">
        <v>166</v>
      </c>
      <c r="D271" s="6" t="s">
        <v>167</v>
      </c>
      <c r="E271" s="60" t="s">
        <v>168</v>
      </c>
      <c r="F271" s="60" t="s">
        <v>169</v>
      </c>
      <c r="G271" s="61" t="s">
        <v>170</v>
      </c>
      <c r="H271" s="62" t="s">
        <v>171</v>
      </c>
      <c r="I271" s="60" t="s">
        <v>172</v>
      </c>
      <c r="J271" s="6" t="s">
        <v>173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174</v>
      </c>
      <c r="E273" s="60" t="s">
        <v>175</v>
      </c>
      <c r="F273" s="60" t="s">
        <v>176</v>
      </c>
      <c r="G273" s="61" t="s">
        <v>176</v>
      </c>
      <c r="H273" s="62" t="s">
        <v>177</v>
      </c>
      <c r="I273" s="60" t="s">
        <v>177</v>
      </c>
      <c r="J273" s="6"/>
    </row>
    <row r="274" customHeight="1" spans="1:10">
      <c r="A274" s="64" t="s">
        <v>248</v>
      </c>
      <c r="B274" s="64" t="s">
        <v>259</v>
      </c>
      <c r="C274" s="65" t="s">
        <v>192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201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202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/>
    </row>
    <row r="277" customHeight="1" spans="1:10">
      <c r="A277" s="65"/>
      <c r="B277" s="64" t="s">
        <v>260</v>
      </c>
      <c r="C277" s="65" t="s">
        <v>203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204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ht="17" customHeight="1" spans="1:10">
      <c r="A279" s="65"/>
      <c r="B279" s="65"/>
      <c r="C279" s="65" t="s">
        <v>205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206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207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208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209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210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/>
    </row>
    <row r="285" customHeight="1" spans="1:10">
      <c r="A285" s="65"/>
      <c r="B285" s="65" t="s">
        <v>261</v>
      </c>
      <c r="C285" s="65" t="s">
        <v>180</v>
      </c>
      <c r="D285" s="65">
        <v>31</v>
      </c>
      <c r="E285" s="65">
        <v>24</v>
      </c>
      <c r="F285" s="65">
        <v>744</v>
      </c>
      <c r="G285" s="65">
        <v>48</v>
      </c>
      <c r="H285" s="66">
        <v>0.0645161290322581</v>
      </c>
      <c r="I285" s="66">
        <v>1</v>
      </c>
      <c r="J285" s="65" t="s">
        <v>262</v>
      </c>
    </row>
    <row r="286" customHeight="1" spans="1:10">
      <c r="A286" s="65"/>
      <c r="B286" s="65"/>
      <c r="C286" s="65" t="s">
        <v>181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 t="s">
        <v>262</v>
      </c>
    </row>
    <row r="287" customHeight="1" spans="1:10">
      <c r="A287" s="65"/>
      <c r="B287" s="65"/>
      <c r="C287" s="65" t="s">
        <v>187</v>
      </c>
      <c r="D287" s="65">
        <v>31</v>
      </c>
      <c r="E287" s="65">
        <v>24</v>
      </c>
      <c r="F287" s="65">
        <v>744</v>
      </c>
      <c r="G287" s="65">
        <v>46.5</v>
      </c>
      <c r="H287" s="66">
        <v>0.0625</v>
      </c>
      <c r="I287" s="66">
        <v>1</v>
      </c>
      <c r="J287" s="65" t="s">
        <v>262</v>
      </c>
    </row>
    <row r="288" customHeight="1" spans="1:10">
      <c r="A288" s="65"/>
      <c r="B288" s="65" t="s">
        <v>263</v>
      </c>
      <c r="C288" s="65" t="s">
        <v>180</v>
      </c>
      <c r="D288" s="65">
        <v>31</v>
      </c>
      <c r="E288" s="65">
        <v>24</v>
      </c>
      <c r="F288" s="65">
        <v>744</v>
      </c>
      <c r="G288" s="65">
        <v>37.8</v>
      </c>
      <c r="H288" s="66">
        <v>0.0508064516129032</v>
      </c>
      <c r="I288" s="66">
        <v>1</v>
      </c>
      <c r="J288" s="65" t="s">
        <v>262</v>
      </c>
    </row>
    <row r="289" customHeight="1" spans="1:10">
      <c r="A289" s="65"/>
      <c r="B289" s="65"/>
      <c r="C289" s="65" t="s">
        <v>181</v>
      </c>
      <c r="D289" s="65">
        <v>31</v>
      </c>
      <c r="E289" s="65">
        <v>24</v>
      </c>
      <c r="F289" s="65">
        <v>744</v>
      </c>
      <c r="G289" s="65">
        <v>34.5</v>
      </c>
      <c r="H289" s="66">
        <v>0.0463709677419355</v>
      </c>
      <c r="I289" s="66">
        <v>1</v>
      </c>
      <c r="J289" s="65" t="s">
        <v>262</v>
      </c>
    </row>
    <row r="290" customHeight="1" spans="1:10">
      <c r="A290" s="65"/>
      <c r="B290" s="65"/>
      <c r="C290" s="65" t="s">
        <v>187</v>
      </c>
      <c r="D290" s="65">
        <v>31</v>
      </c>
      <c r="E290" s="65">
        <v>24</v>
      </c>
      <c r="F290" s="65">
        <v>744</v>
      </c>
      <c r="G290" s="65">
        <v>35.6</v>
      </c>
      <c r="H290" s="66">
        <v>0.0478494623655914</v>
      </c>
      <c r="I290" s="66">
        <v>1</v>
      </c>
      <c r="J290" s="65" t="s">
        <v>262</v>
      </c>
    </row>
    <row r="291" ht="17" customHeight="1" spans="1:10">
      <c r="A291" s="64" t="s">
        <v>264</v>
      </c>
      <c r="B291" s="80" t="s">
        <v>265</v>
      </c>
      <c r="C291" s="65" t="s">
        <v>180</v>
      </c>
      <c r="D291" s="65">
        <v>31</v>
      </c>
      <c r="E291" s="65">
        <v>24</v>
      </c>
      <c r="F291" s="65">
        <v>744</v>
      </c>
      <c r="G291" s="65">
        <v>738</v>
      </c>
      <c r="H291" s="66">
        <v>0.991935483870968</v>
      </c>
      <c r="I291" s="66">
        <v>1</v>
      </c>
      <c r="J291" s="65"/>
    </row>
    <row r="292" customHeight="1" spans="1:10">
      <c r="A292" s="65"/>
      <c r="B292" s="82"/>
      <c r="C292" s="65" t="s">
        <v>181</v>
      </c>
      <c r="D292" s="65">
        <v>31</v>
      </c>
      <c r="E292" s="65">
        <v>24</v>
      </c>
      <c r="F292" s="65">
        <v>744</v>
      </c>
      <c r="G292" s="65">
        <v>738</v>
      </c>
      <c r="H292" s="66">
        <v>0.991935483870968</v>
      </c>
      <c r="I292" s="66">
        <v>1</v>
      </c>
      <c r="J292" s="65"/>
    </row>
    <row r="293" customHeight="1" spans="1:10">
      <c r="A293" s="65"/>
      <c r="B293" s="82"/>
      <c r="C293" s="65" t="s">
        <v>187</v>
      </c>
      <c r="D293" s="65">
        <v>31</v>
      </c>
      <c r="E293" s="65">
        <v>24</v>
      </c>
      <c r="F293" s="65">
        <v>744</v>
      </c>
      <c r="G293" s="65">
        <v>738</v>
      </c>
      <c r="H293" s="66">
        <v>0.991935483870968</v>
      </c>
      <c r="I293" s="66">
        <v>0.99</v>
      </c>
      <c r="J293" s="65" t="s">
        <v>266</v>
      </c>
    </row>
    <row r="294" customHeight="1" spans="1:10">
      <c r="A294" s="65"/>
      <c r="B294" s="82"/>
      <c r="C294" s="65" t="s">
        <v>188</v>
      </c>
      <c r="D294" s="65">
        <v>31</v>
      </c>
      <c r="E294" s="65">
        <v>24</v>
      </c>
      <c r="F294" s="65">
        <v>744</v>
      </c>
      <c r="G294" s="65">
        <v>738</v>
      </c>
      <c r="H294" s="66">
        <v>0.991935483870968</v>
      </c>
      <c r="I294" s="66">
        <v>1</v>
      </c>
      <c r="J294" s="65"/>
    </row>
    <row r="295" customHeight="1" spans="1:10">
      <c r="A295" s="65"/>
      <c r="B295" s="82"/>
      <c r="C295" s="65" t="s">
        <v>189</v>
      </c>
      <c r="D295" s="65">
        <v>31</v>
      </c>
      <c r="E295" s="65">
        <v>24</v>
      </c>
      <c r="F295" s="65">
        <v>744</v>
      </c>
      <c r="G295" s="65">
        <v>738</v>
      </c>
      <c r="H295" s="66">
        <v>0.991935483870968</v>
      </c>
      <c r="I295" s="66">
        <v>1</v>
      </c>
      <c r="J295" s="65"/>
    </row>
    <row r="296" customHeight="1" spans="1:10">
      <c r="A296" s="65"/>
      <c r="B296" s="82"/>
      <c r="C296" s="65" t="s">
        <v>192</v>
      </c>
      <c r="D296" s="65">
        <v>31</v>
      </c>
      <c r="E296" s="65">
        <v>24</v>
      </c>
      <c r="F296" s="65">
        <v>744</v>
      </c>
      <c r="G296" s="65">
        <v>0</v>
      </c>
      <c r="H296" s="66">
        <v>0</v>
      </c>
      <c r="I296" s="66">
        <v>1</v>
      </c>
      <c r="J296" s="65"/>
    </row>
    <row r="297" customHeight="1" spans="1:10">
      <c r="A297" s="65"/>
      <c r="B297" s="82"/>
      <c r="C297" s="65" t="s">
        <v>201</v>
      </c>
      <c r="D297" s="65">
        <v>31</v>
      </c>
      <c r="E297" s="65">
        <v>24</v>
      </c>
      <c r="F297" s="65">
        <v>744</v>
      </c>
      <c r="G297" s="65">
        <v>258</v>
      </c>
      <c r="H297" s="66">
        <v>0.346774193548387</v>
      </c>
      <c r="I297" s="66">
        <v>1</v>
      </c>
      <c r="J297" s="65"/>
    </row>
    <row r="298" customHeight="1" spans="1:10">
      <c r="A298" s="65"/>
      <c r="B298" s="84"/>
      <c r="C298" s="65" t="s">
        <v>202</v>
      </c>
      <c r="D298" s="65">
        <v>31</v>
      </c>
      <c r="E298" s="65">
        <v>24</v>
      </c>
      <c r="F298" s="65">
        <v>744</v>
      </c>
      <c r="G298" s="65">
        <v>174</v>
      </c>
      <c r="H298" s="66">
        <v>0.233870967741935</v>
      </c>
      <c r="I298" s="66">
        <v>1</v>
      </c>
      <c r="J298" s="65"/>
    </row>
    <row r="299" customHeight="1" spans="1:10">
      <c r="A299" s="65"/>
      <c r="B299" s="80" t="s">
        <v>267</v>
      </c>
      <c r="C299" s="65" t="s">
        <v>203</v>
      </c>
      <c r="D299" s="65">
        <v>31</v>
      </c>
      <c r="E299" s="65">
        <v>24</v>
      </c>
      <c r="F299" s="65">
        <v>744</v>
      </c>
      <c r="G299" s="65">
        <v>312</v>
      </c>
      <c r="H299" s="66">
        <v>0.419354838709677</v>
      </c>
      <c r="I299" s="66">
        <v>0.99</v>
      </c>
      <c r="J299" s="65" t="s">
        <v>268</v>
      </c>
    </row>
    <row r="300" customHeight="1" spans="1:10">
      <c r="A300" s="65"/>
      <c r="B300" s="82"/>
      <c r="C300" s="65" t="s">
        <v>204</v>
      </c>
      <c r="D300" s="65">
        <v>31</v>
      </c>
      <c r="E300" s="65">
        <v>24</v>
      </c>
      <c r="F300" s="65">
        <v>744</v>
      </c>
      <c r="G300" s="65">
        <v>134</v>
      </c>
      <c r="H300" s="66">
        <v>0.18010752688172</v>
      </c>
      <c r="I300" s="66">
        <v>1</v>
      </c>
      <c r="J300" s="65"/>
    </row>
    <row r="301" customHeight="1" spans="1:10">
      <c r="A301" s="65"/>
      <c r="B301" s="82"/>
      <c r="C301" s="65" t="s">
        <v>205</v>
      </c>
      <c r="D301" s="65">
        <v>31</v>
      </c>
      <c r="E301" s="65">
        <v>24</v>
      </c>
      <c r="F301" s="65">
        <v>744</v>
      </c>
      <c r="G301" s="65">
        <v>660</v>
      </c>
      <c r="H301" s="66">
        <v>0.887096774193548</v>
      </c>
      <c r="I301" s="66">
        <v>0.99</v>
      </c>
      <c r="J301" s="65" t="s">
        <v>269</v>
      </c>
    </row>
    <row r="302" customHeight="1" spans="1:10">
      <c r="A302" s="65"/>
      <c r="B302" s="82"/>
      <c r="C302" s="65" t="s">
        <v>206</v>
      </c>
      <c r="D302" s="65">
        <v>31</v>
      </c>
      <c r="E302" s="65">
        <v>24</v>
      </c>
      <c r="F302" s="65">
        <v>744</v>
      </c>
      <c r="G302" s="65">
        <v>712</v>
      </c>
      <c r="H302" s="66">
        <v>0.956989247311828</v>
      </c>
      <c r="I302" s="66">
        <v>0.99</v>
      </c>
      <c r="J302" s="65" t="s">
        <v>270</v>
      </c>
    </row>
    <row r="303" customHeight="1" spans="1:10">
      <c r="A303" s="65"/>
      <c r="B303" s="5" t="s">
        <v>271</v>
      </c>
      <c r="C303" s="65" t="s">
        <v>180</v>
      </c>
      <c r="D303" s="65">
        <v>31</v>
      </c>
      <c r="E303" s="65">
        <v>24</v>
      </c>
      <c r="F303" s="65">
        <v>744</v>
      </c>
      <c r="G303" s="65">
        <v>744</v>
      </c>
      <c r="H303" s="66">
        <v>1</v>
      </c>
      <c r="I303" s="66">
        <v>1</v>
      </c>
      <c r="J303" s="65"/>
    </row>
    <row r="304" customHeight="1" spans="1:10">
      <c r="A304" s="65"/>
      <c r="B304" s="5"/>
      <c r="C304" s="65" t="s">
        <v>181</v>
      </c>
      <c r="D304" s="65">
        <v>31</v>
      </c>
      <c r="E304" s="65">
        <v>24</v>
      </c>
      <c r="F304" s="65">
        <v>744</v>
      </c>
      <c r="G304" s="65">
        <v>742</v>
      </c>
      <c r="H304" s="66">
        <v>0.99</v>
      </c>
      <c r="I304" s="66">
        <v>1</v>
      </c>
      <c r="J304" s="65"/>
    </row>
    <row r="305" customHeight="1" spans="1:10">
      <c r="A305" s="65"/>
      <c r="B305" s="5"/>
      <c r="C305" s="65" t="s">
        <v>187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4" t="s">
        <v>272</v>
      </c>
      <c r="B306" s="65" t="s">
        <v>273</v>
      </c>
      <c r="C306" s="65" t="s">
        <v>180</v>
      </c>
      <c r="D306" s="65">
        <v>31</v>
      </c>
      <c r="E306" s="65">
        <v>24</v>
      </c>
      <c r="F306" s="65">
        <v>744</v>
      </c>
      <c r="G306" s="65">
        <v>744</v>
      </c>
      <c r="H306" s="66">
        <v>1</v>
      </c>
      <c r="I306" s="66">
        <v>1</v>
      </c>
      <c r="J306" s="65"/>
    </row>
    <row r="307" customHeight="1" spans="1:10">
      <c r="A307" s="65"/>
      <c r="B307" s="65"/>
      <c r="C307" s="65" t="s">
        <v>181</v>
      </c>
      <c r="D307" s="65">
        <v>31</v>
      </c>
      <c r="E307" s="65">
        <v>24</v>
      </c>
      <c r="F307" s="65">
        <v>744</v>
      </c>
      <c r="G307" s="65">
        <v>744</v>
      </c>
      <c r="H307" s="66">
        <v>1</v>
      </c>
      <c r="I307" s="66">
        <v>1</v>
      </c>
      <c r="J307" s="65"/>
    </row>
    <row r="308" customHeight="1" spans="1:10">
      <c r="A308" s="65"/>
      <c r="B308" s="65" t="s">
        <v>274</v>
      </c>
      <c r="C308" s="65" t="s">
        <v>180</v>
      </c>
      <c r="D308" s="65">
        <v>31</v>
      </c>
      <c r="E308" s="65">
        <v>24</v>
      </c>
      <c r="F308" s="65">
        <v>744</v>
      </c>
      <c r="G308" s="65">
        <v>378</v>
      </c>
      <c r="H308" s="66">
        <v>0.508064516129032</v>
      </c>
      <c r="I308" s="66">
        <v>1</v>
      </c>
      <c r="J308" s="65"/>
    </row>
    <row r="309" customHeight="1" spans="1:10">
      <c r="A309" s="65"/>
      <c r="B309" s="65"/>
      <c r="C309" s="65" t="s">
        <v>181</v>
      </c>
      <c r="D309" s="65">
        <v>31</v>
      </c>
      <c r="E309" s="65">
        <v>24</v>
      </c>
      <c r="F309" s="65">
        <v>744</v>
      </c>
      <c r="G309" s="65">
        <v>434</v>
      </c>
      <c r="H309" s="66">
        <v>0.583333333333333</v>
      </c>
      <c r="I309" s="66">
        <v>1</v>
      </c>
      <c r="J309" s="65"/>
    </row>
    <row r="310" customHeight="1" spans="1:10">
      <c r="A310" s="65"/>
      <c r="B310" s="65"/>
      <c r="C310" s="65" t="s">
        <v>187</v>
      </c>
      <c r="D310" s="65">
        <v>31</v>
      </c>
      <c r="E310" s="65">
        <v>24</v>
      </c>
      <c r="F310" s="65">
        <v>744</v>
      </c>
      <c r="G310" s="65">
        <v>0</v>
      </c>
      <c r="H310" s="66">
        <v>0</v>
      </c>
      <c r="I310" s="66">
        <v>1</v>
      </c>
      <c r="J310" s="65"/>
    </row>
    <row r="311" ht="18" customHeight="1" spans="1:10">
      <c r="A311" s="65"/>
      <c r="B311" s="65" t="s">
        <v>275</v>
      </c>
      <c r="C311" s="65" t="s">
        <v>180</v>
      </c>
      <c r="D311" s="65">
        <v>31</v>
      </c>
      <c r="E311" s="65">
        <v>24</v>
      </c>
      <c r="F311" s="65">
        <v>744</v>
      </c>
      <c r="G311" s="65">
        <v>378</v>
      </c>
      <c r="H311" s="66">
        <v>0.508064516129032</v>
      </c>
      <c r="I311" s="66">
        <v>1</v>
      </c>
      <c r="J311" s="64" t="s">
        <v>276</v>
      </c>
    </row>
    <row r="312" ht="18" customHeight="1" spans="1:10">
      <c r="A312" s="65"/>
      <c r="B312" s="65"/>
      <c r="C312" s="65" t="s">
        <v>181</v>
      </c>
      <c r="D312" s="65">
        <v>31</v>
      </c>
      <c r="E312" s="65">
        <v>24</v>
      </c>
      <c r="F312" s="65">
        <v>744</v>
      </c>
      <c r="G312" s="65">
        <v>434</v>
      </c>
      <c r="H312" s="66">
        <v>0.583333333333333</v>
      </c>
      <c r="I312" s="66">
        <v>1</v>
      </c>
      <c r="J312" s="64" t="s">
        <v>277</v>
      </c>
    </row>
    <row r="313" ht="24" customHeight="1" spans="1:10">
      <c r="A313" s="67" t="s">
        <v>71</v>
      </c>
      <c r="B313" s="67"/>
      <c r="C313" s="15"/>
      <c r="D313" s="15"/>
      <c r="E313" s="68" t="s">
        <v>72</v>
      </c>
      <c r="F313" s="68"/>
      <c r="G313" s="69"/>
      <c r="H313" s="10" t="str">
        <f>H38</f>
        <v>制表时间：2022/11/4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9" workbookViewId="0">
      <selection activeCell="I32" sqref="I32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76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44835</v>
      </c>
      <c r="E2" s="33"/>
      <c r="F2" s="31"/>
    </row>
    <row r="3" ht="20.25" customHeight="1" spans="1:7">
      <c r="A3" s="34" t="s">
        <v>278</v>
      </c>
      <c r="B3" s="34" t="s">
        <v>166</v>
      </c>
      <c r="C3" s="34" t="s">
        <v>279</v>
      </c>
      <c r="D3" s="34" t="s">
        <v>280</v>
      </c>
      <c r="E3" s="34" t="s">
        <v>281</v>
      </c>
      <c r="F3" s="34" t="s">
        <v>282</v>
      </c>
      <c r="G3" s="35" t="s">
        <v>131</v>
      </c>
    </row>
    <row r="4" ht="22.5" spans="1:8">
      <c r="A4" s="36" t="s">
        <v>283</v>
      </c>
      <c r="B4" s="37" t="s">
        <v>284</v>
      </c>
      <c r="C4" s="37" t="s">
        <v>285</v>
      </c>
      <c r="D4" s="34" t="s">
        <v>286</v>
      </c>
      <c r="E4" s="34" t="s">
        <v>287</v>
      </c>
      <c r="F4" s="38" t="s">
        <v>288</v>
      </c>
      <c r="G4" s="39" t="s">
        <v>289</v>
      </c>
      <c r="H4" s="40"/>
    </row>
    <row r="5" ht="22.5" spans="1:7">
      <c r="A5" s="41"/>
      <c r="B5" s="37" t="s">
        <v>290</v>
      </c>
      <c r="C5" s="37" t="s">
        <v>285</v>
      </c>
      <c r="D5" s="34" t="s">
        <v>286</v>
      </c>
      <c r="E5" s="34" t="s">
        <v>287</v>
      </c>
      <c r="F5" s="34" t="s">
        <v>288</v>
      </c>
      <c r="G5" s="39" t="str">
        <f>G4</f>
        <v>2022-10-07 2022-10-14 2022-10-21 2022-10-28</v>
      </c>
    </row>
    <row r="6" ht="22.5" spans="1:7">
      <c r="A6" s="41"/>
      <c r="B6" s="37" t="s">
        <v>291</v>
      </c>
      <c r="C6" s="37" t="s">
        <v>285</v>
      </c>
      <c r="D6" s="34" t="s">
        <v>286</v>
      </c>
      <c r="E6" s="34" t="s">
        <v>287</v>
      </c>
      <c r="F6" s="34" t="s">
        <v>288</v>
      </c>
      <c r="G6" s="39" t="str">
        <f t="shared" ref="G6:G20" si="0">G5</f>
        <v>2022-10-07 2022-10-14 2022-10-21 2022-10-28</v>
      </c>
    </row>
    <row r="7" ht="22.5" spans="1:7">
      <c r="A7" s="42"/>
      <c r="B7" s="37" t="s">
        <v>292</v>
      </c>
      <c r="C7" s="37" t="s">
        <v>285</v>
      </c>
      <c r="D7" s="34" t="s">
        <v>286</v>
      </c>
      <c r="E7" s="34" t="s">
        <v>287</v>
      </c>
      <c r="F7" s="34" t="s">
        <v>288</v>
      </c>
      <c r="G7" s="39" t="str">
        <f t="shared" si="0"/>
        <v>2022-10-07 2022-10-14 2022-10-21 2022-10-28</v>
      </c>
    </row>
    <row r="8" ht="22.5" spans="1:7">
      <c r="A8" s="36" t="s">
        <v>293</v>
      </c>
      <c r="B8" s="37" t="s">
        <v>284</v>
      </c>
      <c r="C8" s="37" t="s">
        <v>294</v>
      </c>
      <c r="D8" s="34" t="s">
        <v>286</v>
      </c>
      <c r="E8" s="34" t="s">
        <v>287</v>
      </c>
      <c r="F8" s="34" t="s">
        <v>288</v>
      </c>
      <c r="G8" s="39" t="str">
        <f t="shared" si="0"/>
        <v>2022-10-07 2022-10-14 2022-10-21 2022-10-28</v>
      </c>
    </row>
    <row r="9" ht="22.5" spans="1:7">
      <c r="A9" s="41"/>
      <c r="B9" s="37" t="s">
        <v>290</v>
      </c>
      <c r="C9" s="37" t="s">
        <v>294</v>
      </c>
      <c r="D9" s="34" t="s">
        <v>286</v>
      </c>
      <c r="E9" s="34" t="s">
        <v>287</v>
      </c>
      <c r="F9" s="34" t="s">
        <v>288</v>
      </c>
      <c r="G9" s="39" t="str">
        <f t="shared" si="0"/>
        <v>2022-10-07 2022-10-14 2022-10-21 2022-10-28</v>
      </c>
    </row>
    <row r="10" ht="22.5" spans="1:7">
      <c r="A10" s="41"/>
      <c r="B10" s="37" t="s">
        <v>291</v>
      </c>
      <c r="C10" s="37" t="s">
        <v>294</v>
      </c>
      <c r="D10" s="34" t="s">
        <v>286</v>
      </c>
      <c r="E10" s="34" t="s">
        <v>287</v>
      </c>
      <c r="F10" s="34" t="s">
        <v>288</v>
      </c>
      <c r="G10" s="39" t="str">
        <f t="shared" si="0"/>
        <v>2022-10-07 2022-10-14 2022-10-21 2022-10-28</v>
      </c>
    </row>
    <row r="11" ht="22.5" spans="1:7">
      <c r="A11" s="42"/>
      <c r="B11" s="37" t="s">
        <v>292</v>
      </c>
      <c r="C11" s="37" t="s">
        <v>294</v>
      </c>
      <c r="D11" s="34" t="s">
        <v>286</v>
      </c>
      <c r="E11" s="34" t="s">
        <v>287</v>
      </c>
      <c r="F11" s="34" t="s">
        <v>288</v>
      </c>
      <c r="G11" s="39" t="str">
        <f t="shared" si="0"/>
        <v>2022-10-07 2022-10-14 2022-10-21 2022-10-28</v>
      </c>
    </row>
    <row r="12" ht="24" customHeight="1" spans="1:7">
      <c r="A12" s="37" t="s">
        <v>295</v>
      </c>
      <c r="B12" s="37" t="s">
        <v>180</v>
      </c>
      <c r="C12" s="34" t="s">
        <v>296</v>
      </c>
      <c r="D12" s="34" t="s">
        <v>297</v>
      </c>
      <c r="E12" s="34" t="s">
        <v>287</v>
      </c>
      <c r="F12" s="34" t="s">
        <v>298</v>
      </c>
      <c r="G12" s="39" t="str">
        <f t="shared" si="0"/>
        <v>2022-10-07 2022-10-14 2022-10-21 2022-10-28</v>
      </c>
    </row>
    <row r="13" ht="22.5" spans="1:7">
      <c r="A13" s="36" t="s">
        <v>299</v>
      </c>
      <c r="B13" s="37" t="s">
        <v>284</v>
      </c>
      <c r="C13" s="34" t="s">
        <v>300</v>
      </c>
      <c r="D13" s="34" t="s">
        <v>301</v>
      </c>
      <c r="E13" s="34" t="s">
        <v>287</v>
      </c>
      <c r="F13" s="34" t="s">
        <v>288</v>
      </c>
      <c r="G13" s="39" t="str">
        <f t="shared" si="0"/>
        <v>2022-10-07 2022-10-14 2022-10-21 2022-10-28</v>
      </c>
    </row>
    <row r="14" ht="22.5" spans="1:7">
      <c r="A14" s="41"/>
      <c r="B14" s="37" t="s">
        <v>290</v>
      </c>
      <c r="C14" s="34" t="s">
        <v>300</v>
      </c>
      <c r="D14" s="34" t="s">
        <v>301</v>
      </c>
      <c r="E14" s="34" t="s">
        <v>287</v>
      </c>
      <c r="F14" s="34" t="s">
        <v>288</v>
      </c>
      <c r="G14" s="39" t="str">
        <f t="shared" si="0"/>
        <v>2022-10-07 2022-10-14 2022-10-21 2022-10-28</v>
      </c>
    </row>
    <row r="15" ht="22.5" spans="1:7">
      <c r="A15" s="41"/>
      <c r="B15" s="37" t="s">
        <v>291</v>
      </c>
      <c r="C15" s="34" t="s">
        <v>300</v>
      </c>
      <c r="D15" s="34" t="s">
        <v>301</v>
      </c>
      <c r="E15" s="34" t="s">
        <v>287</v>
      </c>
      <c r="F15" s="34" t="s">
        <v>288</v>
      </c>
      <c r="G15" s="39" t="str">
        <f t="shared" si="0"/>
        <v>2022-10-07 2022-10-14 2022-10-21 2022-10-28</v>
      </c>
    </row>
    <row r="16" ht="22.5" spans="1:7">
      <c r="A16" s="42"/>
      <c r="B16" s="37" t="s">
        <v>292</v>
      </c>
      <c r="C16" s="34" t="s">
        <v>300</v>
      </c>
      <c r="D16" s="34" t="s">
        <v>301</v>
      </c>
      <c r="E16" s="34" t="s">
        <v>287</v>
      </c>
      <c r="F16" s="34" t="s">
        <v>288</v>
      </c>
      <c r="G16" s="39" t="str">
        <f t="shared" si="0"/>
        <v>2022-10-07 2022-10-14 2022-10-21 2022-10-28</v>
      </c>
    </row>
    <row r="17" ht="22.5" spans="1:7">
      <c r="A17" s="34" t="s">
        <v>302</v>
      </c>
      <c r="B17" s="37" t="s">
        <v>284</v>
      </c>
      <c r="C17" s="34" t="s">
        <v>303</v>
      </c>
      <c r="D17" s="34" t="s">
        <v>301</v>
      </c>
      <c r="E17" s="34" t="s">
        <v>287</v>
      </c>
      <c r="F17" s="34" t="s">
        <v>288</v>
      </c>
      <c r="G17" s="39" t="str">
        <f t="shared" si="0"/>
        <v>2022-10-07 2022-10-14 2022-10-21 2022-10-28</v>
      </c>
    </row>
    <row r="18" ht="22.5" spans="1:7">
      <c r="A18" s="34"/>
      <c r="B18" s="37" t="s">
        <v>290</v>
      </c>
      <c r="C18" s="37" t="s">
        <v>294</v>
      </c>
      <c r="D18" s="34" t="s">
        <v>301</v>
      </c>
      <c r="E18" s="34" t="s">
        <v>287</v>
      </c>
      <c r="F18" s="34" t="s">
        <v>288</v>
      </c>
      <c r="G18" s="39" t="str">
        <f t="shared" si="0"/>
        <v>2022-10-07 2022-10-14 2022-10-21 2022-10-28</v>
      </c>
    </row>
    <row r="19" ht="22.5" spans="1:7">
      <c r="A19" s="34"/>
      <c r="B19" s="37" t="s">
        <v>291</v>
      </c>
      <c r="C19" s="34" t="s">
        <v>303</v>
      </c>
      <c r="D19" s="34" t="s">
        <v>301</v>
      </c>
      <c r="E19" s="34" t="s">
        <v>287</v>
      </c>
      <c r="F19" s="34" t="s">
        <v>288</v>
      </c>
      <c r="G19" s="39" t="str">
        <f t="shared" si="0"/>
        <v>2022-10-07 2022-10-14 2022-10-21 2022-10-28</v>
      </c>
    </row>
    <row r="20" ht="22.5" spans="1:7">
      <c r="A20" s="34"/>
      <c r="B20" s="37" t="s">
        <v>292</v>
      </c>
      <c r="C20" s="37" t="s">
        <v>294</v>
      </c>
      <c r="D20" s="34" t="s">
        <v>301</v>
      </c>
      <c r="E20" s="34" t="s">
        <v>287</v>
      </c>
      <c r="F20" s="34" t="s">
        <v>288</v>
      </c>
      <c r="G20" s="39" t="str">
        <f t="shared" si="0"/>
        <v>2022-10-07 2022-10-14 2022-10-21 2022-10-28</v>
      </c>
    </row>
    <row r="21" ht="20.25" customHeight="1" spans="1:7">
      <c r="A21" s="43" t="s">
        <v>71</v>
      </c>
      <c r="B21" s="43"/>
      <c r="C21" s="43"/>
      <c r="D21" s="43" t="s">
        <v>72</v>
      </c>
      <c r="E21" s="43"/>
      <c r="F21" s="43" t="s">
        <v>304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76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44835</v>
      </c>
      <c r="E26" s="50"/>
      <c r="F26" s="31"/>
    </row>
    <row r="27" ht="18.75" customHeight="1" spans="1:7">
      <c r="A27" s="34" t="s">
        <v>278</v>
      </c>
      <c r="B27" s="34" t="s">
        <v>166</v>
      </c>
      <c r="C27" s="34" t="s">
        <v>279</v>
      </c>
      <c r="D27" s="34" t="s">
        <v>280</v>
      </c>
      <c r="E27" s="34" t="s">
        <v>281</v>
      </c>
      <c r="F27" s="34" t="s">
        <v>282</v>
      </c>
      <c r="G27" s="34" t="s">
        <v>131</v>
      </c>
    </row>
    <row r="28" ht="19.5" customHeight="1" spans="1:7">
      <c r="A28" s="34" t="s">
        <v>305</v>
      </c>
      <c r="B28" s="51" t="s">
        <v>284</v>
      </c>
      <c r="C28" s="51" t="s">
        <v>294</v>
      </c>
      <c r="D28" s="34" t="s">
        <v>286</v>
      </c>
      <c r="E28" s="37" t="s">
        <v>287</v>
      </c>
      <c r="F28" s="34" t="s">
        <v>298</v>
      </c>
      <c r="G28" s="52">
        <v>44851</v>
      </c>
    </row>
    <row r="29" ht="19.5" customHeight="1" spans="1:7">
      <c r="A29" s="34"/>
      <c r="B29" s="51" t="s">
        <v>292</v>
      </c>
      <c r="C29" s="51" t="s">
        <v>294</v>
      </c>
      <c r="D29" s="34" t="s">
        <v>286</v>
      </c>
      <c r="E29" s="37" t="s">
        <v>287</v>
      </c>
      <c r="F29" s="34" t="s">
        <v>298</v>
      </c>
      <c r="G29" s="52">
        <f>G28</f>
        <v>44851</v>
      </c>
    </row>
    <row r="30" ht="19.5" customHeight="1" spans="1:7">
      <c r="A30" s="34" t="s">
        <v>306</v>
      </c>
      <c r="B30" s="51" t="s">
        <v>284</v>
      </c>
      <c r="C30" s="37" t="s">
        <v>296</v>
      </c>
      <c r="D30" s="34" t="s">
        <v>301</v>
      </c>
      <c r="E30" s="37" t="s">
        <v>287</v>
      </c>
      <c r="F30" s="34" t="s">
        <v>298</v>
      </c>
      <c r="G30" s="52">
        <f>G29</f>
        <v>44851</v>
      </c>
    </row>
    <row r="31" ht="19.5" customHeight="1" spans="1:7">
      <c r="A31" s="34"/>
      <c r="B31" s="51" t="s">
        <v>292</v>
      </c>
      <c r="C31" s="37" t="s">
        <v>296</v>
      </c>
      <c r="D31" s="34" t="s">
        <v>301</v>
      </c>
      <c r="E31" s="37" t="s">
        <v>287</v>
      </c>
      <c r="F31" s="34" t="s">
        <v>298</v>
      </c>
      <c r="G31" s="52">
        <f>G30</f>
        <v>44851</v>
      </c>
    </row>
    <row r="32" ht="20.25" customHeight="1" spans="1:7">
      <c r="A32" s="43" t="s">
        <v>71</v>
      </c>
      <c r="B32" s="43"/>
      <c r="C32" s="43"/>
      <c r="D32" s="43" t="s">
        <v>72</v>
      </c>
      <c r="E32" s="43"/>
      <c r="F32" s="43" t="str">
        <f>F21</f>
        <v>制表日期：2022/11/4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J17" sqref="J17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307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308</v>
      </c>
      <c r="B3" s="5"/>
      <c r="C3" s="5"/>
      <c r="D3" s="5"/>
      <c r="E3" s="5" t="s">
        <v>309</v>
      </c>
      <c r="F3" s="5"/>
      <c r="G3" s="5"/>
      <c r="H3" s="5"/>
      <c r="I3" s="3"/>
    </row>
    <row r="4" customHeight="1" spans="1:9">
      <c r="A4" s="5" t="s">
        <v>310</v>
      </c>
      <c r="B4" s="5"/>
      <c r="C4" s="5"/>
      <c r="D4" s="5"/>
      <c r="E4" s="5" t="s">
        <v>311</v>
      </c>
      <c r="F4" s="5"/>
      <c r="G4" s="5" t="s">
        <v>312</v>
      </c>
      <c r="H4" s="5"/>
      <c r="I4" s="25"/>
    </row>
    <row r="5" customHeight="1" spans="1:8">
      <c r="A5" s="5" t="s">
        <v>313</v>
      </c>
      <c r="B5" s="5" t="s">
        <v>314</v>
      </c>
      <c r="C5" s="5" t="s">
        <v>315</v>
      </c>
      <c r="D5" s="5" t="s">
        <v>316</v>
      </c>
      <c r="E5" s="5" t="s">
        <v>313</v>
      </c>
      <c r="F5" s="5" t="s">
        <v>314</v>
      </c>
      <c r="G5" s="5" t="s">
        <v>313</v>
      </c>
      <c r="H5" s="5" t="s">
        <v>316</v>
      </c>
    </row>
    <row r="6" customHeight="1" spans="1:15">
      <c r="A6" s="6" t="s">
        <v>317</v>
      </c>
      <c r="B6" s="7">
        <v>1.23</v>
      </c>
      <c r="C6" s="7">
        <v>6.53</v>
      </c>
      <c r="D6" s="7">
        <v>2.03</v>
      </c>
      <c r="E6" s="6" t="s">
        <v>317</v>
      </c>
      <c r="F6" s="7">
        <v>5.98</v>
      </c>
      <c r="G6" s="6" t="s">
        <v>317</v>
      </c>
      <c r="H6" s="7">
        <v>2.13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318</v>
      </c>
      <c r="B7" s="7">
        <v>2.38</v>
      </c>
      <c r="C7" s="7">
        <v>4.21</v>
      </c>
      <c r="D7" s="7">
        <v>1.25</v>
      </c>
      <c r="E7" s="6" t="s">
        <v>318</v>
      </c>
      <c r="F7" s="7">
        <v>5.52</v>
      </c>
      <c r="G7" s="6" t="s">
        <v>319</v>
      </c>
      <c r="H7" s="7">
        <v>2.58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319</v>
      </c>
      <c r="B8" s="7">
        <v>4.26</v>
      </c>
      <c r="C8" s="7">
        <v>2.18</v>
      </c>
      <c r="D8" s="7">
        <v>0.62</v>
      </c>
      <c r="E8" s="6" t="s">
        <v>319</v>
      </c>
      <c r="F8" s="7">
        <v>4.11</v>
      </c>
      <c r="G8" s="6" t="s">
        <v>320</v>
      </c>
      <c r="H8" s="7">
        <v>3.84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320</v>
      </c>
      <c r="B9" s="7">
        <v>6.33</v>
      </c>
      <c r="C9" s="7">
        <v>1.34</v>
      </c>
      <c r="D9" s="7">
        <v>0.33</v>
      </c>
      <c r="E9" s="6" t="s">
        <v>321</v>
      </c>
      <c r="F9" s="7">
        <v>2.54</v>
      </c>
      <c r="G9" s="6" t="s">
        <v>322</v>
      </c>
      <c r="H9" s="7">
        <v>4.98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323</v>
      </c>
      <c r="B10" s="9">
        <v>4424</v>
      </c>
      <c r="C10" s="10"/>
      <c r="D10" s="11"/>
      <c r="E10" s="6" t="s">
        <v>320</v>
      </c>
      <c r="F10" s="7">
        <v>1.83</v>
      </c>
      <c r="G10" s="5" t="s">
        <v>323</v>
      </c>
      <c r="H10" s="12">
        <v>3822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322</v>
      </c>
      <c r="F11" s="7">
        <v>1.12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323</v>
      </c>
      <c r="F12" s="5">
        <v>5244</v>
      </c>
      <c r="G12" s="5"/>
      <c r="H12" s="22"/>
      <c r="M12" s="26"/>
    </row>
    <row r="13" s="1" customFormat="1" customHeight="1" spans="1:14">
      <c r="A13" s="23" t="s">
        <v>71</v>
      </c>
      <c r="B13" s="23"/>
      <c r="C13" s="23"/>
      <c r="D13" s="23" t="s">
        <v>72</v>
      </c>
      <c r="E13" s="24"/>
      <c r="F13" s="24"/>
      <c r="G13" s="23" t="s">
        <v>304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2022-11-07T03:55:52Z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AC0587F76FD54565A1D1EFF08F6CA2B5</vt:lpwstr>
  </property>
</Properties>
</file>