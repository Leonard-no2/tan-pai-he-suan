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<sst xmlns="http://schemas.openxmlformats.org/spreadsheetml/2006/main" count="950" uniqueCount="324">
  <si>
    <t>常州市深水江边污水处理有限公司污水处理运行月报表</t>
  </si>
  <si>
    <t>2022年 7月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</si>
  <si>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</si>
  <si>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</si>
  <si>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</si>
  <si>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</si>
  <si>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</si>
  <si>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</si>
  <si>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</si>
  <si>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</si>
  <si>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</si>
  <si>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</si>
  <si>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</si>
  <si>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</si>
  <si>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</si>
  <si>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</si>
  <si>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</si>
  <si>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</si>
  <si>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</si>
  <si>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</si>
  <si>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</si>
  <si>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</si>
  <si>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</si>
  <si>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</si>
  <si>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</si>
  <si>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</si>
  <si>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</si>
  <si>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</si>
  <si>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</si>
  <si>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</si>
  <si>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</si>
  <si>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</si>
  <si>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</si>
  <si>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</si>
  <si>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</si>
  <si>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</si>
  <si>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</si>
  <si>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</si>
  <si>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</si>
  <si>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</si>
  <si>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</si>
  <si>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</si>
  <si>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</si>
  <si>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</si>
  <si>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</si>
  <si>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</si>
  <si>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</si>
  <si>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</si>
  <si>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</si>
  <si>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</si>
  <si>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</si>
  <si>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</si>
  <si>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</si>
  <si>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</si>
  <si>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</si>
  <si>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</si>
  <si>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</si>
  <si>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</si>
  <si>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阴</t>
  </si>
  <si>
    <t>排水承担</t>
  </si>
  <si>
    <t>总运费</t>
  </si>
  <si>
    <t>总单价</t>
  </si>
  <si>
    <t>核对</t>
  </si>
  <si>
    <t>絮凝剂</t>
  </si>
  <si>
    <t>用量（kg）</t>
  </si>
  <si>
    <t>雨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</si>
  <si>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</si>
  <si>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</si>
  <si>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</si>
  <si>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</si>
  <si>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</si>
  <si>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</si>
  <si>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</si>
  <si>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</si>
  <si>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</si>
  <si>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</si>
  <si>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</si>
  <si>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</si>
  <si>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</si>
  <si>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</si>
  <si>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</si>
  <si>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</si>
  <si>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</si>
  <si>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</si>
  <si>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</si>
  <si>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</si>
  <si>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</si>
  <si>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</si>
  <si>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</si>
  <si>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</si>
  <si>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</si>
  <si>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</si>
  <si>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</si>
  <si>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</si>
  <si>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</si>
  <si>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</si>
  <si>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</si>
  <si>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</si>
  <si>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</si>
  <si>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</si>
  <si>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</si>
  <si>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</si>
  <si>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</si>
  <si>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</si>
  <si>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</si>
  <si>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</si>
  <si>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</si>
  <si>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</si>
  <si>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</si>
  <si>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</si>
  <si>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</si>
  <si>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</si>
  <si>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</si>
  <si>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</si>
  <si>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</si>
  <si>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</si>
  <si>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</si>
  <si>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</si>
  <si>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</si>
  <si>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</si>
  <si>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</si>
  <si>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</si>
  <si>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</si>
  <si>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</si>
  <si>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</si>
  <si>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</si>
  <si>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</si>
  <si>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</si>
  <si>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</si>
  <si>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</si>
  <si>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</si>
  <si>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</si>
  <si>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</si>
  <si>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本月产生泥饼4322.56吨，其中运往常州市英科环境科技有限公司2679.10吨，国电常州发电有限公司1613.46吨，外运接种30.00吨：天合光能股份有限公司硅片分公司15.00吨，江苏百思咖智能科技有限公司15.00吨。</t>
  </si>
  <si>
    <t>审核：                                               制表：                               制表日期：2022/8/3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</si>
  <si>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</si>
  <si>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</si>
  <si>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</si>
  <si>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</si>
  <si>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</si>
  <si>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</si>
  <si>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</si>
  <si>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</si>
  <si>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</si>
  <si>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</si>
  <si>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</si>
  <si>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</si>
  <si>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</si>
  <si>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</si>
  <si>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制表时间：2022/8/3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</si>
  <si>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</si>
  <si>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</si>
  <si>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</si>
  <si>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</si>
  <si>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</si>
  <si>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</si>
  <si>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</si>
  <si>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</si>
  <si>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</si>
  <si>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</si>
  <si>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</si>
  <si>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</si>
  <si>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</si>
  <si>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</si>
  <si>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</si>
  <si>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</si>
  <si>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</si>
  <si>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</si>
  <si>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</si>
  <si>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</si>
  <si>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</si>
  <si>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</si>
  <si>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</si>
  <si>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</si>
  <si>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</si>
  <si>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</si>
  <si>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</si>
  <si>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</si>
  <si>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</si>
  <si>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</si>
  <si>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</si>
  <si>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</si>
  <si>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</si>
  <si>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</si>
  <si>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</si>
  <si>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14-15日修理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</si>
  <si>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</si>
  <si>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</si>
  <si>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</si>
  <si>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</si>
  <si>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</si>
  <si>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</si>
  <si>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</si>
  <si>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</si>
  <si>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6日更换进风滤网</t>
  </si>
  <si>
    <t>13日更换进风滤网</t>
  </si>
  <si>
    <t>制表时间：2022/8/4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</si>
  <si>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</si>
  <si>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</si>
  <si>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</si>
  <si>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</si>
  <si>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</si>
  <si>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</si>
  <si>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</si>
  <si>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</si>
  <si>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</si>
  <si>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</si>
  <si>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</si>
  <si>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</si>
  <si>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</si>
  <si>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</si>
  <si>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</si>
  <si>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</si>
  <si>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</si>
  <si>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</si>
  <si>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</si>
  <si>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</si>
  <si>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</si>
  <si>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</si>
  <si>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</si>
  <si>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</si>
  <si>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</si>
  <si>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</si>
  <si>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</si>
  <si>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</si>
  <si>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</si>
  <si>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</si>
  <si>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</si>
  <si>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</si>
  <si>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</si>
  <si>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</si>
  <si>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</si>
  <si>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</si>
  <si>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</si>
  <si>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</si>
  <si>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</si>
  <si>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19日导轨坏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</si>
  <si>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</si>
  <si>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</si>
  <si>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</si>
  <si>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</si>
  <si>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</si>
  <si>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</si>
  <si>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</si>
  <si>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20日坏、22日吊出发外修理</t>
  </si>
  <si>
    <t>12日更换备用泵</t>
  </si>
  <si>
    <t>深
度
处
理</t>
  </si>
  <si>
    <t>三次
提升泵</t>
  </si>
  <si>
    <t>13日更换备用泵、14-19日软启动器修理</t>
  </si>
  <si>
    <t>高沉
刮泥机</t>
  </si>
  <si>
    <t>1日更换轴承</t>
  </si>
  <si>
    <t>1日更换蜗杆</t>
  </si>
  <si>
    <t>高沉池
絮凝搅拌器</t>
  </si>
  <si>
    <t>高沉池
混凝搅拌器</t>
  </si>
  <si>
    <t>高沉池
剩余污泥泵</t>
  </si>
  <si>
    <t>PAC
投加泵</t>
  </si>
  <si>
    <t>13日保养</t>
  </si>
  <si>
    <t>PAM
投加泵</t>
  </si>
  <si>
    <t>提标
空压机</t>
  </si>
  <si>
    <t>25日保养</t>
  </si>
  <si>
    <t>V型滤池
（南）</t>
  </si>
  <si>
    <t>V型滤池
（北）</t>
  </si>
  <si>
    <t>反冲洗泵</t>
  </si>
  <si>
    <t>26日保养</t>
  </si>
  <si>
    <t>反冲洗风机</t>
  </si>
  <si>
    <t>二
氧
化
氯
发
生
器
房</t>
  </si>
  <si>
    <t>欧泰华
二氧化氯
发生器</t>
  </si>
  <si>
    <t>山大华特
二氧化氯
发生器</t>
  </si>
  <si>
    <t>11日更换固态继电器</t>
  </si>
  <si>
    <t>27日更换温控探头</t>
  </si>
  <si>
    <t>19日修理</t>
  </si>
  <si>
    <t>增压水泵</t>
  </si>
  <si>
    <t>脱
水
机
房</t>
  </si>
  <si>
    <t>浓缩池刮泥机</t>
  </si>
  <si>
    <t>进泥泵</t>
  </si>
  <si>
    <t>29日保养</t>
  </si>
  <si>
    <t>脱水离心机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</si>
  <si>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</si>
  <si>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</si>
  <si>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</si>
  <si>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</si>
  <si>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</si>
  <si>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</si>
  <si>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</si>
  <si>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</si>
  <si>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</si>
  <si>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</si>
  <si>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</si>
  <si>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2022-07-06 2022-07-13 2022-07-20 2022-07-27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</si>
  <si>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</si>
  <si>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</si>
  <si>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</si>
  <si>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</si>
  <si>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</si>
  <si>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</si>
  <si>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</si>
  <si>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</si>
  <si>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</si>
  <si>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</si>
  <si>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</si>
  <si>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</si>
  <si>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</si>
  <si>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</si>
  <si>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制表日期：2022/8/3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</si>
  <si>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</si>
  <si>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</si>
  <si>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</si>
  <si>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</si>
  <si>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采样时间：2022-7-28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</si>
  <si>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</si>
  <si>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</si>
  <si>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</si>
  <si>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</si>
  <si>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</si>
  <si>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</si>
  <si>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</si>
  <si>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</si>
  <si>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</si>
  <si>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</si>
  <si>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</si>
  <si>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</si>
  <si>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</si>
  <si>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</si>
  <si>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制表日期：2022/8/4</t>
  </si>
</sst>
</file>

<file path=xl/styles.xml><?xml version="1.0" encoding="utf-8"?>
<styleSheet xmlns="http://schemas.openxmlformats.org/spreadsheetml/2006/main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_鰀"/>
    <numFmt numFmtId="177" formatCode="#,##0.00_ "/>
    <numFmt numFmtId="178" formatCode="0_);[Red]\(0\)"/>
    <numFmt numFmtId="179" formatCode="0.0_);[Red]\(0.0\)"/>
    <numFmt numFmtId="180" formatCode="0.00_);[Red]\(0.00\)"/>
    <numFmt numFmtId="181" formatCode="0.00_ "/>
    <numFmt numFmtId="182" formatCode="0_ "/>
    <numFmt numFmtId="183" formatCode="0.0000_);[Red]\(0.0000\)"/>
    <numFmt numFmtId="184" formatCode="yyyy&quot;年&quot;m&quot;月&quot;;@"/>
    <numFmt numFmtId="185" formatCode="yyyy/m/d;@"/>
    <numFmt numFmtId="186" formatCode="0;[Red]0"/>
    <numFmt numFmtId="187" formatCode="0.00;[Red]0.00"/>
    <numFmt numFmtId="188" formatCode="0.0_ "/>
    <numFmt numFmtId="189" formatCode="0.0_);\(0.0\)"/>
    <numFmt numFmtId="190" formatCode="0.0;[Red]0.0"/>
    <numFmt numFmtId="191" formatCode="0.0%"/>
    <numFmt numFmtId="192" formatCode="0.000_ "/>
    <numFmt numFmtId="193" formatCode="0;_䠀"/>
    <numFmt numFmtId="194" formatCode="0;_鰀"/>
    <numFmt numFmtId="195" formatCode="0;_ﰀ"/>
    <numFmt numFmtId="196" formatCode="0.00;_ﰀ"/>
    <numFmt numFmtId="197" formatCode="0.0;_ﰀ"/>
    <numFmt numFmtId="198" formatCode="0.000_);[Red]\(0.000\)"/>
    <numFmt numFmtId="199" formatCode="0.000;_鰀"/>
  </numFmts>
  <fonts count="56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3" fillId="4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5" fillId="1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1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3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3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33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0" fillId="0" borderId="0"/>
    <xf numFmtId="0" fontId="33" fillId="16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>
      <alignment vertical="top"/>
      <protection locked="0"/>
    </xf>
    <xf numFmtId="0" fontId="33" fillId="2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8" borderId="0">
      <alignment vertical="top"/>
      <protection locked="0"/>
    </xf>
    <xf numFmtId="0" fontId="3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3" fillId="0" borderId="0">
      <alignment vertical="center"/>
    </xf>
    <xf numFmtId="0" fontId="51" fillId="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3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1" fillId="5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/>
    <xf numFmtId="0" fontId="35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0" borderId="27" applyNumberFormat="0" applyFill="0" applyAlignment="0" applyProtection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7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7" borderId="20" applyNumberFormat="0" applyAlignment="0" applyProtection="0">
      <alignment vertical="center"/>
    </xf>
    <xf numFmtId="0" fontId="0" fillId="0" borderId="0"/>
    <xf numFmtId="0" fontId="36" fillId="7" borderId="20" applyNumberFormat="0" applyAlignment="0" applyProtection="0">
      <alignment vertical="center"/>
    </xf>
    <xf numFmtId="0" fontId="0" fillId="0" borderId="0"/>
    <xf numFmtId="0" fontId="0" fillId="0" borderId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47" fillId="9" borderId="25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36" fillId="7" borderId="20" applyNumberForma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</cellStyleXfs>
  <cellXfs count="3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2" fontId="5" fillId="0" borderId="0" xfId="0" applyNumberFormat="1" applyFont="1"/>
    <xf numFmtId="177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2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82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182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1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6" fontId="17" fillId="0" borderId="4" xfId="0" applyNumberFormat="1" applyFont="1" applyBorder="1" applyAlignment="1">
      <alignment vertical="center"/>
    </xf>
    <xf numFmtId="178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6" fontId="17" fillId="0" borderId="0" xfId="0" applyNumberFormat="1" applyFont="1" applyBorder="1" applyAlignment="1">
      <alignment vertical="center"/>
    </xf>
    <xf numFmtId="186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8" fontId="19" fillId="0" borderId="4" xfId="0" applyNumberFormat="1" applyFont="1" applyFill="1" applyBorder="1" applyAlignment="1">
      <alignment horizontal="center" vertical="center"/>
    </xf>
    <xf numFmtId="188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81" fontId="19" fillId="0" borderId="0" xfId="0" applyNumberFormat="1" applyFont="1" applyFill="1" applyAlignment="1">
      <alignment horizontal="center" vertical="center"/>
    </xf>
    <xf numFmtId="181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1" fontId="19" fillId="0" borderId="11" xfId="0" applyNumberFormat="1" applyFont="1" applyFill="1" applyBorder="1" applyAlignment="1">
      <alignment horizontal="center" vertical="center"/>
    </xf>
    <xf numFmtId="181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87" fontId="1" fillId="0" borderId="1" xfId="1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1" fontId="20" fillId="0" borderId="5" xfId="20" applyNumberFormat="1" applyFont="1" applyFill="1" applyBorder="1" applyAlignment="1">
      <alignment horizontal="center" vertical="center"/>
    </xf>
    <xf numFmtId="192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1" fontId="20" fillId="0" borderId="8" xfId="20" applyNumberFormat="1" applyFont="1" applyFill="1" applyBorder="1" applyAlignment="1">
      <alignment horizontal="center" vertical="center"/>
    </xf>
    <xf numFmtId="181" fontId="20" fillId="0" borderId="8" xfId="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1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6" fontId="0" fillId="0" borderId="0" xfId="0" applyNumberFormat="1"/>
    <xf numFmtId="191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182" fontId="9" fillId="0" borderId="9" xfId="0" applyNumberFormat="1" applyFont="1" applyBorder="1" applyAlignment="1">
      <alignment horizontal="center" vertical="center" wrapText="1"/>
    </xf>
    <xf numFmtId="188" fontId="9" fillId="0" borderId="9" xfId="0" applyNumberFormat="1" applyFont="1" applyBorder="1" applyAlignment="1">
      <alignment horizontal="center" vertical="center" wrapText="1"/>
    </xf>
    <xf numFmtId="194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2" fontId="9" fillId="0" borderId="1" xfId="492" applyNumberFormat="1" applyFont="1" applyBorder="1" applyAlignment="1">
      <alignment horizontal="center" vertical="center" wrapText="1"/>
    </xf>
    <xf numFmtId="181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8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81" fontId="9" fillId="0" borderId="13" xfId="0" applyNumberFormat="1" applyFont="1" applyBorder="1" applyAlignment="1">
      <alignment horizontal="center" vertical="center" wrapText="1"/>
    </xf>
    <xf numFmtId="181" fontId="9" fillId="0" borderId="14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2" fontId="0" fillId="0" borderId="0" xfId="0" applyNumberFormat="1" applyFont="1"/>
    <xf numFmtId="192" fontId="9" fillId="0" borderId="1" xfId="492" applyNumberFormat="1" applyFont="1" applyBorder="1" applyAlignment="1">
      <alignment horizontal="center" vertical="center" wrapText="1"/>
    </xf>
    <xf numFmtId="181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1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80" fontId="9" fillId="0" borderId="1" xfId="492" applyNumberFormat="1" applyFont="1" applyFill="1" applyBorder="1" applyAlignment="1">
      <alignment horizontal="center" vertical="center" wrapText="1"/>
    </xf>
    <xf numFmtId="177" fontId="9" fillId="0" borderId="0" xfId="0" applyNumberFormat="1" applyFont="1"/>
    <xf numFmtId="181" fontId="9" fillId="0" borderId="1" xfId="0" applyNumberFormat="1" applyFont="1" applyBorder="1" applyAlignment="1">
      <alignment horizontal="center" vertical="center"/>
    </xf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2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3" applyNumberFormat="1" applyFont="1" applyFill="1" applyBorder="1" applyAlignment="1">
      <alignment horizontal="center" vertical="center" wrapText="1"/>
    </xf>
    <xf numFmtId="176" fontId="1" fillId="0" borderId="1" xfId="343" applyNumberFormat="1" applyFont="1" applyFill="1" applyBorder="1" applyAlignment="1">
      <alignment horizontal="center" vertical="center" wrapText="1"/>
    </xf>
    <xf numFmtId="0" fontId="1" fillId="0" borderId="1" xfId="343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176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343" applyFont="1" applyFill="1" applyBorder="1" applyAlignment="1">
      <alignment horizontal="center" vertical="center" wrapText="1"/>
    </xf>
    <xf numFmtId="182" fontId="12" fillId="0" borderId="1" xfId="343" applyNumberFormat="1" applyFont="1" applyFill="1" applyBorder="1" applyAlignment="1">
      <alignment horizontal="center" vertical="center" wrapText="1"/>
    </xf>
    <xf numFmtId="180" fontId="1" fillId="0" borderId="1" xfId="343" applyNumberFormat="1" applyFont="1" applyFill="1" applyBorder="1" applyAlignment="1">
      <alignment horizontal="center" vertical="center" wrapText="1"/>
    </xf>
    <xf numFmtId="0" fontId="12" fillId="0" borderId="1" xfId="34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4" fontId="12" fillId="0" borderId="1" xfId="343" applyNumberFormat="1" applyFont="1" applyFill="1" applyBorder="1" applyAlignment="1">
      <alignment horizontal="center" vertical="center" wrapText="1"/>
    </xf>
    <xf numFmtId="194" fontId="12" fillId="0" borderId="1" xfId="508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80" fontId="2" fillId="0" borderId="0" xfId="485" applyNumberFormat="1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4" fontId="30" fillId="0" borderId="0" xfId="0" applyNumberFormat="1" applyFont="1" applyAlignment="1">
      <alignment horizontal="center" vertical="center"/>
    </xf>
    <xf numFmtId="0" fontId="30" fillId="0" borderId="0" xfId="485" applyFont="1" applyBorder="1" applyAlignment="1">
      <alignment horizontal="center" vertical="center"/>
    </xf>
    <xf numFmtId="183" fontId="2" fillId="0" borderId="0" xfId="485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81" fontId="31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31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94" fontId="1" fillId="0" borderId="1" xfId="508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176" fontId="28" fillId="0" borderId="0" xfId="2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9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85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/>
    <xf numFmtId="0" fontId="30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20% - 强调文字颜色 2 2 3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千位分隔 2" xfId="369"/>
    <cellStyle name="60% - 强调文字颜色 5 2 4" xfId="370"/>
    <cellStyle name="60% - 强调文字颜色 5 2 5" xfId="371"/>
    <cellStyle name="标题 4 2" xfId="372"/>
    <cellStyle name="汇总 2 2" xfId="373"/>
    <cellStyle name="60% - 强调文字颜色 5 2 6" xfId="374"/>
    <cellStyle name="标题 4 3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好_汇总二 3" xfId="381"/>
    <cellStyle name="60% - 强调文字颜色 6 2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检查单元格 2 6" xfId="387"/>
    <cellStyle name="60% - 强调文字颜色 6 4 2" xfId="388"/>
    <cellStyle name="60% - 强调文字颜色 6 5" xfId="389"/>
    <cellStyle name="差 4" xfId="390"/>
    <cellStyle name="百分比 2" xfId="391"/>
    <cellStyle name="常规 2 17" xfId="392"/>
    <cellStyle name="百分比 2 11 2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常规 2 11 2" xfId="558"/>
    <cellStyle name="强调文字颜色 3 4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tabSelected="1" zoomScale="85" zoomScaleNormal="85" workbookViewId="0">
      <selection activeCell="D14" sqref="D14"/>
    </sheetView>
  </sheetViews>
  <sheetFormatPr defaultColWidth="8.75" defaultRowHeight="14.25"/>
  <cols>
    <col min="1" max="1" width="3.75" style="3" customWidth="1"/>
    <col min="2" max="3" width="4.25" style="255" customWidth="1"/>
    <col min="4" max="4" width="7.8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6.60833333333333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 t="s">
        <v>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2</v>
      </c>
      <c r="B3" s="261" t="s">
        <v>3</v>
      </c>
      <c r="C3" s="261" t="s">
        <v>4</v>
      </c>
      <c r="D3" s="8" t="s">
        <v>5</v>
      </c>
      <c r="E3" s="5" t="s">
        <v>6</v>
      </c>
      <c r="F3" s="5"/>
      <c r="G3" s="5"/>
      <c r="H3" s="261" t="s">
        <v>7</v>
      </c>
      <c r="I3" s="261" t="s">
        <v>8</v>
      </c>
      <c r="J3" s="261" t="s">
        <v>9</v>
      </c>
      <c r="K3" s="261" t="s">
        <v>10</v>
      </c>
      <c r="L3" s="8" t="s">
        <v>11</v>
      </c>
      <c r="M3" s="261" t="s">
        <v>12</v>
      </c>
      <c r="N3" s="261" t="s">
        <v>13</v>
      </c>
      <c r="O3" s="5" t="s">
        <v>14</v>
      </c>
      <c r="P3" s="5"/>
      <c r="Q3" s="8" t="s">
        <v>15</v>
      </c>
      <c r="R3" s="8" t="s">
        <v>16</v>
      </c>
      <c r="T3" s="257" t="s">
        <v>17</v>
      </c>
      <c r="U3" s="257" t="s">
        <v>18</v>
      </c>
      <c r="W3" s="282" t="s">
        <v>19</v>
      </c>
      <c r="X3" s="282" t="s">
        <v>20</v>
      </c>
      <c r="Y3" s="282" t="s">
        <v>21</v>
      </c>
      <c r="Z3" s="282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2"/>
      <c r="B4" s="263" t="s">
        <v>30</v>
      </c>
      <c r="C4" s="263" t="s">
        <v>31</v>
      </c>
      <c r="D4" s="263"/>
      <c r="E4" s="263" t="s">
        <v>32</v>
      </c>
      <c r="F4" s="263" t="s">
        <v>33</v>
      </c>
      <c r="G4" s="263" t="s">
        <v>34</v>
      </c>
      <c r="H4" s="263" t="s">
        <v>35</v>
      </c>
      <c r="I4" s="263" t="s">
        <v>36</v>
      </c>
      <c r="J4" s="263" t="s">
        <v>37</v>
      </c>
      <c r="K4" s="263" t="s">
        <v>35</v>
      </c>
      <c r="L4" s="263"/>
      <c r="M4" s="263" t="s">
        <v>35</v>
      </c>
      <c r="N4" s="263" t="s">
        <v>35</v>
      </c>
      <c r="O4" s="263" t="s">
        <v>38</v>
      </c>
      <c r="P4" s="263" t="s">
        <v>39</v>
      </c>
      <c r="Q4" s="263"/>
      <c r="R4" s="263"/>
      <c r="T4" s="57" t="s">
        <v>40</v>
      </c>
      <c r="U4" s="283">
        <f>ROUND(J37*W4,2)</f>
        <v>1119370.3</v>
      </c>
      <c r="V4" s="283"/>
      <c r="W4" s="284">
        <v>0.67290068844737</v>
      </c>
      <c r="X4" s="285">
        <f>J36/R36</f>
        <v>0.269663904914906</v>
      </c>
      <c r="Y4" s="282">
        <v>0.67290068844737</v>
      </c>
      <c r="Z4" s="317">
        <v>44656</v>
      </c>
      <c r="AA4" s="318"/>
      <c r="AB4" s="3" t="s">
        <v>41</v>
      </c>
    </row>
    <row r="5" ht="18.6" customHeight="1" spans="1:38">
      <c r="A5" s="6">
        <v>1</v>
      </c>
      <c r="B5" s="264">
        <v>29</v>
      </c>
      <c r="C5" s="265" t="s">
        <v>42</v>
      </c>
      <c r="D5" s="266">
        <v>193669</v>
      </c>
      <c r="E5" s="267">
        <v>98.64</v>
      </c>
      <c r="F5" s="267">
        <v>0</v>
      </c>
      <c r="G5" s="267">
        <v>0</v>
      </c>
      <c r="H5" s="268">
        <v>100</v>
      </c>
      <c r="I5" s="6">
        <v>4710</v>
      </c>
      <c r="J5" s="274">
        <v>54700.0000000116</v>
      </c>
      <c r="K5" s="275">
        <v>120</v>
      </c>
      <c r="L5" s="275">
        <v>0</v>
      </c>
      <c r="M5" s="275">
        <v>1704</v>
      </c>
      <c r="N5" s="275">
        <v>624</v>
      </c>
      <c r="O5" s="276">
        <v>2.85</v>
      </c>
      <c r="P5" s="276">
        <v>0</v>
      </c>
      <c r="Q5" s="286">
        <v>5465</v>
      </c>
      <c r="R5" s="287">
        <f>D5-Q5</f>
        <v>188204</v>
      </c>
      <c r="S5" s="288"/>
      <c r="T5" s="289" t="s">
        <v>43</v>
      </c>
      <c r="U5" s="290">
        <f>H37*W5/1000</f>
        <v>133700</v>
      </c>
      <c r="V5" s="283"/>
      <c r="W5" s="291">
        <v>28000</v>
      </c>
      <c r="X5" s="283">
        <f>H36/R36*1000</f>
        <v>0.774057797396247</v>
      </c>
      <c r="Y5" s="282">
        <v>28150</v>
      </c>
      <c r="Z5" s="319">
        <v>44287</v>
      </c>
      <c r="AB5" s="320">
        <f>E5+F5+G5</f>
        <v>98.64</v>
      </c>
      <c r="AD5" s="3">
        <f>$W$9*K5/1000/R5</f>
        <v>0.00033538075705086</v>
      </c>
      <c r="AE5" s="3">
        <f>$W$5*H5/1000/R5</f>
        <v>0.0148774733799494</v>
      </c>
      <c r="AF5" s="3">
        <f>$W$6*L5/1000/R5</f>
        <v>0</v>
      </c>
      <c r="AG5" s="3">
        <f>$W$7*M5/1000/R5</f>
        <v>0.0040290323266243</v>
      </c>
      <c r="AH5" s="3">
        <f>$W$8*N5/1000/R5</f>
        <v>0.0179437631506238</v>
      </c>
      <c r="AI5" s="3">
        <f>AD5+AE5+AF5+AG5+AH5</f>
        <v>0.0371856496142484</v>
      </c>
      <c r="AK5" s="3">
        <f>AB5*(100-进出水!T7)/100</f>
        <v>21.50352</v>
      </c>
      <c r="AL5" s="3">
        <f>H5/AK5</f>
        <v>4.6504014226508</v>
      </c>
    </row>
    <row r="6" ht="18.6" customHeight="1" spans="1:38">
      <c r="A6" s="6">
        <v>2</v>
      </c>
      <c r="B6" s="264">
        <v>28.5</v>
      </c>
      <c r="C6" s="265" t="s">
        <v>42</v>
      </c>
      <c r="D6" s="266">
        <v>206476</v>
      </c>
      <c r="E6" s="267">
        <v>50.92</v>
      </c>
      <c r="F6" s="267">
        <v>32.42</v>
      </c>
      <c r="G6" s="267">
        <v>0</v>
      </c>
      <c r="H6" s="268">
        <v>125</v>
      </c>
      <c r="I6" s="6">
        <v>4414</v>
      </c>
      <c r="J6" s="274">
        <v>54899.9999999796</v>
      </c>
      <c r="K6" s="275">
        <v>120</v>
      </c>
      <c r="L6" s="275">
        <v>0</v>
      </c>
      <c r="M6" s="275">
        <v>1917</v>
      </c>
      <c r="N6" s="275">
        <v>696</v>
      </c>
      <c r="O6" s="276">
        <v>3.16</v>
      </c>
      <c r="P6" s="276">
        <v>0</v>
      </c>
      <c r="Q6" s="286">
        <v>5441</v>
      </c>
      <c r="R6" s="287">
        <f t="shared" ref="R6:R36" si="0">D6-Q6</f>
        <v>201035</v>
      </c>
      <c r="S6" s="288"/>
      <c r="T6" s="289" t="s">
        <v>44</v>
      </c>
      <c r="U6" s="290">
        <f>L37*W6/1000</f>
        <v>1160.64</v>
      </c>
      <c r="V6" s="283">
        <f>U5+U6</f>
        <v>134860.64</v>
      </c>
      <c r="W6" s="57">
        <v>10400</v>
      </c>
      <c r="X6" s="283">
        <f>L36/R36*1000</f>
        <v>0.0180910681024966</v>
      </c>
      <c r="Y6" s="282">
        <v>5784.76</v>
      </c>
      <c r="Z6" s="319">
        <v>44256</v>
      </c>
      <c r="AB6" s="320">
        <f t="shared" ref="AB6:AB35" si="1">E6+F6+G6</f>
        <v>83.34</v>
      </c>
      <c r="AD6" s="3">
        <f t="shared" ref="AD6:AD35" si="2">$W$9*K6/1000/R6</f>
        <v>0.000313975178451513</v>
      </c>
      <c r="AE6" s="3">
        <f t="shared" ref="AE6:AE35" si="3">$W$5*H6/1000/R6</f>
        <v>0.0174099037481036</v>
      </c>
      <c r="AF6" s="3">
        <f t="shared" ref="AF6:AF35" si="4">$W$6*L6/1000/R6</f>
        <v>0</v>
      </c>
      <c r="AG6" s="3">
        <f t="shared" ref="AG6:AG35" si="5">$W$7*M6/1000/R6</f>
        <v>0.00424336558310742</v>
      </c>
      <c r="AH6" s="3">
        <f t="shared" ref="AH6:AH35" si="6">$W$8*N6/1000/R6</f>
        <v>0.0187367970751362</v>
      </c>
      <c r="AI6" s="3">
        <f t="shared" ref="AI6:AI35" si="7">AD6+AE6+AF6+AG6+AH6</f>
        <v>0.0407040415847987</v>
      </c>
      <c r="AK6" s="3">
        <f>AB6*(100-进出水!T8)/100</f>
        <v>18.25146</v>
      </c>
      <c r="AL6" s="3">
        <f t="shared" ref="AL6:AL35" si="8">H6/AK6</f>
        <v>6.84876716711978</v>
      </c>
    </row>
    <row r="7" ht="18.6" customHeight="1" spans="1:38">
      <c r="A7" s="6">
        <v>3</v>
      </c>
      <c r="B7" s="264">
        <v>29.4</v>
      </c>
      <c r="C7" s="265" t="s">
        <v>42</v>
      </c>
      <c r="D7" s="266">
        <v>208157</v>
      </c>
      <c r="E7" s="267">
        <v>0</v>
      </c>
      <c r="F7" s="267">
        <v>107.46</v>
      </c>
      <c r="G7" s="267">
        <v>0</v>
      </c>
      <c r="H7" s="268">
        <v>125</v>
      </c>
      <c r="I7" s="6">
        <v>5044</v>
      </c>
      <c r="J7" s="274">
        <v>55600.0000000131</v>
      </c>
      <c r="K7" s="275">
        <v>0</v>
      </c>
      <c r="L7" s="275">
        <v>0.2</v>
      </c>
      <c r="M7" s="275">
        <v>2840</v>
      </c>
      <c r="N7" s="275">
        <v>1032</v>
      </c>
      <c r="O7" s="276">
        <v>3.67</v>
      </c>
      <c r="P7" s="276">
        <v>0</v>
      </c>
      <c r="Q7" s="286">
        <v>5482</v>
      </c>
      <c r="R7" s="287">
        <f t="shared" si="0"/>
        <v>202675</v>
      </c>
      <c r="S7" s="288"/>
      <c r="T7" s="289" t="s">
        <v>45</v>
      </c>
      <c r="U7" s="290">
        <f>M37*W7/1000</f>
        <v>47139.74</v>
      </c>
      <c r="V7" s="283"/>
      <c r="W7" s="57">
        <v>445</v>
      </c>
      <c r="X7" s="283">
        <f>M36/R36*1000</f>
        <v>17.1722493390114</v>
      </c>
      <c r="Y7" s="282">
        <v>430</v>
      </c>
      <c r="Z7" s="319">
        <v>44228</v>
      </c>
      <c r="AB7" s="320">
        <f t="shared" si="1"/>
        <v>107.46</v>
      </c>
      <c r="AD7" s="3">
        <f t="shared" si="2"/>
        <v>0</v>
      </c>
      <c r="AE7" s="3">
        <f t="shared" si="3"/>
        <v>0.0172690267669915</v>
      </c>
      <c r="AF7" s="3">
        <f t="shared" si="4"/>
        <v>1.02627359072407e-5</v>
      </c>
      <c r="AG7" s="3">
        <f t="shared" si="5"/>
        <v>0.00623559886517824</v>
      </c>
      <c r="AH7" s="3">
        <f t="shared" si="6"/>
        <v>0.0275573405698779</v>
      </c>
      <c r="AI7" s="3">
        <f t="shared" si="7"/>
        <v>0.0510722289379548</v>
      </c>
      <c r="AK7" s="3">
        <f>AB7*(100-进出水!T9)/100</f>
        <v>23.21136</v>
      </c>
      <c r="AL7" s="3">
        <f t="shared" si="8"/>
        <v>5.38529409737301</v>
      </c>
    </row>
    <row r="8" ht="18.6" customHeight="1" spans="1:38">
      <c r="A8" s="6">
        <v>4</v>
      </c>
      <c r="B8" s="264">
        <v>29</v>
      </c>
      <c r="C8" s="265" t="s">
        <v>42</v>
      </c>
      <c r="D8" s="266">
        <v>182173</v>
      </c>
      <c r="E8" s="267">
        <v>0</v>
      </c>
      <c r="F8" s="267">
        <v>98.64</v>
      </c>
      <c r="G8" s="267">
        <v>0</v>
      </c>
      <c r="H8" s="268">
        <v>100</v>
      </c>
      <c r="I8" s="6">
        <v>4814</v>
      </c>
      <c r="J8" s="274">
        <v>52200.0000000116</v>
      </c>
      <c r="K8" s="275">
        <v>120</v>
      </c>
      <c r="L8" s="275">
        <v>0</v>
      </c>
      <c r="M8" s="275">
        <v>5183</v>
      </c>
      <c r="N8" s="275">
        <v>1800</v>
      </c>
      <c r="O8" s="276">
        <v>5.54</v>
      </c>
      <c r="P8" s="276">
        <v>0</v>
      </c>
      <c r="Q8" s="286">
        <v>5467</v>
      </c>
      <c r="R8" s="287">
        <f t="shared" si="0"/>
        <v>176706</v>
      </c>
      <c r="S8" s="288"/>
      <c r="T8" s="289" t="s">
        <v>46</v>
      </c>
      <c r="U8" s="290">
        <f>N37*W8/1000</f>
        <v>199637.856</v>
      </c>
      <c r="V8" s="283">
        <f>U7+U8</f>
        <v>246777.596</v>
      </c>
      <c r="W8" s="57">
        <v>5412</v>
      </c>
      <c r="X8" s="283">
        <f>N36/R36*1000</f>
        <v>5.97977885452416</v>
      </c>
      <c r="Y8" s="57">
        <v>5461</v>
      </c>
      <c r="Z8" s="319">
        <v>44776</v>
      </c>
      <c r="AB8" s="320">
        <f t="shared" si="1"/>
        <v>98.64</v>
      </c>
      <c r="AD8" s="3">
        <f t="shared" si="2"/>
        <v>0.000357203490543615</v>
      </c>
      <c r="AE8" s="3">
        <f t="shared" si="3"/>
        <v>0.0158455287313391</v>
      </c>
      <c r="AF8" s="3">
        <f t="shared" si="4"/>
        <v>0</v>
      </c>
      <c r="AG8" s="3">
        <f t="shared" si="5"/>
        <v>0.0130523864498093</v>
      </c>
      <c r="AH8" s="3">
        <f t="shared" si="6"/>
        <v>0.0551288581032902</v>
      </c>
      <c r="AI8" s="3">
        <f t="shared" si="7"/>
        <v>0.0843839767749822</v>
      </c>
      <c r="AK8" s="3">
        <f>AB8*(100-进出水!T10)/100</f>
        <v>21.79944</v>
      </c>
      <c r="AL8" s="3">
        <f t="shared" si="8"/>
        <v>4.58727380152885</v>
      </c>
    </row>
    <row r="9" ht="18.6" customHeight="1" spans="1:38">
      <c r="A9" s="6">
        <v>5</v>
      </c>
      <c r="B9" s="264">
        <v>29</v>
      </c>
      <c r="C9" s="265" t="s">
        <v>42</v>
      </c>
      <c r="D9" s="266">
        <v>196441</v>
      </c>
      <c r="E9" s="267">
        <v>0</v>
      </c>
      <c r="F9" s="267">
        <v>120.22</v>
      </c>
      <c r="G9" s="267">
        <v>15</v>
      </c>
      <c r="H9" s="268">
        <v>250</v>
      </c>
      <c r="I9" s="6">
        <v>4830</v>
      </c>
      <c r="J9" s="277">
        <v>55400.0000000087</v>
      </c>
      <c r="K9" s="275">
        <v>120</v>
      </c>
      <c r="L9" s="275">
        <v>0</v>
      </c>
      <c r="M9" s="275">
        <v>4544</v>
      </c>
      <c r="N9" s="275">
        <v>1584</v>
      </c>
      <c r="O9" s="276">
        <v>5.28</v>
      </c>
      <c r="P9" s="276">
        <v>0</v>
      </c>
      <c r="Q9" s="286">
        <v>5454</v>
      </c>
      <c r="R9" s="287">
        <f t="shared" si="0"/>
        <v>190987</v>
      </c>
      <c r="S9" s="288"/>
      <c r="T9" s="289" t="s">
        <v>47</v>
      </c>
      <c r="U9" s="290">
        <f>K37*W9/1000</f>
        <v>29540.16</v>
      </c>
      <c r="V9" s="283"/>
      <c r="W9" s="57">
        <v>526</v>
      </c>
      <c r="X9" s="283">
        <f>K36/R36*1000</f>
        <v>9.10389233544992</v>
      </c>
      <c r="Y9" s="282">
        <v>526</v>
      </c>
      <c r="Z9" s="319">
        <v>44228</v>
      </c>
      <c r="AB9" s="320">
        <f t="shared" si="1"/>
        <v>135.22</v>
      </c>
      <c r="AD9" s="3">
        <f t="shared" si="2"/>
        <v>0.000330493698523983</v>
      </c>
      <c r="AE9" s="3">
        <f t="shared" si="3"/>
        <v>0.036651709278642</v>
      </c>
      <c r="AF9" s="3">
        <f t="shared" si="4"/>
        <v>0</v>
      </c>
      <c r="AG9" s="3">
        <f t="shared" si="5"/>
        <v>0.0105875268997366</v>
      </c>
      <c r="AH9" s="3">
        <f t="shared" si="6"/>
        <v>0.0448858194536801</v>
      </c>
      <c r="AI9" s="3">
        <f t="shared" si="7"/>
        <v>0.0924555493305827</v>
      </c>
      <c r="AK9" s="3">
        <f>AB9*(100-进出水!T11)/100</f>
        <v>29.0723</v>
      </c>
      <c r="AL9" s="3">
        <f t="shared" si="8"/>
        <v>8.59925083326741</v>
      </c>
    </row>
    <row r="10" ht="18.6" customHeight="1" spans="1:38">
      <c r="A10" s="6">
        <v>6</v>
      </c>
      <c r="B10" s="264">
        <v>28.5</v>
      </c>
      <c r="C10" s="265" t="s">
        <v>42</v>
      </c>
      <c r="D10" s="266">
        <v>203552</v>
      </c>
      <c r="E10" s="267">
        <v>0</v>
      </c>
      <c r="F10" s="267">
        <v>136.96</v>
      </c>
      <c r="G10" s="267">
        <v>0</v>
      </c>
      <c r="H10" s="268">
        <v>225</v>
      </c>
      <c r="I10" s="6">
        <v>4574</v>
      </c>
      <c r="J10" s="274">
        <v>55099.999999984</v>
      </c>
      <c r="K10" s="275">
        <v>0</v>
      </c>
      <c r="L10" s="275">
        <v>0</v>
      </c>
      <c r="M10" s="275">
        <v>3905</v>
      </c>
      <c r="N10" s="275">
        <v>1368</v>
      </c>
      <c r="O10" s="276">
        <v>3.87</v>
      </c>
      <c r="P10" s="276">
        <v>0</v>
      </c>
      <c r="Q10" s="286">
        <v>5488</v>
      </c>
      <c r="R10" s="287">
        <f t="shared" si="0"/>
        <v>198064</v>
      </c>
      <c r="S10" s="288"/>
      <c r="T10" s="289" t="s">
        <v>48</v>
      </c>
      <c r="U10" s="290">
        <f>T18</f>
        <v>97870.37</v>
      </c>
      <c r="V10" s="283" t="s">
        <v>49</v>
      </c>
      <c r="W10" s="292"/>
      <c r="X10" s="292"/>
      <c r="Y10" s="321"/>
      <c r="Z10" s="321"/>
      <c r="AB10" s="320">
        <f t="shared" si="1"/>
        <v>136.96</v>
      </c>
      <c r="AD10" s="3">
        <f t="shared" si="2"/>
        <v>0</v>
      </c>
      <c r="AE10" s="3">
        <f t="shared" si="3"/>
        <v>0.0318079004766136</v>
      </c>
      <c r="AF10" s="3">
        <f t="shared" si="4"/>
        <v>0</v>
      </c>
      <c r="AG10" s="3">
        <f t="shared" si="5"/>
        <v>0.00877355299297197</v>
      </c>
      <c r="AH10" s="3">
        <f t="shared" si="6"/>
        <v>0.0373799176023911</v>
      </c>
      <c r="AI10" s="3">
        <f t="shared" si="7"/>
        <v>0.0779613710719767</v>
      </c>
      <c r="AK10" s="3">
        <f>AB10*(100-进出水!T12)/100</f>
        <v>29.72032</v>
      </c>
      <c r="AL10" s="3">
        <f t="shared" si="8"/>
        <v>7.57057797493432</v>
      </c>
    </row>
    <row r="11" ht="18.6" customHeight="1" spans="1:38">
      <c r="A11" s="6">
        <v>7</v>
      </c>
      <c r="B11" s="264">
        <v>29.5</v>
      </c>
      <c r="C11" s="265" t="s">
        <v>42</v>
      </c>
      <c r="D11" s="266">
        <v>211320</v>
      </c>
      <c r="E11" s="267">
        <v>106.92</v>
      </c>
      <c r="F11" s="267">
        <v>106.82</v>
      </c>
      <c r="G11" s="267">
        <v>0</v>
      </c>
      <c r="H11" s="268">
        <v>200</v>
      </c>
      <c r="I11" s="13">
        <v>4494</v>
      </c>
      <c r="J11" s="277">
        <v>54799.9999999956</v>
      </c>
      <c r="K11" s="275">
        <v>120</v>
      </c>
      <c r="L11" s="275">
        <v>0</v>
      </c>
      <c r="M11" s="275">
        <v>3834</v>
      </c>
      <c r="N11" s="275">
        <v>1344</v>
      </c>
      <c r="O11" s="276">
        <v>3.23</v>
      </c>
      <c r="P11" s="276">
        <v>0</v>
      </c>
      <c r="Q11" s="286">
        <v>5493</v>
      </c>
      <c r="R11" s="287">
        <f t="shared" si="0"/>
        <v>205827</v>
      </c>
      <c r="S11" s="288"/>
      <c r="T11" s="289" t="s">
        <v>50</v>
      </c>
      <c r="U11" s="290">
        <f>汇总!J5*W11</f>
        <v>17228.4</v>
      </c>
      <c r="V11" s="283"/>
      <c r="W11" s="57">
        <v>4.2</v>
      </c>
      <c r="X11" s="57"/>
      <c r="Y11" s="57"/>
      <c r="Z11" s="282"/>
      <c r="AB11" s="320">
        <f t="shared" si="1"/>
        <v>213.74</v>
      </c>
      <c r="AD11" s="3">
        <f t="shared" si="2"/>
        <v>0.000306665306300923</v>
      </c>
      <c r="AE11" s="3">
        <f t="shared" si="3"/>
        <v>0.0272073148809437</v>
      </c>
      <c r="AF11" s="3">
        <f t="shared" si="4"/>
        <v>0</v>
      </c>
      <c r="AG11" s="3">
        <f t="shared" si="5"/>
        <v>0.00828914573889723</v>
      </c>
      <c r="AH11" s="3">
        <f t="shared" si="6"/>
        <v>0.0353390371525602</v>
      </c>
      <c r="AI11" s="3">
        <f t="shared" si="7"/>
        <v>0.071142163078702</v>
      </c>
      <c r="AK11" s="3">
        <f>AB11*(100-进出水!T13)/100</f>
        <v>46.38158</v>
      </c>
      <c r="AL11" s="3">
        <f t="shared" si="8"/>
        <v>4.31205663972637</v>
      </c>
    </row>
    <row r="12" ht="18.6" customHeight="1" spans="1:38">
      <c r="A12" s="6">
        <v>8</v>
      </c>
      <c r="B12" s="264">
        <v>29</v>
      </c>
      <c r="C12" s="265" t="s">
        <v>42</v>
      </c>
      <c r="D12" s="268">
        <v>203440</v>
      </c>
      <c r="E12" s="267">
        <v>0</v>
      </c>
      <c r="F12" s="267">
        <v>151.52</v>
      </c>
      <c r="G12" s="267">
        <v>0</v>
      </c>
      <c r="H12" s="268">
        <v>175</v>
      </c>
      <c r="I12" s="6">
        <v>4348</v>
      </c>
      <c r="J12" s="274">
        <v>55400.0000000087</v>
      </c>
      <c r="K12" s="275">
        <v>120</v>
      </c>
      <c r="L12" s="275">
        <v>0</v>
      </c>
      <c r="M12" s="275">
        <v>2485</v>
      </c>
      <c r="N12" s="275">
        <v>864</v>
      </c>
      <c r="O12" s="276">
        <v>2.82</v>
      </c>
      <c r="P12" s="276">
        <v>0</v>
      </c>
      <c r="Q12" s="286">
        <v>5462</v>
      </c>
      <c r="R12" s="287">
        <f t="shared" si="0"/>
        <v>197978</v>
      </c>
      <c r="S12" s="288"/>
      <c r="T12" s="293"/>
      <c r="U12" s="294"/>
      <c r="V12" s="292"/>
      <c r="W12" s="292"/>
      <c r="X12" s="292"/>
      <c r="AB12" s="320">
        <f t="shared" si="1"/>
        <v>151.52</v>
      </c>
      <c r="AD12" s="3">
        <f t="shared" si="2"/>
        <v>0.00031882330359939</v>
      </c>
      <c r="AE12" s="3">
        <f t="shared" si="3"/>
        <v>0.0247502247724495</v>
      </c>
      <c r="AF12" s="3">
        <f t="shared" si="4"/>
        <v>0</v>
      </c>
      <c r="AG12" s="3">
        <f t="shared" si="5"/>
        <v>0.00558559536918243</v>
      </c>
      <c r="AH12" s="3">
        <f t="shared" si="6"/>
        <v>0.023618624291588</v>
      </c>
      <c r="AI12" s="3">
        <f t="shared" si="7"/>
        <v>0.0542732677368192</v>
      </c>
      <c r="AK12" s="3">
        <f>AB12*(100-进出水!T14)/100</f>
        <v>33.3344</v>
      </c>
      <c r="AL12" s="3">
        <f t="shared" si="8"/>
        <v>5.24983200537583</v>
      </c>
    </row>
    <row r="13" ht="18.6" customHeight="1" spans="1:38">
      <c r="A13" s="6">
        <v>9</v>
      </c>
      <c r="B13" s="264">
        <v>29</v>
      </c>
      <c r="C13" s="265" t="s">
        <v>42</v>
      </c>
      <c r="D13" s="266">
        <v>203692</v>
      </c>
      <c r="E13" s="267">
        <v>34.9</v>
      </c>
      <c r="F13" s="267">
        <v>140.5</v>
      </c>
      <c r="G13" s="267">
        <v>0</v>
      </c>
      <c r="H13" s="268">
        <v>200</v>
      </c>
      <c r="I13" s="6">
        <v>4622</v>
      </c>
      <c r="J13" s="274">
        <v>53100.0000000131</v>
      </c>
      <c r="K13" s="275">
        <v>120</v>
      </c>
      <c r="L13" s="275">
        <v>0</v>
      </c>
      <c r="M13" s="275">
        <v>1278</v>
      </c>
      <c r="N13" s="275">
        <v>480</v>
      </c>
      <c r="O13" s="276">
        <v>2.73</v>
      </c>
      <c r="P13" s="276">
        <v>0</v>
      </c>
      <c r="Q13" s="286">
        <v>5482</v>
      </c>
      <c r="R13" s="287">
        <f t="shared" si="0"/>
        <v>198210</v>
      </c>
      <c r="S13" s="288"/>
      <c r="T13" s="289"/>
      <c r="U13" s="295">
        <f>U14/R37</f>
        <v>0.0666546269203523</v>
      </c>
      <c r="V13" s="57"/>
      <c r="W13" s="57"/>
      <c r="X13" s="292"/>
      <c r="AB13" s="320">
        <f t="shared" si="1"/>
        <v>175.4</v>
      </c>
      <c r="AD13" s="3">
        <f t="shared" si="2"/>
        <v>0.00031845012865143</v>
      </c>
      <c r="AE13" s="3">
        <f t="shared" si="3"/>
        <v>0.0282528631249685</v>
      </c>
      <c r="AF13" s="3">
        <f t="shared" si="4"/>
        <v>0</v>
      </c>
      <c r="AG13" s="3">
        <f t="shared" si="5"/>
        <v>0.00286922960496443</v>
      </c>
      <c r="AH13" s="3">
        <f t="shared" si="6"/>
        <v>0.0131060995913425</v>
      </c>
      <c r="AI13" s="3">
        <f t="shared" si="7"/>
        <v>0.0445466424499268</v>
      </c>
      <c r="AK13" s="3">
        <f>AB13*(100-进出水!T15)/100</f>
        <v>38.7634</v>
      </c>
      <c r="AL13" s="3">
        <f t="shared" si="8"/>
        <v>5.15950613207304</v>
      </c>
    </row>
    <row r="14" ht="18.6" customHeight="1" spans="1:38">
      <c r="A14" s="6">
        <v>10</v>
      </c>
      <c r="B14" s="264">
        <v>28.5</v>
      </c>
      <c r="C14" s="265" t="s">
        <v>42</v>
      </c>
      <c r="D14" s="266">
        <v>212917</v>
      </c>
      <c r="E14" s="267">
        <v>0</v>
      </c>
      <c r="F14" s="267">
        <v>212.22</v>
      </c>
      <c r="G14" s="267">
        <v>0</v>
      </c>
      <c r="H14" s="268">
        <v>225</v>
      </c>
      <c r="I14" s="6">
        <v>4628</v>
      </c>
      <c r="J14" s="274">
        <v>53799.9999999738</v>
      </c>
      <c r="K14" s="275">
        <v>0</v>
      </c>
      <c r="L14" s="275">
        <v>0</v>
      </c>
      <c r="M14" s="275">
        <v>2982</v>
      </c>
      <c r="N14" s="275">
        <v>1056</v>
      </c>
      <c r="O14" s="276">
        <v>0</v>
      </c>
      <c r="P14" s="276">
        <v>0</v>
      </c>
      <c r="Q14" s="286">
        <v>4979</v>
      </c>
      <c r="R14" s="287">
        <f t="shared" si="0"/>
        <v>207938</v>
      </c>
      <c r="S14" s="288"/>
      <c r="T14" s="296" t="s">
        <v>51</v>
      </c>
      <c r="U14" s="297">
        <f>U5+U6+U7+U8+U9</f>
        <v>411178.396</v>
      </c>
      <c r="V14" s="298" t="s">
        <v>52</v>
      </c>
      <c r="W14" s="299">
        <f>U6+U9</f>
        <v>30700.8</v>
      </c>
      <c r="X14" s="292"/>
      <c r="AB14" s="320">
        <f t="shared" si="1"/>
        <v>212.22</v>
      </c>
      <c r="AD14" s="3">
        <f t="shared" si="2"/>
        <v>0</v>
      </c>
      <c r="AE14" s="3">
        <f t="shared" si="3"/>
        <v>0.0302974925218094</v>
      </c>
      <c r="AF14" s="3">
        <f t="shared" si="4"/>
        <v>0</v>
      </c>
      <c r="AG14" s="3">
        <f t="shared" si="5"/>
        <v>0.00638166184151045</v>
      </c>
      <c r="AH14" s="3">
        <f t="shared" si="6"/>
        <v>0.0274845001875559</v>
      </c>
      <c r="AI14" s="3">
        <f t="shared" si="7"/>
        <v>0.0641636545508757</v>
      </c>
      <c r="AK14" s="3">
        <f>AB14*(100-进出水!T16)/100</f>
        <v>45.41508</v>
      </c>
      <c r="AL14" s="3">
        <f t="shared" si="8"/>
        <v>4.95430152275411</v>
      </c>
    </row>
    <row r="15" ht="18.6" customHeight="1" spans="1:38">
      <c r="A15" s="6">
        <v>11</v>
      </c>
      <c r="B15" s="264">
        <v>29</v>
      </c>
      <c r="C15" s="265" t="s">
        <v>42</v>
      </c>
      <c r="D15" s="266">
        <v>207324</v>
      </c>
      <c r="E15" s="267">
        <v>85.54</v>
      </c>
      <c r="F15" s="267">
        <v>125.4</v>
      </c>
      <c r="G15" s="267">
        <v>0</v>
      </c>
      <c r="H15" s="268">
        <v>150</v>
      </c>
      <c r="I15" s="6">
        <v>4906</v>
      </c>
      <c r="J15" s="277">
        <v>54300.0000000029</v>
      </c>
      <c r="K15" s="275">
        <v>120</v>
      </c>
      <c r="L15" s="275">
        <v>0</v>
      </c>
      <c r="M15" s="275">
        <v>6035</v>
      </c>
      <c r="N15" s="275">
        <v>1992</v>
      </c>
      <c r="O15" s="276">
        <v>0</v>
      </c>
      <c r="P15" s="276">
        <v>0</v>
      </c>
      <c r="Q15" s="286">
        <v>5444</v>
      </c>
      <c r="R15" s="287">
        <f t="shared" si="0"/>
        <v>201880</v>
      </c>
      <c r="S15" s="288"/>
      <c r="T15" s="296" t="s">
        <v>53</v>
      </c>
      <c r="U15" s="300" t="s">
        <v>54</v>
      </c>
      <c r="V15" s="300" t="s">
        <v>55</v>
      </c>
      <c r="W15" s="301" t="s">
        <v>56</v>
      </c>
      <c r="X15" s="292"/>
      <c r="AB15" s="320">
        <f t="shared" si="1"/>
        <v>210.94</v>
      </c>
      <c r="AD15" s="3">
        <f t="shared" si="2"/>
        <v>0.000312660986724787</v>
      </c>
      <c r="AE15" s="3">
        <f t="shared" si="3"/>
        <v>0.0208044382801664</v>
      </c>
      <c r="AF15" s="3">
        <f t="shared" si="4"/>
        <v>0</v>
      </c>
      <c r="AG15" s="3">
        <f t="shared" si="5"/>
        <v>0.0133028284129186</v>
      </c>
      <c r="AH15" s="3">
        <f t="shared" si="6"/>
        <v>0.053401545472558</v>
      </c>
      <c r="AI15" s="3">
        <f t="shared" si="7"/>
        <v>0.0878214731523677</v>
      </c>
      <c r="AK15" s="3">
        <f>AB15*(100-进出水!T17)/100</f>
        <v>45.56304</v>
      </c>
      <c r="AL15" s="3">
        <f t="shared" si="8"/>
        <v>3.29214205197897</v>
      </c>
    </row>
    <row r="16" ht="18.6" customHeight="1" spans="1:38">
      <c r="A16" s="6">
        <v>12</v>
      </c>
      <c r="B16" s="264">
        <v>29.5</v>
      </c>
      <c r="C16" s="265" t="s">
        <v>42</v>
      </c>
      <c r="D16" s="266">
        <v>208254</v>
      </c>
      <c r="E16" s="267">
        <v>124.44</v>
      </c>
      <c r="F16" s="267">
        <v>0</v>
      </c>
      <c r="G16" s="267">
        <v>0</v>
      </c>
      <c r="H16" s="268">
        <v>100</v>
      </c>
      <c r="I16" s="6">
        <v>4296</v>
      </c>
      <c r="J16" s="278">
        <v>56300.0000000102</v>
      </c>
      <c r="K16" s="275">
        <v>120</v>
      </c>
      <c r="L16" s="275">
        <v>0</v>
      </c>
      <c r="M16" s="275">
        <v>3692</v>
      </c>
      <c r="N16" s="275">
        <v>1296</v>
      </c>
      <c r="O16" s="276">
        <v>2.93</v>
      </c>
      <c r="P16" s="276">
        <v>0</v>
      </c>
      <c r="Q16" s="286">
        <v>5445</v>
      </c>
      <c r="R16" s="287">
        <f t="shared" si="0"/>
        <v>202809</v>
      </c>
      <c r="S16" s="288"/>
      <c r="T16" s="302">
        <f>U16+V16+W16</f>
        <v>4322.56</v>
      </c>
      <c r="U16" s="299">
        <f>F37</f>
        <v>2679.1</v>
      </c>
      <c r="V16" s="299">
        <f>E37</f>
        <v>1613.46</v>
      </c>
      <c r="W16" s="299">
        <f>G37</f>
        <v>30</v>
      </c>
      <c r="X16" s="292"/>
      <c r="AB16" s="320">
        <f t="shared" si="1"/>
        <v>124.44</v>
      </c>
      <c r="AD16" s="3">
        <f t="shared" si="2"/>
        <v>0.000311228791621674</v>
      </c>
      <c r="AE16" s="3">
        <f t="shared" si="3"/>
        <v>0.013806093417945</v>
      </c>
      <c r="AF16" s="3">
        <f t="shared" si="4"/>
        <v>0</v>
      </c>
      <c r="AG16" s="3">
        <f t="shared" si="5"/>
        <v>0.00810092254288518</v>
      </c>
      <c r="AH16" s="3">
        <f t="shared" si="6"/>
        <v>0.034584027336065</v>
      </c>
      <c r="AI16" s="3">
        <f t="shared" si="7"/>
        <v>0.0568022720885168</v>
      </c>
      <c r="AK16" s="3">
        <f>AB16*(100-进出水!T18)/100</f>
        <v>27.25236</v>
      </c>
      <c r="AL16" s="3">
        <f t="shared" si="8"/>
        <v>3.66940697979918</v>
      </c>
    </row>
    <row r="17" ht="18.6" customHeight="1" spans="1:38">
      <c r="A17" s="6">
        <v>13</v>
      </c>
      <c r="B17" s="264">
        <v>30</v>
      </c>
      <c r="C17" s="265" t="s">
        <v>42</v>
      </c>
      <c r="D17" s="266">
        <v>211536</v>
      </c>
      <c r="E17" s="267">
        <v>125.84</v>
      </c>
      <c r="F17" s="267">
        <v>0</v>
      </c>
      <c r="G17" s="267">
        <v>0</v>
      </c>
      <c r="H17" s="268">
        <v>175</v>
      </c>
      <c r="I17" s="6">
        <v>4516</v>
      </c>
      <c r="J17" s="278">
        <v>55200.0000000044</v>
      </c>
      <c r="K17" s="275">
        <v>0</v>
      </c>
      <c r="L17" s="275">
        <v>0</v>
      </c>
      <c r="M17" s="275">
        <v>2627</v>
      </c>
      <c r="N17" s="275">
        <v>960</v>
      </c>
      <c r="O17" s="276">
        <v>5.04</v>
      </c>
      <c r="P17" s="276">
        <v>0</v>
      </c>
      <c r="Q17" s="286">
        <v>5436</v>
      </c>
      <c r="R17" s="287">
        <f t="shared" si="0"/>
        <v>206100</v>
      </c>
      <c r="S17" s="288"/>
      <c r="T17" s="296" t="s">
        <v>57</v>
      </c>
      <c r="U17" s="303">
        <v>22.8</v>
      </c>
      <c r="V17" s="303">
        <v>22.8</v>
      </c>
      <c r="W17" s="298"/>
      <c r="X17" s="292"/>
      <c r="AB17" s="320">
        <f t="shared" si="1"/>
        <v>125.84</v>
      </c>
      <c r="AD17" s="3">
        <f t="shared" si="2"/>
        <v>0</v>
      </c>
      <c r="AE17" s="3">
        <f t="shared" si="3"/>
        <v>0.0237748665696264</v>
      </c>
      <c r="AF17" s="3">
        <f t="shared" si="4"/>
        <v>0</v>
      </c>
      <c r="AG17" s="3">
        <f t="shared" si="5"/>
        <v>0.00567207666181465</v>
      </c>
      <c r="AH17" s="3">
        <f t="shared" si="6"/>
        <v>0.0252087336244542</v>
      </c>
      <c r="AI17" s="3">
        <f t="shared" si="7"/>
        <v>0.0546556768558952</v>
      </c>
      <c r="AK17" s="3">
        <f>AB17*(100-进出水!T19)/100</f>
        <v>27.30728</v>
      </c>
      <c r="AL17" s="3">
        <f t="shared" si="8"/>
        <v>6.40854746426594</v>
      </c>
    </row>
    <row r="18" ht="18.6" customHeight="1" spans="1:38">
      <c r="A18" s="6">
        <v>14</v>
      </c>
      <c r="B18" s="264">
        <v>31.9</v>
      </c>
      <c r="C18" s="265" t="s">
        <v>42</v>
      </c>
      <c r="D18" s="266">
        <v>212566</v>
      </c>
      <c r="E18" s="267">
        <v>0</v>
      </c>
      <c r="F18" s="267">
        <v>120.62</v>
      </c>
      <c r="G18" s="267">
        <v>0</v>
      </c>
      <c r="H18" s="268">
        <v>200</v>
      </c>
      <c r="I18" s="6">
        <v>4692</v>
      </c>
      <c r="J18" s="278">
        <v>54699.9999999753</v>
      </c>
      <c r="K18" s="275">
        <v>120</v>
      </c>
      <c r="L18" s="275">
        <v>0</v>
      </c>
      <c r="M18" s="275">
        <v>2840</v>
      </c>
      <c r="N18" s="275">
        <v>1008</v>
      </c>
      <c r="O18" s="276">
        <v>3.25</v>
      </c>
      <c r="P18" s="276">
        <v>0</v>
      </c>
      <c r="Q18" s="286">
        <v>5470</v>
      </c>
      <c r="R18" s="287">
        <f t="shared" si="0"/>
        <v>207096</v>
      </c>
      <c r="S18" s="288"/>
      <c r="T18" s="302">
        <f>U18+V18</f>
        <v>97870.37</v>
      </c>
      <c r="U18" s="304">
        <f>ROUND(U16*U17,2)</f>
        <v>61083.48</v>
      </c>
      <c r="V18" s="301">
        <f>ROUND(V16*V17,2)</f>
        <v>36786.89</v>
      </c>
      <c r="W18" s="298"/>
      <c r="X18" s="292"/>
      <c r="AB18" s="320">
        <f t="shared" si="1"/>
        <v>120.62</v>
      </c>
      <c r="AD18" s="3">
        <f t="shared" si="2"/>
        <v>0.000304786186116584</v>
      </c>
      <c r="AE18" s="3">
        <f t="shared" si="3"/>
        <v>0.027040599528721</v>
      </c>
      <c r="AF18" s="3">
        <f t="shared" si="4"/>
        <v>0</v>
      </c>
      <c r="AG18" s="3">
        <f t="shared" si="5"/>
        <v>0.00610248387221385</v>
      </c>
      <c r="AH18" s="3">
        <f t="shared" si="6"/>
        <v>0.0263418704368988</v>
      </c>
      <c r="AI18" s="3">
        <f t="shared" si="7"/>
        <v>0.0597897400239502</v>
      </c>
      <c r="AK18" s="3">
        <f>AB18*(100-进出水!T20)/100</f>
        <v>26.5364</v>
      </c>
      <c r="AL18" s="3">
        <f t="shared" si="8"/>
        <v>7.53681735276827</v>
      </c>
    </row>
    <row r="19" ht="18.6" customHeight="1" spans="1:38">
      <c r="A19" s="6">
        <v>15</v>
      </c>
      <c r="B19" s="264">
        <v>29.8</v>
      </c>
      <c r="C19" s="265" t="s">
        <v>58</v>
      </c>
      <c r="D19" s="266">
        <v>212431</v>
      </c>
      <c r="E19" s="267">
        <v>51.9</v>
      </c>
      <c r="F19" s="267">
        <v>143.64</v>
      </c>
      <c r="G19" s="267">
        <v>15</v>
      </c>
      <c r="H19" s="268">
        <v>225</v>
      </c>
      <c r="I19" s="6">
        <v>4260</v>
      </c>
      <c r="J19" s="278">
        <v>53700.0000000262</v>
      </c>
      <c r="K19" s="275">
        <v>120</v>
      </c>
      <c r="L19" s="275">
        <v>0</v>
      </c>
      <c r="M19" s="275">
        <v>2130</v>
      </c>
      <c r="N19" s="275">
        <v>768</v>
      </c>
      <c r="O19" s="276">
        <v>3.05</v>
      </c>
      <c r="P19" s="276">
        <v>0</v>
      </c>
      <c r="Q19" s="286">
        <v>5432</v>
      </c>
      <c r="R19" s="287">
        <f t="shared" si="0"/>
        <v>206999</v>
      </c>
      <c r="S19" s="288"/>
      <c r="T19" s="296" t="s">
        <v>59</v>
      </c>
      <c r="U19" s="300"/>
      <c r="V19" s="303">
        <v>0</v>
      </c>
      <c r="W19" s="298"/>
      <c r="X19" s="292"/>
      <c r="AB19" s="320">
        <f t="shared" si="1"/>
        <v>210.54</v>
      </c>
      <c r="AD19" s="3">
        <f t="shared" si="2"/>
        <v>0.000304929009318886</v>
      </c>
      <c r="AE19" s="3">
        <f t="shared" si="3"/>
        <v>0.0304349296373412</v>
      </c>
      <c r="AF19" s="3">
        <f t="shared" si="4"/>
        <v>0</v>
      </c>
      <c r="AG19" s="3">
        <f t="shared" si="5"/>
        <v>0.00457900762805617</v>
      </c>
      <c r="AH19" s="3">
        <f t="shared" si="6"/>
        <v>0.020079401349765</v>
      </c>
      <c r="AI19" s="3">
        <f t="shared" si="7"/>
        <v>0.0553982676244813</v>
      </c>
      <c r="AK19" s="3">
        <f>AB19*(100-进出水!T21)/100</f>
        <v>46.73988</v>
      </c>
      <c r="AL19" s="3">
        <f t="shared" si="8"/>
        <v>4.81387628723052</v>
      </c>
    </row>
    <row r="20" ht="18.6" customHeight="1" spans="1:38">
      <c r="A20" s="6">
        <v>16</v>
      </c>
      <c r="B20" s="264">
        <v>29.5</v>
      </c>
      <c r="C20" s="265" t="s">
        <v>58</v>
      </c>
      <c r="D20" s="266">
        <v>213704</v>
      </c>
      <c r="E20" s="267">
        <v>86.94</v>
      </c>
      <c r="F20" s="267">
        <v>88.14</v>
      </c>
      <c r="G20" s="267">
        <v>0</v>
      </c>
      <c r="H20" s="268">
        <v>100</v>
      </c>
      <c r="I20" s="6">
        <v>4678</v>
      </c>
      <c r="J20" s="278">
        <v>53099.9999999767</v>
      </c>
      <c r="K20" s="275">
        <v>0</v>
      </c>
      <c r="L20" s="275">
        <v>0</v>
      </c>
      <c r="M20" s="275">
        <v>2272</v>
      </c>
      <c r="N20" s="275">
        <v>816</v>
      </c>
      <c r="O20" s="276">
        <v>4.34</v>
      </c>
      <c r="P20" s="276">
        <v>0</v>
      </c>
      <c r="Q20" s="286">
        <v>5491</v>
      </c>
      <c r="R20" s="287">
        <f t="shared" si="0"/>
        <v>208213</v>
      </c>
      <c r="S20" s="288"/>
      <c r="T20" s="302">
        <f>U20+V20</f>
        <v>0</v>
      </c>
      <c r="U20" s="300"/>
      <c r="V20" s="301">
        <f>ROUND(V16*V19,2)</f>
        <v>0</v>
      </c>
      <c r="W20" s="298"/>
      <c r="X20" s="292"/>
      <c r="AB20" s="320">
        <f t="shared" si="1"/>
        <v>175.08</v>
      </c>
      <c r="AD20" s="3">
        <f t="shared" si="2"/>
        <v>0</v>
      </c>
      <c r="AE20" s="3">
        <f t="shared" si="3"/>
        <v>0.0134477674304678</v>
      </c>
      <c r="AF20" s="3">
        <f t="shared" si="4"/>
        <v>0</v>
      </c>
      <c r="AG20" s="3">
        <f t="shared" si="5"/>
        <v>0.00485579670817864</v>
      </c>
      <c r="AH20" s="3">
        <f t="shared" si="6"/>
        <v>0.0212099724801045</v>
      </c>
      <c r="AI20" s="3">
        <f t="shared" si="7"/>
        <v>0.039513536618751</v>
      </c>
      <c r="AK20" s="3">
        <f>AB20*(100-进出水!T22)/100</f>
        <v>38.34252</v>
      </c>
      <c r="AL20" s="3">
        <f t="shared" si="8"/>
        <v>2.60807062237954</v>
      </c>
    </row>
    <row r="21" ht="18.6" customHeight="1" spans="1:38">
      <c r="A21" s="6">
        <v>17</v>
      </c>
      <c r="B21" s="264">
        <v>31</v>
      </c>
      <c r="C21" s="265" t="s">
        <v>58</v>
      </c>
      <c r="D21" s="266">
        <v>214736</v>
      </c>
      <c r="E21" s="267">
        <v>87.36</v>
      </c>
      <c r="F21" s="267">
        <v>0</v>
      </c>
      <c r="G21" s="267">
        <v>0</v>
      </c>
      <c r="H21" s="268">
        <v>100</v>
      </c>
      <c r="I21" s="6">
        <v>4540</v>
      </c>
      <c r="J21" s="278">
        <v>53400.0000000015</v>
      </c>
      <c r="K21" s="275">
        <v>120</v>
      </c>
      <c r="L21" s="275">
        <v>0</v>
      </c>
      <c r="M21" s="275">
        <v>3053</v>
      </c>
      <c r="N21" s="275">
        <v>1080</v>
      </c>
      <c r="O21" s="276">
        <v>2.92</v>
      </c>
      <c r="P21" s="276">
        <v>0</v>
      </c>
      <c r="Q21" s="286">
        <v>5445</v>
      </c>
      <c r="R21" s="287">
        <f t="shared" si="0"/>
        <v>209291</v>
      </c>
      <c r="S21" s="288"/>
      <c r="T21" s="296" t="s">
        <v>60</v>
      </c>
      <c r="U21" s="305" t="s">
        <v>61</v>
      </c>
      <c r="V21" s="284">
        <f>V17+V19</f>
        <v>22.8</v>
      </c>
      <c r="W21" s="57" t="s">
        <v>62</v>
      </c>
      <c r="X21" s="292"/>
      <c r="AB21" s="320">
        <f t="shared" si="1"/>
        <v>87.36</v>
      </c>
      <c r="AD21" s="3">
        <f t="shared" si="2"/>
        <v>0.00030158965268454</v>
      </c>
      <c r="AE21" s="3">
        <f t="shared" si="3"/>
        <v>0.0133785017033699</v>
      </c>
      <c r="AF21" s="3">
        <f t="shared" si="4"/>
        <v>0</v>
      </c>
      <c r="AG21" s="3">
        <f t="shared" si="5"/>
        <v>0.00649136847738317</v>
      </c>
      <c r="AH21" s="3">
        <f t="shared" si="6"/>
        <v>0.0279274311843319</v>
      </c>
      <c r="AI21" s="3">
        <f t="shared" si="7"/>
        <v>0.0480988910177695</v>
      </c>
      <c r="AK21" s="3">
        <f>AB21*(100-进出水!T23)/100</f>
        <v>18.7824</v>
      </c>
      <c r="AL21" s="3">
        <f t="shared" si="8"/>
        <v>5.32413323110998</v>
      </c>
    </row>
    <row r="22" ht="18.6" customHeight="1" spans="1:38">
      <c r="A22" s="6">
        <v>18</v>
      </c>
      <c r="B22" s="264">
        <v>30.4</v>
      </c>
      <c r="C22" s="265" t="s">
        <v>58</v>
      </c>
      <c r="D22" s="266">
        <v>211380</v>
      </c>
      <c r="E22" s="267">
        <v>0</v>
      </c>
      <c r="F22" s="267">
        <v>106.62</v>
      </c>
      <c r="G22" s="267">
        <v>0</v>
      </c>
      <c r="H22" s="268">
        <v>100</v>
      </c>
      <c r="I22" s="6">
        <v>4414</v>
      </c>
      <c r="J22" s="64">
        <v>50400.0000000087</v>
      </c>
      <c r="K22" s="275">
        <v>120</v>
      </c>
      <c r="L22" s="275">
        <v>0</v>
      </c>
      <c r="M22" s="275">
        <v>5609</v>
      </c>
      <c r="N22" s="275">
        <v>1872</v>
      </c>
      <c r="O22" s="276">
        <v>2.231</v>
      </c>
      <c r="P22" s="276">
        <v>0</v>
      </c>
      <c r="Q22" s="286">
        <v>5482</v>
      </c>
      <c r="R22" s="287">
        <f t="shared" si="0"/>
        <v>205898</v>
      </c>
      <c r="S22" s="288"/>
      <c r="T22" s="302">
        <f>T18+T20</f>
        <v>97870.37</v>
      </c>
      <c r="U22" s="305"/>
      <c r="V22" s="57"/>
      <c r="W22" s="306">
        <f>T16-E37-F37-G37</f>
        <v>4.54747350886464e-13</v>
      </c>
      <c r="X22" s="292"/>
      <c r="AB22" s="320">
        <f t="shared" si="1"/>
        <v>106.62</v>
      </c>
      <c r="AD22" s="3">
        <f t="shared" si="2"/>
        <v>0.000306559558616402</v>
      </c>
      <c r="AE22" s="3">
        <f t="shared" si="3"/>
        <v>0.0135989664785476</v>
      </c>
      <c r="AF22" s="3">
        <f t="shared" si="4"/>
        <v>0</v>
      </c>
      <c r="AG22" s="3">
        <f t="shared" si="5"/>
        <v>0.0121225315447455</v>
      </c>
      <c r="AH22" s="3">
        <f t="shared" si="6"/>
        <v>0.0492052569718987</v>
      </c>
      <c r="AI22" s="3">
        <f t="shared" si="7"/>
        <v>0.0752333145538082</v>
      </c>
      <c r="AK22" s="3">
        <f>AB22*(100-进出水!T24)/100</f>
        <v>22.81668</v>
      </c>
      <c r="AL22" s="3">
        <f t="shared" si="8"/>
        <v>4.38275857837336</v>
      </c>
    </row>
    <row r="23" ht="18.6" customHeight="1" spans="1:38">
      <c r="A23" s="6">
        <v>19</v>
      </c>
      <c r="B23" s="264">
        <v>30.6</v>
      </c>
      <c r="C23" s="265" t="s">
        <v>42</v>
      </c>
      <c r="D23" s="266">
        <v>209626</v>
      </c>
      <c r="E23" s="267">
        <v>0</v>
      </c>
      <c r="F23" s="267">
        <v>102.2</v>
      </c>
      <c r="G23" s="267">
        <v>0</v>
      </c>
      <c r="H23" s="268">
        <v>225</v>
      </c>
      <c r="I23" s="6">
        <v>4440</v>
      </c>
      <c r="J23" s="64">
        <v>50800.0000000175</v>
      </c>
      <c r="K23" s="275">
        <v>120</v>
      </c>
      <c r="L23" s="275">
        <v>0</v>
      </c>
      <c r="M23" s="275">
        <v>5254</v>
      </c>
      <c r="N23" s="275">
        <v>1800</v>
      </c>
      <c r="O23" s="276">
        <v>1.531</v>
      </c>
      <c r="P23" s="276">
        <v>0</v>
      </c>
      <c r="Q23" s="286">
        <v>5475</v>
      </c>
      <c r="R23" s="287">
        <f t="shared" si="0"/>
        <v>204151</v>
      </c>
      <c r="S23" s="288"/>
      <c r="T23" s="289"/>
      <c r="U23" s="307"/>
      <c r="V23" s="57"/>
      <c r="W23" s="57"/>
      <c r="X23" s="57"/>
      <c r="AB23" s="320">
        <f t="shared" si="1"/>
        <v>102.2</v>
      </c>
      <c r="AD23" s="3">
        <f t="shared" si="2"/>
        <v>0.000309182908729323</v>
      </c>
      <c r="AE23" s="3">
        <f t="shared" si="3"/>
        <v>0.0308595108522613</v>
      </c>
      <c r="AF23" s="3">
        <f t="shared" si="4"/>
        <v>0</v>
      </c>
      <c r="AG23" s="3">
        <f t="shared" si="5"/>
        <v>0.0114524543107798</v>
      </c>
      <c r="AH23" s="3">
        <f t="shared" si="6"/>
        <v>0.0477176207806966</v>
      </c>
      <c r="AI23" s="3">
        <f t="shared" si="7"/>
        <v>0.0903387688524671</v>
      </c>
      <c r="AK23" s="3">
        <f>AB23*(100-进出水!T25)/100</f>
        <v>22.2796</v>
      </c>
      <c r="AL23" s="3">
        <f t="shared" si="8"/>
        <v>10.0989245767429</v>
      </c>
    </row>
    <row r="24" ht="18.6" customHeight="1" spans="1:38">
      <c r="A24" s="6">
        <v>20</v>
      </c>
      <c r="B24" s="264">
        <v>30.5</v>
      </c>
      <c r="C24" s="265" t="s">
        <v>42</v>
      </c>
      <c r="D24" s="266">
        <v>206518</v>
      </c>
      <c r="E24" s="267">
        <v>86.98</v>
      </c>
      <c r="F24" s="267">
        <v>85.2</v>
      </c>
      <c r="G24" s="267">
        <v>0</v>
      </c>
      <c r="H24" s="268">
        <v>225</v>
      </c>
      <c r="I24" s="6">
        <v>4434</v>
      </c>
      <c r="J24" s="64">
        <v>53400.0000000015</v>
      </c>
      <c r="K24" s="275">
        <v>0</v>
      </c>
      <c r="L24" s="275">
        <v>0</v>
      </c>
      <c r="M24" s="275">
        <v>4970</v>
      </c>
      <c r="N24" s="275">
        <v>1728</v>
      </c>
      <c r="O24" s="276">
        <v>1.293</v>
      </c>
      <c r="P24" s="276">
        <v>0</v>
      </c>
      <c r="Q24" s="286">
        <v>5469</v>
      </c>
      <c r="R24" s="287">
        <f t="shared" si="0"/>
        <v>201049</v>
      </c>
      <c r="S24" s="288"/>
      <c r="T24" s="289" t="s">
        <v>63</v>
      </c>
      <c r="U24" s="307" t="s">
        <v>64</v>
      </c>
      <c r="V24" s="308">
        <f>H37</f>
        <v>4775</v>
      </c>
      <c r="W24" s="57">
        <f>L37</f>
        <v>111.6</v>
      </c>
      <c r="X24" s="57"/>
      <c r="AB24" s="320">
        <f t="shared" si="1"/>
        <v>172.18</v>
      </c>
      <c r="AD24" s="3">
        <f t="shared" si="2"/>
        <v>0</v>
      </c>
      <c r="AE24" s="3">
        <f t="shared" si="3"/>
        <v>0.0313356445443648</v>
      </c>
      <c r="AF24" s="3">
        <f t="shared" si="4"/>
        <v>0</v>
      </c>
      <c r="AG24" s="3">
        <f t="shared" si="5"/>
        <v>0.0110005521042134</v>
      </c>
      <c r="AH24" s="3">
        <f t="shared" si="6"/>
        <v>0.0465157051266109</v>
      </c>
      <c r="AI24" s="3">
        <f t="shared" si="7"/>
        <v>0.0888519017751891</v>
      </c>
      <c r="AK24" s="3">
        <f>AB24*(100-进出水!T26)/100</f>
        <v>37.8796</v>
      </c>
      <c r="AL24" s="3">
        <f t="shared" si="8"/>
        <v>5.9398726491304</v>
      </c>
    </row>
    <row r="25" ht="18.6" customHeight="1" spans="1:38">
      <c r="A25" s="6">
        <v>21</v>
      </c>
      <c r="B25" s="264">
        <v>30.1</v>
      </c>
      <c r="C25" s="265" t="s">
        <v>65</v>
      </c>
      <c r="D25" s="266">
        <v>209852</v>
      </c>
      <c r="E25" s="267">
        <v>102.86</v>
      </c>
      <c r="F25" s="267">
        <v>53.84</v>
      </c>
      <c r="G25" s="267">
        <v>0</v>
      </c>
      <c r="H25" s="268">
        <v>175</v>
      </c>
      <c r="I25" s="6">
        <v>4048</v>
      </c>
      <c r="J25" s="278">
        <v>54299.9999999665</v>
      </c>
      <c r="K25" s="275">
        <v>6960</v>
      </c>
      <c r="L25" s="275">
        <v>8.4</v>
      </c>
      <c r="M25" s="275">
        <v>3550</v>
      </c>
      <c r="N25" s="275">
        <v>1224</v>
      </c>
      <c r="O25" s="276">
        <v>0</v>
      </c>
      <c r="P25" s="276">
        <v>0</v>
      </c>
      <c r="Q25" s="286">
        <v>5475</v>
      </c>
      <c r="R25" s="287">
        <f t="shared" si="0"/>
        <v>204377</v>
      </c>
      <c r="S25" s="288"/>
      <c r="T25" s="289"/>
      <c r="U25" s="307" t="s">
        <v>66</v>
      </c>
      <c r="V25" s="283">
        <f>汇总!F6</f>
        <v>5.06032732541317</v>
      </c>
      <c r="W25" s="283">
        <f>W24/R37*1000</f>
        <v>0.0180910681024966</v>
      </c>
      <c r="X25" s="57"/>
      <c r="AB25" s="320">
        <f t="shared" si="1"/>
        <v>156.7</v>
      </c>
      <c r="AD25" s="3">
        <f t="shared" si="2"/>
        <v>0.0179127788351918</v>
      </c>
      <c r="AE25" s="3">
        <f t="shared" si="3"/>
        <v>0.0239753005475176</v>
      </c>
      <c r="AF25" s="3">
        <f t="shared" si="4"/>
        <v>0.000427445358332885</v>
      </c>
      <c r="AG25" s="3">
        <f t="shared" si="5"/>
        <v>0.00772958796733488</v>
      </c>
      <c r="AH25" s="3">
        <f t="shared" si="6"/>
        <v>0.0324121011659825</v>
      </c>
      <c r="AI25" s="3">
        <f t="shared" si="7"/>
        <v>0.0824572138743596</v>
      </c>
      <c r="AK25" s="3">
        <f>AB25*(100-进出水!T27)/100</f>
        <v>32.7503</v>
      </c>
      <c r="AL25" s="3">
        <f t="shared" si="8"/>
        <v>5.34346250263356</v>
      </c>
    </row>
    <row r="26" ht="18.6" customHeight="1" spans="1:38">
      <c r="A26" s="6">
        <v>22</v>
      </c>
      <c r="B26" s="264">
        <v>30.5</v>
      </c>
      <c r="C26" s="265" t="s">
        <v>42</v>
      </c>
      <c r="D26" s="266">
        <v>208372</v>
      </c>
      <c r="E26" s="267">
        <v>106.42</v>
      </c>
      <c r="F26" s="267">
        <v>89.3</v>
      </c>
      <c r="G26" s="267">
        <v>0</v>
      </c>
      <c r="H26" s="268">
        <v>225</v>
      </c>
      <c r="I26" s="6">
        <v>4578</v>
      </c>
      <c r="J26" s="64">
        <v>53800.0000000102</v>
      </c>
      <c r="K26" s="275">
        <v>5280</v>
      </c>
      <c r="L26" s="275">
        <v>16</v>
      </c>
      <c r="M26" s="275">
        <v>2414</v>
      </c>
      <c r="N26" s="275">
        <v>864</v>
      </c>
      <c r="O26" s="276">
        <v>0</v>
      </c>
      <c r="P26" s="276">
        <v>0</v>
      </c>
      <c r="Q26" s="286">
        <v>5460</v>
      </c>
      <c r="R26" s="287">
        <f t="shared" si="0"/>
        <v>202912</v>
      </c>
      <c r="S26" s="288"/>
      <c r="T26" s="289" t="s">
        <v>10</v>
      </c>
      <c r="U26" s="307" t="s">
        <v>64</v>
      </c>
      <c r="V26" s="308">
        <f>K37</f>
        <v>56160</v>
      </c>
      <c r="W26" s="57"/>
      <c r="X26" s="57"/>
      <c r="AB26" s="320">
        <f t="shared" si="1"/>
        <v>195.72</v>
      </c>
      <c r="AD26" s="3">
        <f t="shared" si="2"/>
        <v>0.013687115596909</v>
      </c>
      <c r="AE26" s="3">
        <f t="shared" si="3"/>
        <v>0.0310479419649898</v>
      </c>
      <c r="AF26" s="3">
        <f t="shared" si="4"/>
        <v>0.000820059927456237</v>
      </c>
      <c r="AG26" s="3">
        <f t="shared" si="5"/>
        <v>0.00529406836461126</v>
      </c>
      <c r="AH26" s="3">
        <f t="shared" si="6"/>
        <v>0.0230443147768491</v>
      </c>
      <c r="AI26" s="3">
        <f t="shared" si="7"/>
        <v>0.0738935006308153</v>
      </c>
      <c r="AK26" s="3">
        <f>AB26*(100-进出水!T28)/100</f>
        <v>44.037</v>
      </c>
      <c r="AL26" s="3">
        <f t="shared" si="8"/>
        <v>5.10933987328837</v>
      </c>
    </row>
    <row r="27" ht="18.6" customHeight="1" spans="1:38">
      <c r="A27" s="6">
        <v>23</v>
      </c>
      <c r="B27" s="264">
        <v>30</v>
      </c>
      <c r="C27" s="265" t="s">
        <v>42</v>
      </c>
      <c r="D27" s="266">
        <v>192144</v>
      </c>
      <c r="E27" s="267">
        <v>103.68</v>
      </c>
      <c r="F27" s="267">
        <v>70.34</v>
      </c>
      <c r="G27" s="267">
        <v>0</v>
      </c>
      <c r="H27" s="268">
        <v>225</v>
      </c>
      <c r="I27" s="6">
        <v>5120</v>
      </c>
      <c r="J27" s="64">
        <v>51599.9999999985</v>
      </c>
      <c r="K27" s="275">
        <v>9600</v>
      </c>
      <c r="L27" s="275">
        <v>24.6</v>
      </c>
      <c r="M27" s="275">
        <v>1278</v>
      </c>
      <c r="N27" s="275">
        <v>480</v>
      </c>
      <c r="O27" s="276">
        <v>0</v>
      </c>
      <c r="P27" s="276">
        <v>0</v>
      </c>
      <c r="Q27" s="286">
        <v>5468</v>
      </c>
      <c r="R27" s="287">
        <f t="shared" si="0"/>
        <v>186676</v>
      </c>
      <c r="S27" s="288"/>
      <c r="T27" s="289"/>
      <c r="U27" s="307" t="s">
        <v>67</v>
      </c>
      <c r="V27" s="306">
        <f>ROUND(K37/R37*1000,1)</f>
        <v>9.1</v>
      </c>
      <c r="W27" s="57"/>
      <c r="X27" s="57"/>
      <c r="AB27" s="320">
        <f t="shared" si="1"/>
        <v>174.02</v>
      </c>
      <c r="AD27" s="3">
        <f t="shared" si="2"/>
        <v>0.0270500760676252</v>
      </c>
      <c r="AE27" s="3">
        <f t="shared" si="3"/>
        <v>0.0337483125843708</v>
      </c>
      <c r="AF27" s="3">
        <f t="shared" si="4"/>
        <v>0.00137050290342626</v>
      </c>
      <c r="AG27" s="3">
        <f t="shared" si="5"/>
        <v>0.00304650838886627</v>
      </c>
      <c r="AH27" s="3">
        <f t="shared" si="6"/>
        <v>0.0139158756347897</v>
      </c>
      <c r="AI27" s="3">
        <f t="shared" si="7"/>
        <v>0.0791312755790782</v>
      </c>
      <c r="AK27" s="3">
        <f>AB27*(100-进出水!T29)/100</f>
        <v>39.50254</v>
      </c>
      <c r="AL27" s="3">
        <f t="shared" si="8"/>
        <v>5.69583626774379</v>
      </c>
    </row>
    <row r="28" ht="18.6" customHeight="1" spans="1:38">
      <c r="A28" s="6">
        <v>24</v>
      </c>
      <c r="B28" s="264">
        <v>30.1</v>
      </c>
      <c r="C28" s="265" t="s">
        <v>42</v>
      </c>
      <c r="D28" s="266">
        <v>175089</v>
      </c>
      <c r="E28" s="267">
        <v>181.3</v>
      </c>
      <c r="F28" s="267">
        <v>0</v>
      </c>
      <c r="G28" s="267">
        <v>0</v>
      </c>
      <c r="H28" s="268">
        <v>125</v>
      </c>
      <c r="I28" s="6">
        <v>3668</v>
      </c>
      <c r="J28" s="64">
        <v>51700.0000000189</v>
      </c>
      <c r="K28" s="275">
        <v>9960</v>
      </c>
      <c r="L28" s="275">
        <v>40.2</v>
      </c>
      <c r="M28" s="275">
        <v>3124</v>
      </c>
      <c r="N28" s="275">
        <v>1104</v>
      </c>
      <c r="O28" s="276">
        <v>3.36</v>
      </c>
      <c r="P28" s="276">
        <v>0</v>
      </c>
      <c r="Q28" s="286">
        <v>5529</v>
      </c>
      <c r="R28" s="287">
        <f t="shared" si="0"/>
        <v>169560</v>
      </c>
      <c r="S28" s="288"/>
      <c r="T28" s="289" t="s">
        <v>12</v>
      </c>
      <c r="U28" s="307" t="s">
        <v>64</v>
      </c>
      <c r="V28" s="308">
        <f>M37</f>
        <v>105932</v>
      </c>
      <c r="W28" s="57"/>
      <c r="X28" s="57"/>
      <c r="AB28" s="320">
        <f t="shared" si="1"/>
        <v>181.3</v>
      </c>
      <c r="AD28" s="3">
        <f t="shared" si="2"/>
        <v>0.030897381457891</v>
      </c>
      <c r="AE28" s="3">
        <f t="shared" si="3"/>
        <v>0.0206416607690493</v>
      </c>
      <c r="AF28" s="3">
        <f t="shared" si="4"/>
        <v>0.00246567586694975</v>
      </c>
      <c r="AG28" s="3">
        <f t="shared" si="5"/>
        <v>0.00819874970511913</v>
      </c>
      <c r="AH28" s="3">
        <f t="shared" si="6"/>
        <v>0.0352373673036093</v>
      </c>
      <c r="AI28" s="3">
        <f t="shared" si="7"/>
        <v>0.0974408351026186</v>
      </c>
      <c r="AK28" s="3">
        <f>AB28*(100-进出水!T30)/100</f>
        <v>40.2486</v>
      </c>
      <c r="AL28" s="3">
        <f t="shared" si="8"/>
        <v>3.10569808639307</v>
      </c>
    </row>
    <row r="29" ht="18.6" customHeight="1" spans="1:38">
      <c r="A29" s="6">
        <v>25</v>
      </c>
      <c r="B29" s="264">
        <v>30</v>
      </c>
      <c r="C29" s="265" t="s">
        <v>42</v>
      </c>
      <c r="D29" s="266">
        <v>194104</v>
      </c>
      <c r="E29" s="267">
        <v>72.26</v>
      </c>
      <c r="F29" s="267">
        <v>67.36</v>
      </c>
      <c r="G29" s="267">
        <v>0</v>
      </c>
      <c r="H29" s="268">
        <v>100</v>
      </c>
      <c r="I29" s="6">
        <v>4278</v>
      </c>
      <c r="J29" s="64">
        <v>53400.0000000015</v>
      </c>
      <c r="K29" s="275">
        <v>120</v>
      </c>
      <c r="L29" s="275">
        <v>0.4</v>
      </c>
      <c r="M29" s="275">
        <v>5254</v>
      </c>
      <c r="N29" s="275">
        <v>1800</v>
      </c>
      <c r="O29" s="276">
        <v>6.143</v>
      </c>
      <c r="P29" s="276">
        <v>0</v>
      </c>
      <c r="Q29" s="286">
        <v>5469</v>
      </c>
      <c r="R29" s="287">
        <f t="shared" si="0"/>
        <v>188635</v>
      </c>
      <c r="S29" s="288"/>
      <c r="T29" s="289"/>
      <c r="U29" s="307" t="s">
        <v>67</v>
      </c>
      <c r="V29" s="309">
        <f>ROUND(M37/R37*1000,1)</f>
        <v>17.2</v>
      </c>
      <c r="W29" s="57"/>
      <c r="X29" s="57"/>
      <c r="AB29" s="320">
        <f t="shared" si="1"/>
        <v>139.62</v>
      </c>
      <c r="AD29" s="3">
        <f t="shared" si="2"/>
        <v>0.000334614467092533</v>
      </c>
      <c r="AE29" s="3">
        <f t="shared" si="3"/>
        <v>0.0148434807962467</v>
      </c>
      <c r="AF29" s="3">
        <f t="shared" si="4"/>
        <v>2.20531714687094e-5</v>
      </c>
      <c r="AG29" s="3">
        <f t="shared" si="5"/>
        <v>0.0123944655021603</v>
      </c>
      <c r="AH29" s="3">
        <f t="shared" si="6"/>
        <v>0.0516425901873989</v>
      </c>
      <c r="AI29" s="3">
        <f t="shared" si="7"/>
        <v>0.0792372041243672</v>
      </c>
      <c r="AK29" s="3">
        <f>AB29*(100-进出水!T31)/100</f>
        <v>31.27488</v>
      </c>
      <c r="AL29" s="3">
        <f t="shared" si="8"/>
        <v>3.19745431477275</v>
      </c>
    </row>
    <row r="30" ht="18.6" customHeight="1" spans="1:38">
      <c r="A30" s="6">
        <v>26</v>
      </c>
      <c r="B30" s="264">
        <v>30.8</v>
      </c>
      <c r="C30" s="265" t="s">
        <v>42</v>
      </c>
      <c r="D30" s="266">
        <v>212534</v>
      </c>
      <c r="E30" s="267">
        <v>0</v>
      </c>
      <c r="F30" s="267">
        <v>105.26</v>
      </c>
      <c r="G30" s="267">
        <v>0</v>
      </c>
      <c r="H30" s="268">
        <v>100</v>
      </c>
      <c r="I30" s="6">
        <v>4252</v>
      </c>
      <c r="J30" s="64">
        <v>55000</v>
      </c>
      <c r="K30" s="275">
        <v>0</v>
      </c>
      <c r="L30" s="275">
        <v>0.4</v>
      </c>
      <c r="M30" s="275">
        <v>4331</v>
      </c>
      <c r="N30" s="275">
        <v>1512</v>
      </c>
      <c r="O30" s="276">
        <v>6.321</v>
      </c>
      <c r="P30" s="276">
        <v>0</v>
      </c>
      <c r="Q30" s="286">
        <v>5513</v>
      </c>
      <c r="R30" s="287">
        <f t="shared" si="0"/>
        <v>207021</v>
      </c>
      <c r="S30" s="288"/>
      <c r="T30" s="289" t="s">
        <v>13</v>
      </c>
      <c r="U30" s="307" t="s">
        <v>64</v>
      </c>
      <c r="V30" s="308">
        <f>处理量!N37</f>
        <v>36888</v>
      </c>
      <c r="W30" s="57"/>
      <c r="X30" s="57"/>
      <c r="AB30" s="320">
        <f t="shared" si="1"/>
        <v>105.26</v>
      </c>
      <c r="AD30" s="3">
        <f t="shared" si="2"/>
        <v>0</v>
      </c>
      <c r="AE30" s="3">
        <f t="shared" si="3"/>
        <v>0.0135251979267804</v>
      </c>
      <c r="AF30" s="3">
        <f t="shared" si="4"/>
        <v>2.00945797769308e-5</v>
      </c>
      <c r="AG30" s="3">
        <f t="shared" si="5"/>
        <v>0.00930965940653364</v>
      </c>
      <c r="AH30" s="3">
        <f t="shared" si="6"/>
        <v>0.0395271204370571</v>
      </c>
      <c r="AI30" s="3">
        <f t="shared" si="7"/>
        <v>0.0623820723501481</v>
      </c>
      <c r="AK30" s="3">
        <f>AB30*(100-进出水!T32)/100</f>
        <v>23.05194</v>
      </c>
      <c r="AL30" s="3">
        <f t="shared" si="8"/>
        <v>4.33802968426952</v>
      </c>
    </row>
    <row r="31" ht="18.6" customHeight="1" spans="1:38">
      <c r="A31" s="6">
        <v>27</v>
      </c>
      <c r="B31" s="264">
        <v>30.5</v>
      </c>
      <c r="C31" s="265" t="s">
        <v>42</v>
      </c>
      <c r="D31" s="266">
        <v>210268</v>
      </c>
      <c r="E31" s="267">
        <v>0</v>
      </c>
      <c r="F31" s="267">
        <v>104.32</v>
      </c>
      <c r="G31" s="267">
        <v>0</v>
      </c>
      <c r="H31" s="268">
        <v>100</v>
      </c>
      <c r="I31" s="6">
        <v>5408</v>
      </c>
      <c r="J31" s="64">
        <v>52299.9999999956</v>
      </c>
      <c r="K31" s="275">
        <v>120</v>
      </c>
      <c r="L31" s="275">
        <v>0.4</v>
      </c>
      <c r="M31" s="275">
        <v>4828</v>
      </c>
      <c r="N31" s="275">
        <v>1584</v>
      </c>
      <c r="O31" s="276">
        <v>6.09</v>
      </c>
      <c r="P31" s="276">
        <v>0</v>
      </c>
      <c r="Q31" s="286">
        <v>5455</v>
      </c>
      <c r="R31" s="287">
        <f t="shared" si="0"/>
        <v>204813</v>
      </c>
      <c r="S31" s="288"/>
      <c r="T31" s="289"/>
      <c r="U31" s="307" t="s">
        <v>67</v>
      </c>
      <c r="V31" s="306">
        <f>ROUND(N37/R37*1000,2)</f>
        <v>5.98</v>
      </c>
      <c r="W31" s="57"/>
      <c r="X31" s="57"/>
      <c r="AB31" s="320">
        <f t="shared" si="1"/>
        <v>104.32</v>
      </c>
      <c r="AD31" s="3">
        <f t="shared" si="2"/>
        <v>0.000308183562566829</v>
      </c>
      <c r="AE31" s="3">
        <f t="shared" si="3"/>
        <v>0.0136710072114563</v>
      </c>
      <c r="AF31" s="3">
        <f t="shared" si="4"/>
        <v>2.03112107141637e-5</v>
      </c>
      <c r="AG31" s="3">
        <f t="shared" si="5"/>
        <v>0.0104898614834019</v>
      </c>
      <c r="AH31" s="3">
        <f t="shared" si="6"/>
        <v>0.0418557806389243</v>
      </c>
      <c r="AI31" s="3">
        <f t="shared" si="7"/>
        <v>0.0663451441070635</v>
      </c>
      <c r="AK31" s="3">
        <f>AB31*(100-进出水!T33)/100</f>
        <v>22.53312</v>
      </c>
      <c r="AL31" s="3">
        <f t="shared" si="8"/>
        <v>4.43791183821859</v>
      </c>
    </row>
    <row r="32" ht="18.6" customHeight="1" spans="1:38">
      <c r="A32" s="6">
        <v>28</v>
      </c>
      <c r="B32" s="264">
        <v>30.7</v>
      </c>
      <c r="C32" s="265" t="s">
        <v>42</v>
      </c>
      <c r="D32" s="266">
        <v>187191</v>
      </c>
      <c r="E32" s="267">
        <v>54.76</v>
      </c>
      <c r="F32" s="267">
        <v>53.84</v>
      </c>
      <c r="G32" s="267">
        <v>0</v>
      </c>
      <c r="H32" s="268">
        <v>100</v>
      </c>
      <c r="I32" s="6">
        <v>4636</v>
      </c>
      <c r="J32" s="64">
        <v>53199.9999999971</v>
      </c>
      <c r="K32" s="275">
        <v>120</v>
      </c>
      <c r="L32" s="275">
        <v>0.2</v>
      </c>
      <c r="M32" s="275">
        <v>3763</v>
      </c>
      <c r="N32" s="275">
        <v>1320</v>
      </c>
      <c r="O32" s="276">
        <v>6.44</v>
      </c>
      <c r="P32" s="276">
        <v>0</v>
      </c>
      <c r="Q32" s="286">
        <v>5491</v>
      </c>
      <c r="R32" s="287">
        <f t="shared" si="0"/>
        <v>181700</v>
      </c>
      <c r="S32" s="288"/>
      <c r="T32" s="289" t="s">
        <v>68</v>
      </c>
      <c r="U32" s="307" t="s">
        <v>69</v>
      </c>
      <c r="V32" s="57">
        <f>O37</f>
        <v>103.909</v>
      </c>
      <c r="W32" s="57"/>
      <c r="X32" s="57"/>
      <c r="AB32" s="320">
        <f t="shared" si="1"/>
        <v>108.6</v>
      </c>
      <c r="AD32" s="3">
        <f t="shared" si="2"/>
        <v>0.000347385800770501</v>
      </c>
      <c r="AE32" s="3">
        <f t="shared" si="3"/>
        <v>0.015410016510732</v>
      </c>
      <c r="AF32" s="3">
        <f t="shared" si="4"/>
        <v>1.14474408365438e-5</v>
      </c>
      <c r="AG32" s="3">
        <f t="shared" si="5"/>
        <v>0.00921593285635663</v>
      </c>
      <c r="AH32" s="3">
        <f t="shared" si="6"/>
        <v>0.0393166758392955</v>
      </c>
      <c r="AI32" s="3">
        <f t="shared" si="7"/>
        <v>0.0643014584479912</v>
      </c>
      <c r="AK32" s="3">
        <f>AB32*(100-进出水!T34)/100</f>
        <v>23.2404</v>
      </c>
      <c r="AL32" s="3">
        <f t="shared" si="8"/>
        <v>4.30285193025937</v>
      </c>
    </row>
    <row r="33" ht="18.6" customHeight="1" spans="1:38">
      <c r="A33" s="6">
        <v>29</v>
      </c>
      <c r="B33" s="264">
        <v>31.2</v>
      </c>
      <c r="C33" s="265" t="s">
        <v>42</v>
      </c>
      <c r="D33" s="266">
        <v>197889</v>
      </c>
      <c r="E33" s="267">
        <v>0</v>
      </c>
      <c r="F33" s="267">
        <v>106.36</v>
      </c>
      <c r="G33" s="267">
        <v>0</v>
      </c>
      <c r="H33" s="268">
        <v>100</v>
      </c>
      <c r="I33" s="6">
        <v>4522</v>
      </c>
      <c r="J33" s="64">
        <v>51599.9999999985</v>
      </c>
      <c r="K33" s="275">
        <v>120</v>
      </c>
      <c r="L33" s="275">
        <v>0.2</v>
      </c>
      <c r="M33" s="275">
        <v>1988</v>
      </c>
      <c r="N33" s="275">
        <v>720</v>
      </c>
      <c r="O33" s="276">
        <v>6.3</v>
      </c>
      <c r="P33" s="276">
        <v>0</v>
      </c>
      <c r="Q33" s="286">
        <v>5511</v>
      </c>
      <c r="R33" s="287">
        <f t="shared" si="0"/>
        <v>192378</v>
      </c>
      <c r="S33" s="288"/>
      <c r="T33" s="289"/>
      <c r="U33" s="307" t="s">
        <v>67</v>
      </c>
      <c r="V33" s="306">
        <f>ROUND(V32/R37*1000000,2)</f>
        <v>16.84</v>
      </c>
      <c r="W33" s="57"/>
      <c r="X33" s="57"/>
      <c r="AB33" s="320">
        <f t="shared" si="1"/>
        <v>106.36</v>
      </c>
      <c r="AD33" s="3">
        <f t="shared" si="2"/>
        <v>0.000328104045161089</v>
      </c>
      <c r="AE33" s="3">
        <f t="shared" si="3"/>
        <v>0.0145546788094273</v>
      </c>
      <c r="AF33" s="3">
        <f t="shared" si="4"/>
        <v>1.08120471155745e-5</v>
      </c>
      <c r="AG33" s="3">
        <f t="shared" si="5"/>
        <v>0.00459855076983855</v>
      </c>
      <c r="AH33" s="3">
        <f t="shared" si="6"/>
        <v>0.020255122727131</v>
      </c>
      <c r="AI33" s="3">
        <f t="shared" si="7"/>
        <v>0.0397472683986734</v>
      </c>
      <c r="AK33" s="3">
        <f>AB33*(100-进出水!T35)/100</f>
        <v>22.8674</v>
      </c>
      <c r="AL33" s="3">
        <f t="shared" si="8"/>
        <v>4.37303759937728</v>
      </c>
    </row>
    <row r="34" ht="18.6" customHeight="1" spans="1:38">
      <c r="A34" s="6">
        <v>30</v>
      </c>
      <c r="B34" s="264">
        <v>31.4</v>
      </c>
      <c r="C34" s="265" t="s">
        <v>42</v>
      </c>
      <c r="D34" s="266">
        <v>208202</v>
      </c>
      <c r="E34" s="267">
        <v>51.8</v>
      </c>
      <c r="F34" s="267">
        <v>47.96</v>
      </c>
      <c r="G34" s="267">
        <v>0</v>
      </c>
      <c r="H34" s="268">
        <v>100</v>
      </c>
      <c r="I34" s="6">
        <v>4096</v>
      </c>
      <c r="J34" s="64">
        <v>51699.9999999825</v>
      </c>
      <c r="K34" s="275">
        <v>19920</v>
      </c>
      <c r="L34" s="275">
        <v>18</v>
      </c>
      <c r="M34" s="275">
        <v>1420</v>
      </c>
      <c r="N34" s="275">
        <v>528</v>
      </c>
      <c r="O34" s="276">
        <v>6.37</v>
      </c>
      <c r="P34" s="276">
        <v>0</v>
      </c>
      <c r="Q34" s="286">
        <v>5534</v>
      </c>
      <c r="R34" s="287">
        <f t="shared" si="0"/>
        <v>202668</v>
      </c>
      <c r="S34" s="288"/>
      <c r="T34" s="289"/>
      <c r="U34" s="307"/>
      <c r="V34" s="306"/>
      <c r="W34" s="57"/>
      <c r="X34" s="57"/>
      <c r="AB34" s="320">
        <f t="shared" si="1"/>
        <v>99.76</v>
      </c>
      <c r="AD34" s="3">
        <f t="shared" si="2"/>
        <v>0.0516999230268222</v>
      </c>
      <c r="AE34" s="3">
        <f t="shared" si="3"/>
        <v>0.0138156985809304</v>
      </c>
      <c r="AF34" s="3">
        <f t="shared" si="4"/>
        <v>0.000923678133696489</v>
      </c>
      <c r="AG34" s="3">
        <f t="shared" si="5"/>
        <v>0.00311790711903211</v>
      </c>
      <c r="AH34" s="3">
        <f t="shared" si="6"/>
        <v>0.0140995914500562</v>
      </c>
      <c r="AI34" s="3">
        <f t="shared" si="7"/>
        <v>0.0836567983105374</v>
      </c>
      <c r="AK34" s="3">
        <f>AB34*(100-进出水!T36)/100</f>
        <v>21.64792</v>
      </c>
      <c r="AL34" s="3">
        <f t="shared" si="8"/>
        <v>4.61938144634681</v>
      </c>
    </row>
    <row r="35" ht="18.6" customHeight="1" spans="1:38">
      <c r="A35" s="6">
        <v>31</v>
      </c>
      <c r="B35" s="264">
        <v>32</v>
      </c>
      <c r="C35" s="265" t="s">
        <v>42</v>
      </c>
      <c r="D35" s="266">
        <v>212389</v>
      </c>
      <c r="E35" s="267">
        <v>0</v>
      </c>
      <c r="F35" s="267">
        <v>101.94</v>
      </c>
      <c r="G35" s="267">
        <v>0</v>
      </c>
      <c r="H35" s="268">
        <v>100</v>
      </c>
      <c r="I35" s="6">
        <v>3194</v>
      </c>
      <c r="J35" s="64">
        <v>54600.0000000276</v>
      </c>
      <c r="K35" s="275">
        <v>2280</v>
      </c>
      <c r="L35" s="275">
        <v>2.6</v>
      </c>
      <c r="M35" s="275">
        <v>4828</v>
      </c>
      <c r="N35" s="275">
        <v>1584</v>
      </c>
      <c r="O35" s="276">
        <v>3.15</v>
      </c>
      <c r="P35" s="276">
        <v>0</v>
      </c>
      <c r="Q35" s="286">
        <v>5449</v>
      </c>
      <c r="R35" s="287">
        <f t="shared" si="0"/>
        <v>206940</v>
      </c>
      <c r="S35" s="288"/>
      <c r="T35" s="289"/>
      <c r="U35" s="307"/>
      <c r="V35" s="57"/>
      <c r="W35" s="57"/>
      <c r="X35" s="57"/>
      <c r="AB35" s="320">
        <f t="shared" si="1"/>
        <v>101.94</v>
      </c>
      <c r="AD35" s="3">
        <f t="shared" si="2"/>
        <v>0.00579530298637286</v>
      </c>
      <c r="AE35" s="3">
        <f t="shared" si="3"/>
        <v>0.013530491930028</v>
      </c>
      <c r="AF35" s="3">
        <f t="shared" si="4"/>
        <v>0.000130665893495699</v>
      </c>
      <c r="AG35" s="3">
        <f t="shared" si="5"/>
        <v>0.0103820431042814</v>
      </c>
      <c r="AH35" s="3">
        <f t="shared" si="6"/>
        <v>0.0414255726297478</v>
      </c>
      <c r="AI35" s="3">
        <f t="shared" si="7"/>
        <v>0.0712640765439258</v>
      </c>
      <c r="AK35" s="3">
        <f>AB35*(100-进出水!T37)/100</f>
        <v>22.52874</v>
      </c>
      <c r="AL35" s="3">
        <f t="shared" si="8"/>
        <v>4.43877464962532</v>
      </c>
    </row>
    <row r="36" ht="19" customHeight="1" spans="1:20">
      <c r="A36" s="5" t="s">
        <v>70</v>
      </c>
      <c r="B36" s="61">
        <f>AVERAGE(B5:B35)</f>
        <v>29.9645161290323</v>
      </c>
      <c r="C36" s="8" t="s">
        <v>71</v>
      </c>
      <c r="D36" s="269">
        <f>AVERAGE(D5:D35)</f>
        <v>204449.870967742</v>
      </c>
      <c r="E36" s="172">
        <f>AVERAGE(E5:E35)</f>
        <v>52.0470967741935</v>
      </c>
      <c r="F36" s="172">
        <f>AVERAGE(F5:F35)</f>
        <v>86.4225806451613</v>
      </c>
      <c r="G36" s="172">
        <f>AVERAGE(G5:G35)</f>
        <v>0.967741935483871</v>
      </c>
      <c r="H36" s="269">
        <f t="shared" ref="H36:Q36" si="9">AVERAGE(H5:H35)</f>
        <v>154.032258064516</v>
      </c>
      <c r="I36" s="269">
        <f t="shared" si="9"/>
        <v>4498.51612903226</v>
      </c>
      <c r="J36" s="269">
        <f t="shared" si="9"/>
        <v>53661.2903225813</v>
      </c>
      <c r="K36" s="269">
        <f t="shared" si="9"/>
        <v>1811.61290322581</v>
      </c>
      <c r="L36" s="269">
        <f t="shared" si="9"/>
        <v>3.6</v>
      </c>
      <c r="M36" s="269">
        <f t="shared" si="9"/>
        <v>3417.16129032258</v>
      </c>
      <c r="N36" s="269">
        <f t="shared" si="9"/>
        <v>1189.93548387097</v>
      </c>
      <c r="O36" s="279">
        <f t="shared" si="9"/>
        <v>3.35190322580645</v>
      </c>
      <c r="P36" s="172">
        <f t="shared" si="9"/>
        <v>0</v>
      </c>
      <c r="Q36" s="269">
        <f t="shared" si="9"/>
        <v>5456.64516129032</v>
      </c>
      <c r="R36" s="310">
        <f t="shared" si="0"/>
        <v>198993.225806452</v>
      </c>
      <c r="S36" s="311"/>
      <c r="T36" s="312"/>
    </row>
    <row r="37" ht="17" customHeight="1" spans="1:28">
      <c r="A37" s="5" t="s">
        <v>28</v>
      </c>
      <c r="B37" s="6" t="s">
        <v>71</v>
      </c>
      <c r="C37" s="6" t="s">
        <v>71</v>
      </c>
      <c r="D37" s="270">
        <f>SUM(D5:D35)</f>
        <v>6337946</v>
      </c>
      <c r="E37" s="271">
        <f>SUM(E5:E35)</f>
        <v>1613.46</v>
      </c>
      <c r="F37" s="271">
        <f>SUM(F5:F35)</f>
        <v>2679.1</v>
      </c>
      <c r="G37" s="271">
        <f>SUM(G5:G35)</f>
        <v>30</v>
      </c>
      <c r="H37" s="270">
        <f>SUM(H5:H35)</f>
        <v>4775</v>
      </c>
      <c r="I37" s="6" t="s">
        <v>71</v>
      </c>
      <c r="J37" s="269">
        <f t="shared" ref="J37:R37" si="10">SUM(J5:J35)</f>
        <v>1663500.00000002</v>
      </c>
      <c r="K37" s="269">
        <f t="shared" si="10"/>
        <v>56160</v>
      </c>
      <c r="L37" s="280">
        <f t="shared" si="10"/>
        <v>111.6</v>
      </c>
      <c r="M37" s="269">
        <f t="shared" si="10"/>
        <v>105932</v>
      </c>
      <c r="N37" s="269">
        <f t="shared" si="10"/>
        <v>36888</v>
      </c>
      <c r="O37" s="172">
        <f t="shared" si="10"/>
        <v>103.909</v>
      </c>
      <c r="P37" s="172">
        <f t="shared" si="10"/>
        <v>0</v>
      </c>
      <c r="Q37" s="269">
        <f t="shared" si="10"/>
        <v>169156</v>
      </c>
      <c r="R37" s="269">
        <f t="shared" si="10"/>
        <v>6168790</v>
      </c>
      <c r="S37" s="313"/>
      <c r="T37" s="314"/>
      <c r="AB37" s="3">
        <f>SUM(AB5:AB36)</f>
        <v>4322.56</v>
      </c>
    </row>
    <row r="38" ht="18.6" customHeight="1" spans="1:18">
      <c r="A38" s="272" t="s">
        <v>72</v>
      </c>
      <c r="B38" s="272"/>
      <c r="C38" s="272"/>
      <c r="D38" s="272"/>
      <c r="E38" s="273"/>
      <c r="F38" s="273"/>
      <c r="I38" s="281" t="s">
        <v>73</v>
      </c>
      <c r="Q38" s="315" t="s">
        <v>74</v>
      </c>
      <c r="R38" s="316">
        <v>44776</v>
      </c>
    </row>
    <row r="39" ht="18.6" customHeight="1" spans="13:13">
      <c r="M39" s="255">
        <f>M37*0.31</f>
        <v>32838.92</v>
      </c>
    </row>
    <row r="40" spans="7:28">
      <c r="G40" s="255"/>
      <c r="H40" s="255"/>
      <c r="Q40" s="255" t="s">
        <v>75</v>
      </c>
      <c r="R40" s="255">
        <f>MAX(R5:R35)</f>
        <v>209291</v>
      </c>
      <c r="AB40" s="3">
        <f>(100-进出水!T38)*AB37/100</f>
        <v>943.614848</v>
      </c>
    </row>
    <row r="41" spans="7:18">
      <c r="G41" s="255"/>
      <c r="H41" s="255"/>
      <c r="O41" s="255">
        <f>O37*1000</f>
        <v>103909</v>
      </c>
      <c r="Q41" s="255" t="s">
        <v>76</v>
      </c>
      <c r="R41" s="255">
        <f>MIN(R5:R35)</f>
        <v>169560</v>
      </c>
    </row>
    <row r="42" spans="12:12">
      <c r="L42" s="255">
        <f>L37*1000/R37</f>
        <v>0.0180910681024966</v>
      </c>
    </row>
    <row r="44" spans="18:18">
      <c r="R44" s="255">
        <f>L37/R37*1000</f>
        <v>0.0180910681024966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I12" sqref="I12:J12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9" t="s">
        <v>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44743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22">
      <c r="A3" s="201" t="s">
        <v>78</v>
      </c>
      <c r="B3" s="202" t="s">
        <v>79</v>
      </c>
      <c r="C3" s="203">
        <f>处理量!R37</f>
        <v>6168790</v>
      </c>
      <c r="D3" s="204" t="s">
        <v>80</v>
      </c>
      <c r="E3" s="202" t="s">
        <v>81</v>
      </c>
      <c r="F3" s="205">
        <f>处理量!E37+处理量!F37+处理量!G37</f>
        <v>4322.56</v>
      </c>
      <c r="G3" s="201" t="s">
        <v>82</v>
      </c>
      <c r="H3" s="202" t="s">
        <v>83</v>
      </c>
      <c r="I3" s="202"/>
      <c r="J3" s="37">
        <f>处理量!J37</f>
        <v>1663500.00000002</v>
      </c>
      <c r="K3" s="204" t="s">
        <v>84</v>
      </c>
      <c r="L3" s="202" t="s">
        <v>85</v>
      </c>
      <c r="M3" s="239">
        <f>J3/C3</f>
        <v>0.269663904914905</v>
      </c>
      <c r="P3" s="195" t="s">
        <v>86</v>
      </c>
      <c r="Q3" s="253">
        <v>1773.2</v>
      </c>
      <c r="R3" s="195">
        <f>J5-Q3</f>
        <v>2328.8</v>
      </c>
      <c r="V3" s="195">
        <v>188314</v>
      </c>
    </row>
    <row r="4" s="195" customFormat="1" ht="24" customHeight="1" spans="1:22">
      <c r="A4" s="201"/>
      <c r="B4" s="202" t="s">
        <v>87</v>
      </c>
      <c r="C4" s="206">
        <f>处理量!R36</f>
        <v>198993.225806452</v>
      </c>
      <c r="D4" s="207"/>
      <c r="E4" s="202" t="s">
        <v>88</v>
      </c>
      <c r="F4" s="208">
        <f>处理量!H37</f>
        <v>4775</v>
      </c>
      <c r="G4" s="201"/>
      <c r="H4" s="202" t="s">
        <v>89</v>
      </c>
      <c r="I4" s="202"/>
      <c r="J4" s="208">
        <f>J3/M15</f>
        <v>53661.2903225813</v>
      </c>
      <c r="K4" s="207"/>
      <c r="L4" s="202" t="s">
        <v>90</v>
      </c>
      <c r="M4" s="240">
        <f>J3/I12</f>
        <v>1.50063386151867</v>
      </c>
      <c r="P4" s="195" t="s">
        <v>91</v>
      </c>
      <c r="Q4" s="253">
        <v>50535.9999999999</v>
      </c>
      <c r="V4" s="195">
        <v>193894</v>
      </c>
    </row>
    <row r="5" s="195" customFormat="1" ht="24" customHeight="1" spans="1:22">
      <c r="A5" s="201"/>
      <c r="B5" s="202"/>
      <c r="C5" s="209"/>
      <c r="D5" s="207"/>
      <c r="E5" s="202" t="s">
        <v>92</v>
      </c>
      <c r="F5" s="210">
        <f>进出水!T38</f>
        <v>78.17</v>
      </c>
      <c r="G5" s="201"/>
      <c r="H5" s="202" t="s">
        <v>93</v>
      </c>
      <c r="I5" s="202"/>
      <c r="J5" s="241">
        <v>4102</v>
      </c>
      <c r="K5" s="207"/>
      <c r="L5" s="202"/>
      <c r="M5" s="242"/>
      <c r="V5" s="195">
        <f>V4-V3</f>
        <v>5580</v>
      </c>
    </row>
    <row r="6" s="195" customFormat="1" ht="24" customHeight="1" spans="1:13">
      <c r="A6" s="201"/>
      <c r="B6" s="202" t="s">
        <v>94</v>
      </c>
      <c r="C6" s="211">
        <f>处理量!R40</f>
        <v>209291</v>
      </c>
      <c r="D6" s="207"/>
      <c r="E6" s="201" t="s">
        <v>95</v>
      </c>
      <c r="F6" s="205">
        <f>F4/(F3*(100-F5)/100)</f>
        <v>5.06032732541317</v>
      </c>
      <c r="G6" s="204" t="s">
        <v>96</v>
      </c>
      <c r="H6" s="202" t="s">
        <v>97</v>
      </c>
      <c r="I6" s="202"/>
      <c r="J6" s="214">
        <f>处理量!M37/1000</f>
        <v>105.932</v>
      </c>
      <c r="K6" s="207"/>
      <c r="L6" s="202" t="s">
        <v>98</v>
      </c>
      <c r="M6" s="214">
        <f>J3/I13</f>
        <v>3.0099777309399</v>
      </c>
    </row>
    <row r="7" s="195" customFormat="1" ht="24" customHeight="1" spans="1:13">
      <c r="A7" s="201"/>
      <c r="B7" s="202" t="s">
        <v>99</v>
      </c>
      <c r="C7" s="37">
        <f>处理量!R41</f>
        <v>169560</v>
      </c>
      <c r="D7" s="212"/>
      <c r="E7" s="201" t="s">
        <v>100</v>
      </c>
      <c r="F7" s="213">
        <f>F3*(100-F5)/100*1000/(C3/1000)</f>
        <v>152.965954101209</v>
      </c>
      <c r="G7" s="207"/>
      <c r="H7" s="202" t="s">
        <v>101</v>
      </c>
      <c r="I7" s="202"/>
      <c r="J7" s="228">
        <f>J6*1000/(C3/1000)</f>
        <v>17.1722493390114</v>
      </c>
      <c r="K7" s="207"/>
      <c r="L7" s="243" t="s">
        <v>102</v>
      </c>
      <c r="M7" s="214">
        <f>J3/I14</f>
        <v>3.41606162800742</v>
      </c>
    </row>
    <row r="8" s="195" customFormat="1" ht="24" customHeight="1" spans="1:13">
      <c r="A8" s="201"/>
      <c r="B8" s="202" t="s">
        <v>103</v>
      </c>
      <c r="C8" s="214">
        <f>C4/200000*100</f>
        <v>99.4966129032258</v>
      </c>
      <c r="D8" s="201" t="s">
        <v>104</v>
      </c>
      <c r="E8" s="202" t="s">
        <v>105</v>
      </c>
      <c r="F8" s="214">
        <f>处理量!K37/1000</f>
        <v>56.16</v>
      </c>
      <c r="G8" s="207"/>
      <c r="H8" s="202" t="s">
        <v>106</v>
      </c>
      <c r="I8" s="202"/>
      <c r="J8" s="214">
        <f>处理量!N37/1000</f>
        <v>36.888</v>
      </c>
      <c r="K8" s="244" t="s">
        <v>107</v>
      </c>
      <c r="L8" s="223" t="s">
        <v>108</v>
      </c>
      <c r="M8" s="245">
        <f>处理量!O37</f>
        <v>103.909</v>
      </c>
    </row>
    <row r="9" s="195" customFormat="1" ht="24" customHeight="1" spans="1:13">
      <c r="A9" s="201"/>
      <c r="B9" s="215" t="s">
        <v>109</v>
      </c>
      <c r="C9" s="216">
        <f>处理量!B36</f>
        <v>29.9645161290323</v>
      </c>
      <c r="D9" s="201"/>
      <c r="E9" s="202" t="s">
        <v>101</v>
      </c>
      <c r="F9" s="214">
        <f>F8*1000/(C3/1000)</f>
        <v>9.1038923354499</v>
      </c>
      <c r="G9" s="212"/>
      <c r="H9" s="202" t="s">
        <v>101</v>
      </c>
      <c r="I9" s="202"/>
      <c r="J9" s="205">
        <f>J8*1000/(C3/1000)</f>
        <v>5.97977885452415</v>
      </c>
      <c r="K9" s="220"/>
      <c r="L9" s="37" t="s">
        <v>101</v>
      </c>
      <c r="M9" s="245">
        <f>M8*1000000/C3</f>
        <v>16.8443082030674</v>
      </c>
    </row>
    <row r="10" s="195" customFormat="1" ht="24" customHeight="1" spans="1:13">
      <c r="A10" s="201" t="s">
        <v>110</v>
      </c>
      <c r="B10" s="217" t="s">
        <v>111</v>
      </c>
      <c r="C10" s="218" t="s">
        <v>112</v>
      </c>
      <c r="D10" s="219"/>
      <c r="E10" s="218" t="s">
        <v>113</v>
      </c>
      <c r="F10" s="219"/>
      <c r="G10" s="218" t="s">
        <v>114</v>
      </c>
      <c r="H10" s="219"/>
      <c r="I10" s="218" t="s">
        <v>115</v>
      </c>
      <c r="J10" s="219"/>
      <c r="K10" s="204" t="s">
        <v>116</v>
      </c>
      <c r="L10" s="223" t="s">
        <v>108</v>
      </c>
      <c r="M10" s="37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7" t="s">
        <v>101</v>
      </c>
      <c r="M11" s="37">
        <v>0</v>
      </c>
    </row>
    <row r="12" s="195" customFormat="1" ht="24" customHeight="1" spans="1:19">
      <c r="A12" s="201"/>
      <c r="B12" s="223" t="s">
        <v>117</v>
      </c>
      <c r="C12" s="208">
        <f>进出水!B38</f>
        <v>202</v>
      </c>
      <c r="D12" s="208"/>
      <c r="E12" s="224">
        <f>进出水!N38</f>
        <v>22.3</v>
      </c>
      <c r="F12" s="225"/>
      <c r="G12" s="224">
        <f t="shared" ref="G12:G17" si="0">(C12-E12)/C12*100</f>
        <v>88.9603960396039</v>
      </c>
      <c r="H12" s="225"/>
      <c r="I12" s="208">
        <f>$C$3*(C12-E12)/1000</f>
        <v>1108531.563</v>
      </c>
      <c r="J12" s="208"/>
      <c r="K12" s="201" t="s">
        <v>118</v>
      </c>
      <c r="L12" s="202" t="s">
        <v>32</v>
      </c>
      <c r="M12" s="205">
        <f>处理量!V16</f>
        <v>1613.46</v>
      </c>
      <c r="P12" s="246">
        <f t="shared" ref="P12:P17" si="1">ROUND(E12,2)</f>
        <v>22.3</v>
      </c>
      <c r="Q12" s="254">
        <f>C3</f>
        <v>6168790</v>
      </c>
      <c r="R12" s="246">
        <f t="shared" ref="R12:R17" si="2">P12*Q12/1000000</f>
        <v>137.564017</v>
      </c>
      <c r="S12" s="223" t="s">
        <v>117</v>
      </c>
    </row>
    <row r="13" s="195" customFormat="1" ht="24" customHeight="1" spans="1:19">
      <c r="A13" s="201"/>
      <c r="B13" s="223" t="s">
        <v>119</v>
      </c>
      <c r="C13" s="208">
        <f>进出水!C38</f>
        <v>92</v>
      </c>
      <c r="D13" s="208"/>
      <c r="E13" s="226">
        <f>进出水!O38</f>
        <v>2.41</v>
      </c>
      <c r="F13" s="227"/>
      <c r="G13" s="224">
        <f t="shared" si="0"/>
        <v>97.3804347826087</v>
      </c>
      <c r="H13" s="225"/>
      <c r="I13" s="208">
        <f>$C$3*(C13-E13)/1000</f>
        <v>552661.8961</v>
      </c>
      <c r="J13" s="208"/>
      <c r="K13" s="201"/>
      <c r="L13" s="34" t="s">
        <v>33</v>
      </c>
      <c r="M13" s="247">
        <f>处理量!U16</f>
        <v>2679.1</v>
      </c>
      <c r="P13" s="246">
        <f t="shared" si="1"/>
        <v>2.41</v>
      </c>
      <c r="Q13" s="254">
        <f t="shared" ref="Q13:Q17" si="3">Q12</f>
        <v>6168790</v>
      </c>
      <c r="R13" s="246">
        <f t="shared" si="2"/>
        <v>14.8667839</v>
      </c>
      <c r="S13" s="223" t="s">
        <v>119</v>
      </c>
    </row>
    <row r="14" s="195" customFormat="1" ht="24" customHeight="1" spans="1:19">
      <c r="A14" s="201"/>
      <c r="B14" s="223" t="s">
        <v>120</v>
      </c>
      <c r="C14" s="208">
        <f>进出水!D38</f>
        <v>84</v>
      </c>
      <c r="D14" s="208"/>
      <c r="E14" s="226">
        <f>进出水!P38</f>
        <v>5.06</v>
      </c>
      <c r="F14" s="227"/>
      <c r="G14" s="224">
        <f t="shared" si="0"/>
        <v>93.9761904761905</v>
      </c>
      <c r="H14" s="225"/>
      <c r="I14" s="208">
        <f>$C$3*(C14-E14)/1000</f>
        <v>486964.2826</v>
      </c>
      <c r="J14" s="208"/>
      <c r="K14" s="201"/>
      <c r="L14" s="34" t="s">
        <v>121</v>
      </c>
      <c r="M14" s="247">
        <f>处理量!W16</f>
        <v>30</v>
      </c>
      <c r="P14" s="246">
        <f t="shared" si="1"/>
        <v>5.06</v>
      </c>
      <c r="Q14" s="254">
        <f t="shared" si="3"/>
        <v>6168790</v>
      </c>
      <c r="R14" s="246">
        <f t="shared" si="2"/>
        <v>31.2140774</v>
      </c>
      <c r="S14" s="223" t="s">
        <v>120</v>
      </c>
    </row>
    <row r="15" s="195" customFormat="1" ht="24" customHeight="1" spans="1:19">
      <c r="A15" s="201"/>
      <c r="B15" s="223" t="s">
        <v>122</v>
      </c>
      <c r="C15" s="205">
        <f>进出水!E38</f>
        <v>2.54</v>
      </c>
      <c r="D15" s="205"/>
      <c r="E15" s="226">
        <f>进出水!Q38</f>
        <v>0.2</v>
      </c>
      <c r="F15" s="227"/>
      <c r="G15" s="224">
        <f t="shared" si="0"/>
        <v>92.1259842519685</v>
      </c>
      <c r="H15" s="225"/>
      <c r="I15" s="208">
        <f>$C$3*(C15-E15)/1000</f>
        <v>14434.9686</v>
      </c>
      <c r="J15" s="208"/>
      <c r="K15" s="204" t="s">
        <v>123</v>
      </c>
      <c r="L15" s="248" t="s">
        <v>124</v>
      </c>
      <c r="M15" s="36">
        <v>31</v>
      </c>
      <c r="P15" s="246">
        <f t="shared" si="1"/>
        <v>0.2</v>
      </c>
      <c r="Q15" s="254">
        <f t="shared" si="3"/>
        <v>6168790</v>
      </c>
      <c r="R15" s="246">
        <f t="shared" si="2"/>
        <v>1.233758</v>
      </c>
      <c r="S15" s="223" t="s">
        <v>122</v>
      </c>
    </row>
    <row r="16" s="195" customFormat="1" ht="24" customHeight="1" spans="1:19">
      <c r="A16" s="201"/>
      <c r="B16" s="223" t="s">
        <v>125</v>
      </c>
      <c r="C16" s="228">
        <f>进出水!G38</f>
        <v>27.2</v>
      </c>
      <c r="D16" s="228"/>
      <c r="E16" s="226">
        <f>进出水!S38</f>
        <v>6.4</v>
      </c>
      <c r="F16" s="227"/>
      <c r="G16" s="224">
        <f t="shared" si="0"/>
        <v>76.4705882352941</v>
      </c>
      <c r="H16" s="225"/>
      <c r="I16" s="208">
        <f>$C$3*(C16-E16)/1000</f>
        <v>128310.832</v>
      </c>
      <c r="J16" s="208"/>
      <c r="K16" s="207"/>
      <c r="L16" s="249" t="s">
        <v>126</v>
      </c>
      <c r="M16" s="37">
        <v>31</v>
      </c>
      <c r="P16" s="246">
        <f t="shared" si="1"/>
        <v>6.4</v>
      </c>
      <c r="Q16" s="254">
        <f t="shared" si="3"/>
        <v>6168790</v>
      </c>
      <c r="R16" s="246">
        <f t="shared" si="2"/>
        <v>39.480256</v>
      </c>
      <c r="S16" s="223" t="s">
        <v>125</v>
      </c>
    </row>
    <row r="17" s="195" customFormat="1" ht="24" customHeight="1" spans="1:19">
      <c r="A17" s="201"/>
      <c r="B17" s="223" t="s">
        <v>127</v>
      </c>
      <c r="C17" s="228">
        <f>进出水!F38</f>
        <v>21.4</v>
      </c>
      <c r="D17" s="228"/>
      <c r="E17" s="226">
        <f>进出水!R38</f>
        <v>0.35</v>
      </c>
      <c r="F17" s="227"/>
      <c r="G17" s="224">
        <f t="shared" si="0"/>
        <v>98.3644859813084</v>
      </c>
      <c r="H17" s="225"/>
      <c r="I17" s="208">
        <f>$C$3*(C17-E17)/1000</f>
        <v>129853.0295</v>
      </c>
      <c r="J17" s="208"/>
      <c r="K17" s="207"/>
      <c r="L17" s="249" t="s">
        <v>128</v>
      </c>
      <c r="M17" s="36">
        <v>31</v>
      </c>
      <c r="P17" s="246">
        <f t="shared" si="1"/>
        <v>0.35</v>
      </c>
      <c r="Q17" s="254">
        <f t="shared" si="3"/>
        <v>6168790</v>
      </c>
      <c r="R17" s="246">
        <f t="shared" si="2"/>
        <v>2.1590765</v>
      </c>
      <c r="S17" s="223" t="s">
        <v>127</v>
      </c>
    </row>
    <row r="18" s="195" customFormat="1" ht="24" customHeight="1" spans="1:13">
      <c r="A18" s="201"/>
      <c r="B18" s="215" t="s">
        <v>129</v>
      </c>
      <c r="C18" s="229"/>
      <c r="D18" s="230"/>
      <c r="E18" s="231" t="s">
        <v>130</v>
      </c>
      <c r="F18" s="232"/>
      <c r="G18" s="229"/>
      <c r="H18" s="230"/>
      <c r="I18" s="229"/>
      <c r="J18" s="230"/>
      <c r="K18" s="212"/>
      <c r="L18" s="243" t="s">
        <v>131</v>
      </c>
      <c r="M18" s="37">
        <v>100</v>
      </c>
    </row>
    <row r="19" s="195" customFormat="1" ht="20.1" customHeight="1" spans="1:16">
      <c r="A19" s="201" t="s">
        <v>132</v>
      </c>
      <c r="B19" s="233" t="s">
        <v>133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  <c r="P19" s="195">
        <f>F3*(100-F5)/100</f>
        <v>943.614848</v>
      </c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134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9" workbookViewId="0">
      <selection activeCell="I30" sqref="I30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4"/>
      <c r="J2" s="164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136</v>
      </c>
      <c r="B3" s="33"/>
      <c r="C3" s="33"/>
      <c r="D3" s="33"/>
      <c r="E3" s="33"/>
      <c r="F3" s="33"/>
      <c r="G3" s="33"/>
      <c r="H3" s="99"/>
      <c r="I3" s="165"/>
      <c r="J3" s="166">
        <v>44743</v>
      </c>
      <c r="K3" s="167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137</v>
      </c>
      <c r="B4" s="101" t="s">
        <v>112</v>
      </c>
      <c r="C4" s="102"/>
      <c r="D4" s="102"/>
      <c r="E4" s="102"/>
      <c r="F4" s="102"/>
      <c r="G4" s="103"/>
      <c r="H4" s="104" t="s">
        <v>138</v>
      </c>
      <c r="I4" s="104"/>
      <c r="J4" s="104"/>
      <c r="K4" s="104"/>
      <c r="L4" s="104"/>
      <c r="M4" s="104"/>
      <c r="N4" s="168" t="s">
        <v>139</v>
      </c>
      <c r="O4" s="168"/>
      <c r="P4" s="168"/>
      <c r="Q4" s="168"/>
      <c r="R4" s="168"/>
      <c r="S4" s="168"/>
      <c r="T4" s="190" t="s">
        <v>140</v>
      </c>
      <c r="U4" s="190" t="s">
        <v>141</v>
      </c>
    </row>
    <row r="5" ht="15" customHeight="1" spans="1:21">
      <c r="A5" s="105"/>
      <c r="B5" s="106" t="s">
        <v>142</v>
      </c>
      <c r="C5" s="106" t="s">
        <v>119</v>
      </c>
      <c r="D5" s="106" t="s">
        <v>120</v>
      </c>
      <c r="E5" s="106" t="s">
        <v>122</v>
      </c>
      <c r="F5" s="106" t="s">
        <v>127</v>
      </c>
      <c r="G5" s="106" t="s">
        <v>125</v>
      </c>
      <c r="H5" s="107" t="s">
        <v>142</v>
      </c>
      <c r="I5" s="107" t="s">
        <v>119</v>
      </c>
      <c r="J5" s="107" t="s">
        <v>120</v>
      </c>
      <c r="K5" s="107" t="s">
        <v>122</v>
      </c>
      <c r="L5" s="106" t="s">
        <v>127</v>
      </c>
      <c r="M5" s="106" t="s">
        <v>125</v>
      </c>
      <c r="N5" s="100" t="s">
        <v>143</v>
      </c>
      <c r="O5" s="100" t="s">
        <v>144</v>
      </c>
      <c r="P5" s="100" t="s">
        <v>120</v>
      </c>
      <c r="Q5" s="100" t="s">
        <v>122</v>
      </c>
      <c r="R5" s="100" t="s">
        <v>145</v>
      </c>
      <c r="S5" s="100" t="s">
        <v>125</v>
      </c>
      <c r="T5" s="191"/>
      <c r="U5" s="191"/>
    </row>
    <row r="6" ht="22.5" customHeight="1" spans="1:21">
      <c r="A6" s="108"/>
      <c r="B6" s="109" t="s">
        <v>146</v>
      </c>
      <c r="C6" s="109" t="s">
        <v>146</v>
      </c>
      <c r="D6" s="109" t="s">
        <v>146</v>
      </c>
      <c r="E6" s="109" t="s">
        <v>146</v>
      </c>
      <c r="F6" s="109" t="s">
        <v>146</v>
      </c>
      <c r="G6" s="109" t="s">
        <v>146</v>
      </c>
      <c r="H6" s="110" t="s">
        <v>146</v>
      </c>
      <c r="I6" s="110" t="s">
        <v>146</v>
      </c>
      <c r="J6" s="110" t="s">
        <v>146</v>
      </c>
      <c r="K6" s="110" t="s">
        <v>146</v>
      </c>
      <c r="L6" s="109" t="s">
        <v>146</v>
      </c>
      <c r="M6" s="109" t="s">
        <v>146</v>
      </c>
      <c r="N6" s="109" t="s">
        <v>146</v>
      </c>
      <c r="O6" s="109" t="s">
        <v>146</v>
      </c>
      <c r="P6" s="109" t="s">
        <v>146</v>
      </c>
      <c r="Q6" s="109" t="s">
        <v>146</v>
      </c>
      <c r="R6" s="109" t="s">
        <v>146</v>
      </c>
      <c r="S6" s="109" t="s">
        <v>146</v>
      </c>
      <c r="T6" s="108" t="s">
        <v>147</v>
      </c>
      <c r="U6" s="108" t="s">
        <v>148</v>
      </c>
    </row>
    <row r="7" ht="12.95" customHeight="1" spans="1:23">
      <c r="A7" s="111">
        <v>1</v>
      </c>
      <c r="B7" s="112">
        <v>220</v>
      </c>
      <c r="C7" s="113">
        <v>101</v>
      </c>
      <c r="D7" s="114">
        <v>72</v>
      </c>
      <c r="E7" s="115">
        <v>2.16</v>
      </c>
      <c r="F7" s="116">
        <v>17.8</v>
      </c>
      <c r="G7" s="117">
        <v>23.4</v>
      </c>
      <c r="H7" s="118">
        <v>28</v>
      </c>
      <c r="I7" s="115">
        <v>3.03</v>
      </c>
      <c r="J7" s="118">
        <v>14</v>
      </c>
      <c r="K7" s="115">
        <v>0.52</v>
      </c>
      <c r="L7" s="169">
        <v>0.38</v>
      </c>
      <c r="M7" s="169">
        <v>6.69</v>
      </c>
      <c r="N7" s="114">
        <v>23</v>
      </c>
      <c r="O7" s="170">
        <v>2.76</v>
      </c>
      <c r="P7" s="114">
        <v>5</v>
      </c>
      <c r="Q7" s="169">
        <v>0.17</v>
      </c>
      <c r="R7" s="173">
        <v>0.35</v>
      </c>
      <c r="S7" s="169">
        <v>6.52</v>
      </c>
      <c r="T7" s="121">
        <v>78.2</v>
      </c>
      <c r="U7" s="119" t="s">
        <v>130</v>
      </c>
      <c r="V7" s="192"/>
      <c r="W7" s="193">
        <f>1-S7/G7</f>
        <v>0.721367521367521</v>
      </c>
    </row>
    <row r="8" ht="12.95" customHeight="1" spans="1:23">
      <c r="A8" s="111">
        <v>2</v>
      </c>
      <c r="B8" s="112">
        <v>165</v>
      </c>
      <c r="C8" s="113">
        <v>76.5</v>
      </c>
      <c r="D8" s="114">
        <v>66</v>
      </c>
      <c r="E8" s="119">
        <v>1.99</v>
      </c>
      <c r="F8" s="117">
        <v>20.7</v>
      </c>
      <c r="G8" s="117">
        <v>25.9</v>
      </c>
      <c r="H8" s="118">
        <v>28</v>
      </c>
      <c r="I8" s="115">
        <v>3.17</v>
      </c>
      <c r="J8" s="118">
        <v>14</v>
      </c>
      <c r="K8" s="115">
        <v>0.54</v>
      </c>
      <c r="L8" s="169">
        <v>0.42</v>
      </c>
      <c r="M8" s="169">
        <v>6.69</v>
      </c>
      <c r="N8" s="114">
        <v>23</v>
      </c>
      <c r="O8" s="170">
        <v>2.9</v>
      </c>
      <c r="P8" s="114">
        <v>5</v>
      </c>
      <c r="Q8" s="169">
        <v>0.2</v>
      </c>
      <c r="R8" s="173">
        <v>0.42</v>
      </c>
      <c r="S8" s="169">
        <v>5.38</v>
      </c>
      <c r="T8" s="121">
        <v>78.1</v>
      </c>
      <c r="U8" s="119" t="s">
        <v>130</v>
      </c>
      <c r="V8" s="192"/>
      <c r="W8" s="193">
        <f t="shared" ref="W8:W37" si="0">1-S8/G8</f>
        <v>0.792277992277992</v>
      </c>
    </row>
    <row r="9" ht="12.95" customHeight="1" spans="1:23">
      <c r="A9" s="111">
        <v>3</v>
      </c>
      <c r="B9" s="112">
        <v>227</v>
      </c>
      <c r="C9" s="113">
        <v>104</v>
      </c>
      <c r="D9" s="114">
        <v>114</v>
      </c>
      <c r="E9" s="115">
        <v>2.09</v>
      </c>
      <c r="F9" s="117">
        <v>20.7</v>
      </c>
      <c r="G9" s="117">
        <v>26</v>
      </c>
      <c r="H9" s="118">
        <v>35</v>
      </c>
      <c r="I9" s="115">
        <v>3.36</v>
      </c>
      <c r="J9" s="118">
        <v>17</v>
      </c>
      <c r="K9" s="115">
        <v>0.51</v>
      </c>
      <c r="L9" s="169">
        <v>0.47</v>
      </c>
      <c r="M9" s="169">
        <v>7.44</v>
      </c>
      <c r="N9" s="114">
        <v>27</v>
      </c>
      <c r="O9" s="170">
        <v>2.27</v>
      </c>
      <c r="P9" s="114">
        <v>5</v>
      </c>
      <c r="Q9" s="169">
        <v>0.18</v>
      </c>
      <c r="R9" s="173">
        <v>0.37</v>
      </c>
      <c r="S9" s="169">
        <v>6.72</v>
      </c>
      <c r="T9" s="121">
        <v>78.4</v>
      </c>
      <c r="U9" s="119" t="s">
        <v>130</v>
      </c>
      <c r="V9" s="192"/>
      <c r="W9" s="193">
        <f t="shared" si="0"/>
        <v>0.741538461538461</v>
      </c>
    </row>
    <row r="10" ht="12.95" customHeight="1" spans="1:23">
      <c r="A10" s="111">
        <v>4</v>
      </c>
      <c r="B10" s="112">
        <v>320</v>
      </c>
      <c r="C10" s="113">
        <v>147</v>
      </c>
      <c r="D10" s="114">
        <v>120</v>
      </c>
      <c r="E10" s="115">
        <v>3.22</v>
      </c>
      <c r="F10" s="117">
        <v>24.4</v>
      </c>
      <c r="G10" s="117">
        <v>31.4</v>
      </c>
      <c r="H10" s="118">
        <v>32</v>
      </c>
      <c r="I10" s="115">
        <v>3.45</v>
      </c>
      <c r="J10" s="118">
        <v>15</v>
      </c>
      <c r="K10" s="115">
        <v>0.5</v>
      </c>
      <c r="L10" s="169">
        <v>0.59</v>
      </c>
      <c r="M10" s="169">
        <v>7.99</v>
      </c>
      <c r="N10" s="114">
        <v>30</v>
      </c>
      <c r="O10" s="170">
        <v>3.02</v>
      </c>
      <c r="P10" s="114">
        <v>5</v>
      </c>
      <c r="Q10" s="169">
        <v>0.18</v>
      </c>
      <c r="R10" s="173">
        <v>0.44</v>
      </c>
      <c r="S10" s="169">
        <v>7.76</v>
      </c>
      <c r="T10" s="121">
        <v>77.9</v>
      </c>
      <c r="U10" s="119">
        <v>90</v>
      </c>
      <c r="V10" s="192"/>
      <c r="W10" s="193">
        <f t="shared" si="0"/>
        <v>0.752866242038217</v>
      </c>
    </row>
    <row r="11" ht="12.95" customHeight="1" spans="1:23">
      <c r="A11" s="111">
        <v>5</v>
      </c>
      <c r="B11" s="112">
        <v>224</v>
      </c>
      <c r="C11" s="113">
        <v>99.4</v>
      </c>
      <c r="D11" s="114">
        <v>74</v>
      </c>
      <c r="E11" s="115">
        <v>2.09</v>
      </c>
      <c r="F11" s="120">
        <v>17.8</v>
      </c>
      <c r="G11" s="117">
        <v>24.6</v>
      </c>
      <c r="H11" s="118">
        <v>25</v>
      </c>
      <c r="I11" s="115">
        <v>2.88</v>
      </c>
      <c r="J11" s="118">
        <v>12</v>
      </c>
      <c r="K11" s="115">
        <v>0.53</v>
      </c>
      <c r="L11" s="169">
        <v>0.32</v>
      </c>
      <c r="M11" s="169">
        <v>6.64</v>
      </c>
      <c r="N11" s="114">
        <v>20</v>
      </c>
      <c r="O11" s="170">
        <v>2.61</v>
      </c>
      <c r="P11" s="114">
        <v>5</v>
      </c>
      <c r="Q11" s="169">
        <v>0.2</v>
      </c>
      <c r="R11" s="173">
        <v>0.28</v>
      </c>
      <c r="S11" s="169">
        <v>6.4</v>
      </c>
      <c r="T11" s="121">
        <v>78.5</v>
      </c>
      <c r="U11" s="119" t="s">
        <v>130</v>
      </c>
      <c r="V11" s="192"/>
      <c r="W11" s="193">
        <f t="shared" si="0"/>
        <v>0.739837398373984</v>
      </c>
    </row>
    <row r="12" ht="12.95" customHeight="1" spans="1:23">
      <c r="A12" s="111">
        <v>6</v>
      </c>
      <c r="B12" s="112">
        <v>288</v>
      </c>
      <c r="C12" s="113">
        <v>127</v>
      </c>
      <c r="D12" s="114">
        <v>68</v>
      </c>
      <c r="E12" s="115">
        <v>1.74</v>
      </c>
      <c r="F12" s="116">
        <v>17.7</v>
      </c>
      <c r="G12" s="117">
        <v>24.8</v>
      </c>
      <c r="H12" s="118">
        <v>24</v>
      </c>
      <c r="I12" s="115">
        <v>2.37</v>
      </c>
      <c r="J12" s="118">
        <v>13</v>
      </c>
      <c r="K12" s="115">
        <v>0.52</v>
      </c>
      <c r="L12" s="169">
        <v>0.53</v>
      </c>
      <c r="M12" s="169">
        <v>6.64</v>
      </c>
      <c r="N12" s="114">
        <v>18</v>
      </c>
      <c r="O12" s="170">
        <v>2.15</v>
      </c>
      <c r="P12" s="114">
        <v>5</v>
      </c>
      <c r="Q12" s="169">
        <v>0.18</v>
      </c>
      <c r="R12" s="173">
        <v>0.47</v>
      </c>
      <c r="S12" s="169">
        <v>5.82</v>
      </c>
      <c r="T12" s="121">
        <v>78.3</v>
      </c>
      <c r="U12" s="119" t="s">
        <v>130</v>
      </c>
      <c r="V12" s="192"/>
      <c r="W12" s="193">
        <f t="shared" si="0"/>
        <v>0.765322580645161</v>
      </c>
    </row>
    <row r="13" ht="12.95" customHeight="1" spans="1:23">
      <c r="A13" s="111">
        <v>7</v>
      </c>
      <c r="B13" s="112">
        <v>178</v>
      </c>
      <c r="C13" s="113">
        <v>81.4</v>
      </c>
      <c r="D13" s="114">
        <v>80</v>
      </c>
      <c r="E13" s="115">
        <v>3.56</v>
      </c>
      <c r="F13" s="116">
        <v>21</v>
      </c>
      <c r="G13" s="117">
        <v>28.3</v>
      </c>
      <c r="H13" s="118">
        <v>28</v>
      </c>
      <c r="I13" s="115">
        <v>2.91</v>
      </c>
      <c r="J13" s="118">
        <v>10</v>
      </c>
      <c r="K13" s="115">
        <v>0.51</v>
      </c>
      <c r="L13" s="169">
        <v>0.38</v>
      </c>
      <c r="M13" s="169">
        <v>7.39</v>
      </c>
      <c r="N13" s="114">
        <v>22</v>
      </c>
      <c r="O13" s="170">
        <v>2.55</v>
      </c>
      <c r="P13" s="114">
        <v>5</v>
      </c>
      <c r="Q13" s="169">
        <v>0.18</v>
      </c>
      <c r="R13" s="173">
        <v>0.36</v>
      </c>
      <c r="S13" s="169">
        <v>6.08</v>
      </c>
      <c r="T13" s="121">
        <v>78.3</v>
      </c>
      <c r="U13" s="119" t="s">
        <v>130</v>
      </c>
      <c r="V13" s="192"/>
      <c r="W13" s="193">
        <f t="shared" si="0"/>
        <v>0.785159010600707</v>
      </c>
    </row>
    <row r="14" ht="12.95" customHeight="1" spans="1:23">
      <c r="A14" s="111">
        <v>8</v>
      </c>
      <c r="B14" s="112">
        <v>270</v>
      </c>
      <c r="C14" s="113">
        <v>120</v>
      </c>
      <c r="D14" s="114">
        <v>96</v>
      </c>
      <c r="E14" s="115">
        <v>2.74</v>
      </c>
      <c r="F14" s="121">
        <v>22.3</v>
      </c>
      <c r="G14" s="117">
        <v>28.1</v>
      </c>
      <c r="H14" s="118">
        <v>27</v>
      </c>
      <c r="I14" s="115">
        <v>2.74</v>
      </c>
      <c r="J14" s="118">
        <v>13</v>
      </c>
      <c r="K14" s="115">
        <v>0.52</v>
      </c>
      <c r="L14" s="169">
        <v>0.32</v>
      </c>
      <c r="M14" s="169">
        <v>7.09</v>
      </c>
      <c r="N14" s="114">
        <v>21</v>
      </c>
      <c r="O14" s="170">
        <v>2.3</v>
      </c>
      <c r="P14" s="114">
        <v>5</v>
      </c>
      <c r="Q14" s="169">
        <v>0.17</v>
      </c>
      <c r="R14" s="173">
        <v>0.26</v>
      </c>
      <c r="S14" s="169">
        <v>6.05</v>
      </c>
      <c r="T14" s="121">
        <v>78</v>
      </c>
      <c r="U14" s="119" t="s">
        <v>130</v>
      </c>
      <c r="V14" s="192"/>
      <c r="W14" s="193">
        <f t="shared" si="0"/>
        <v>0.784697508896797</v>
      </c>
    </row>
    <row r="15" ht="12.95" customHeight="1" spans="1:23">
      <c r="A15" s="111">
        <v>9</v>
      </c>
      <c r="B15" s="112">
        <v>240</v>
      </c>
      <c r="C15" s="113">
        <v>108</v>
      </c>
      <c r="D15" s="114">
        <v>76</v>
      </c>
      <c r="E15" s="115">
        <v>2.99</v>
      </c>
      <c r="F15" s="117">
        <v>20.2</v>
      </c>
      <c r="G15" s="117">
        <v>25.8</v>
      </c>
      <c r="H15" s="118">
        <v>28</v>
      </c>
      <c r="I15" s="115">
        <v>2.43</v>
      </c>
      <c r="J15" s="118">
        <v>12</v>
      </c>
      <c r="K15" s="115">
        <v>0.54</v>
      </c>
      <c r="L15" s="169">
        <v>0.36</v>
      </c>
      <c r="M15" s="169">
        <v>7.04</v>
      </c>
      <c r="N15" s="114">
        <v>21</v>
      </c>
      <c r="O15" s="170">
        <v>2.29</v>
      </c>
      <c r="P15" s="114">
        <v>5</v>
      </c>
      <c r="Q15" s="169">
        <v>0.2</v>
      </c>
      <c r="R15" s="173">
        <v>0.25</v>
      </c>
      <c r="S15" s="169">
        <v>6.92</v>
      </c>
      <c r="T15" s="121">
        <v>77.9</v>
      </c>
      <c r="U15" s="119" t="s">
        <v>130</v>
      </c>
      <c r="V15" s="192"/>
      <c r="W15" s="193">
        <f t="shared" si="0"/>
        <v>0.731782945736434</v>
      </c>
    </row>
    <row r="16" ht="12.95" customHeight="1" spans="1:23">
      <c r="A16" s="111">
        <v>10</v>
      </c>
      <c r="B16" s="112">
        <v>158</v>
      </c>
      <c r="C16" s="122">
        <v>73.4</v>
      </c>
      <c r="D16" s="114">
        <v>100</v>
      </c>
      <c r="E16" s="115">
        <v>2.05</v>
      </c>
      <c r="F16" s="117">
        <v>19.7</v>
      </c>
      <c r="G16" s="117">
        <v>25.4</v>
      </c>
      <c r="H16" s="118">
        <v>34</v>
      </c>
      <c r="I16" s="171">
        <v>3.09</v>
      </c>
      <c r="J16" s="118">
        <v>14</v>
      </c>
      <c r="K16" s="115">
        <v>0.55</v>
      </c>
      <c r="L16" s="169">
        <v>0.48</v>
      </c>
      <c r="M16" s="169">
        <v>7.24</v>
      </c>
      <c r="N16" s="114">
        <v>26</v>
      </c>
      <c r="O16" s="170">
        <v>2.45</v>
      </c>
      <c r="P16" s="114">
        <v>5</v>
      </c>
      <c r="Q16" s="169">
        <v>0.19</v>
      </c>
      <c r="R16" s="173">
        <v>0.46</v>
      </c>
      <c r="S16" s="169">
        <v>7.22</v>
      </c>
      <c r="T16" s="121">
        <v>78.6</v>
      </c>
      <c r="U16" s="119" t="s">
        <v>130</v>
      </c>
      <c r="V16" s="192"/>
      <c r="W16" s="193">
        <f t="shared" si="0"/>
        <v>0.715748031496063</v>
      </c>
    </row>
    <row r="17" ht="12.95" customHeight="1" spans="1:23">
      <c r="A17" s="111">
        <v>11</v>
      </c>
      <c r="B17" s="112">
        <v>214</v>
      </c>
      <c r="C17" s="113">
        <v>98.6</v>
      </c>
      <c r="D17" s="114">
        <v>60</v>
      </c>
      <c r="E17" s="115">
        <v>1.78</v>
      </c>
      <c r="F17" s="116">
        <v>17.7</v>
      </c>
      <c r="G17" s="117">
        <v>23.8</v>
      </c>
      <c r="H17" s="118">
        <v>29</v>
      </c>
      <c r="I17" s="115">
        <v>2.65</v>
      </c>
      <c r="J17" s="118">
        <v>13</v>
      </c>
      <c r="K17" s="115">
        <v>0.52</v>
      </c>
      <c r="L17" s="169">
        <v>0.31</v>
      </c>
      <c r="M17" s="169">
        <v>7.32</v>
      </c>
      <c r="N17" s="114">
        <v>20</v>
      </c>
      <c r="O17" s="170">
        <v>2.4</v>
      </c>
      <c r="P17" s="114">
        <v>5</v>
      </c>
      <c r="Q17" s="169">
        <v>0.17</v>
      </c>
      <c r="R17" s="173">
        <v>0.29</v>
      </c>
      <c r="S17" s="169">
        <v>6.94</v>
      </c>
      <c r="T17" s="121">
        <v>78.4</v>
      </c>
      <c r="U17" s="119" t="s">
        <v>130</v>
      </c>
      <c r="V17" s="192"/>
      <c r="W17" s="193">
        <f t="shared" si="0"/>
        <v>0.708403361344538</v>
      </c>
    </row>
    <row r="18" ht="12.95" customHeight="1" spans="1:23">
      <c r="A18" s="111">
        <v>12</v>
      </c>
      <c r="B18" s="114">
        <v>202</v>
      </c>
      <c r="C18" s="113">
        <v>90.5</v>
      </c>
      <c r="D18" s="123">
        <v>82</v>
      </c>
      <c r="E18" s="115">
        <v>2.34</v>
      </c>
      <c r="F18" s="117">
        <v>24.4</v>
      </c>
      <c r="G18" s="117">
        <v>31.5</v>
      </c>
      <c r="H18" s="118">
        <v>27</v>
      </c>
      <c r="I18" s="115">
        <v>2.37</v>
      </c>
      <c r="J18" s="61">
        <v>13</v>
      </c>
      <c r="K18" s="115">
        <v>0.51</v>
      </c>
      <c r="L18" s="169">
        <v>0.29</v>
      </c>
      <c r="M18" s="169">
        <v>5.48</v>
      </c>
      <c r="N18" s="114">
        <v>25</v>
      </c>
      <c r="O18" s="170">
        <v>2.08</v>
      </c>
      <c r="P18" s="114">
        <v>5</v>
      </c>
      <c r="Q18" s="169">
        <v>0.19</v>
      </c>
      <c r="R18" s="173">
        <v>0.29</v>
      </c>
      <c r="S18" s="172">
        <v>5.3</v>
      </c>
      <c r="T18" s="121">
        <v>78.1</v>
      </c>
      <c r="U18" s="119" t="s">
        <v>130</v>
      </c>
      <c r="V18" s="192"/>
      <c r="W18" s="193">
        <f t="shared" si="0"/>
        <v>0.831746031746032</v>
      </c>
    </row>
    <row r="19" ht="12.95" customHeight="1" spans="1:23">
      <c r="A19" s="111">
        <v>13</v>
      </c>
      <c r="B19" s="112">
        <v>130</v>
      </c>
      <c r="C19" s="113">
        <v>60.6</v>
      </c>
      <c r="D19" s="123">
        <v>70</v>
      </c>
      <c r="E19" s="115">
        <v>2.42</v>
      </c>
      <c r="F19" s="117">
        <v>24.3</v>
      </c>
      <c r="G19" s="117">
        <v>30</v>
      </c>
      <c r="H19" s="118">
        <v>21</v>
      </c>
      <c r="I19" s="115">
        <v>2.14</v>
      </c>
      <c r="J19" s="61">
        <v>12</v>
      </c>
      <c r="K19" s="115">
        <v>0.54</v>
      </c>
      <c r="L19" s="169">
        <v>0.31</v>
      </c>
      <c r="M19" s="169">
        <v>6.96</v>
      </c>
      <c r="N19" s="114">
        <v>17</v>
      </c>
      <c r="O19" s="170">
        <v>2.1</v>
      </c>
      <c r="P19" s="114">
        <v>5</v>
      </c>
      <c r="Q19" s="169">
        <v>0.17</v>
      </c>
      <c r="R19" s="173">
        <v>0.29</v>
      </c>
      <c r="S19" s="169">
        <v>6.05</v>
      </c>
      <c r="T19" s="121">
        <v>78.3</v>
      </c>
      <c r="U19" s="119" t="s">
        <v>130</v>
      </c>
      <c r="V19" s="192"/>
      <c r="W19" s="193">
        <f t="shared" si="0"/>
        <v>0.798333333333333</v>
      </c>
    </row>
    <row r="20" ht="12.95" customHeight="1" spans="1:23">
      <c r="A20" s="111">
        <v>14</v>
      </c>
      <c r="B20" s="112">
        <v>230</v>
      </c>
      <c r="C20" s="113">
        <v>107</v>
      </c>
      <c r="D20" s="114">
        <v>50</v>
      </c>
      <c r="E20" s="115">
        <v>2.05</v>
      </c>
      <c r="F20" s="121">
        <v>25.1</v>
      </c>
      <c r="G20" s="117">
        <v>31.1</v>
      </c>
      <c r="H20" s="118">
        <v>23</v>
      </c>
      <c r="I20" s="171">
        <v>2.78</v>
      </c>
      <c r="J20" s="118">
        <v>12</v>
      </c>
      <c r="K20" s="115">
        <v>0.51</v>
      </c>
      <c r="L20" s="169">
        <v>0.28</v>
      </c>
      <c r="M20" s="169">
        <v>6.66</v>
      </c>
      <c r="N20" s="114">
        <v>19</v>
      </c>
      <c r="O20" s="170">
        <v>2.34</v>
      </c>
      <c r="P20" s="114">
        <v>5</v>
      </c>
      <c r="Q20" s="169">
        <v>0.17</v>
      </c>
      <c r="R20" s="173">
        <v>0.25</v>
      </c>
      <c r="S20" s="169">
        <v>5.85</v>
      </c>
      <c r="T20" s="121">
        <v>78</v>
      </c>
      <c r="U20" s="119" t="s">
        <v>130</v>
      </c>
      <c r="V20" s="192"/>
      <c r="W20" s="193">
        <f t="shared" si="0"/>
        <v>0.811897106109325</v>
      </c>
    </row>
    <row r="21" ht="12.95" customHeight="1" spans="1:23">
      <c r="A21" s="111">
        <v>15</v>
      </c>
      <c r="B21" s="112">
        <v>210</v>
      </c>
      <c r="C21" s="113">
        <v>95.4</v>
      </c>
      <c r="D21" s="114">
        <v>66</v>
      </c>
      <c r="E21" s="115">
        <v>4.67</v>
      </c>
      <c r="F21" s="116">
        <v>23.9</v>
      </c>
      <c r="G21" s="117">
        <v>29.2</v>
      </c>
      <c r="H21" s="118">
        <v>34</v>
      </c>
      <c r="I21" s="115">
        <v>3.03</v>
      </c>
      <c r="J21" s="118">
        <v>13</v>
      </c>
      <c r="K21" s="115">
        <v>0.55</v>
      </c>
      <c r="L21" s="169">
        <v>0.5</v>
      </c>
      <c r="M21" s="169">
        <v>7.04</v>
      </c>
      <c r="N21" s="114">
        <v>26</v>
      </c>
      <c r="O21" s="170">
        <v>2.52</v>
      </c>
      <c r="P21" s="114">
        <v>5</v>
      </c>
      <c r="Q21" s="169">
        <v>0.19</v>
      </c>
      <c r="R21" s="173">
        <v>0.48</v>
      </c>
      <c r="S21" s="169">
        <v>6.5</v>
      </c>
      <c r="T21" s="121">
        <v>77.8</v>
      </c>
      <c r="U21" s="119">
        <v>20</v>
      </c>
      <c r="V21" s="192"/>
      <c r="W21" s="193">
        <f t="shared" si="0"/>
        <v>0.777397260273973</v>
      </c>
    </row>
    <row r="22" ht="12" customHeight="1" spans="1:23">
      <c r="A22" s="111">
        <v>16</v>
      </c>
      <c r="B22" s="112">
        <v>216</v>
      </c>
      <c r="C22" s="113">
        <v>99.6</v>
      </c>
      <c r="D22" s="114">
        <v>92</v>
      </c>
      <c r="E22" s="115">
        <v>5.07</v>
      </c>
      <c r="F22" s="116">
        <v>22.8</v>
      </c>
      <c r="G22" s="117">
        <v>28.3</v>
      </c>
      <c r="H22" s="118">
        <v>38</v>
      </c>
      <c r="I22" s="115">
        <v>3.46</v>
      </c>
      <c r="J22" s="118">
        <v>15</v>
      </c>
      <c r="K22" s="115">
        <v>0.53</v>
      </c>
      <c r="L22" s="169">
        <v>0.49</v>
      </c>
      <c r="M22" s="169">
        <v>6.32</v>
      </c>
      <c r="N22" s="114">
        <v>28</v>
      </c>
      <c r="O22" s="170">
        <v>2.78</v>
      </c>
      <c r="P22" s="114">
        <v>5</v>
      </c>
      <c r="Q22" s="169">
        <v>0.2</v>
      </c>
      <c r="R22" s="173">
        <v>0.47</v>
      </c>
      <c r="S22" s="169">
        <v>5.89</v>
      </c>
      <c r="T22" s="121">
        <v>78.1</v>
      </c>
      <c r="U22" s="119" t="s">
        <v>130</v>
      </c>
      <c r="V22" s="192"/>
      <c r="W22" s="193">
        <f t="shared" si="0"/>
        <v>0.791872791519435</v>
      </c>
    </row>
    <row r="23" ht="12.95" customHeight="1" spans="1:23">
      <c r="A23" s="111">
        <v>17</v>
      </c>
      <c r="B23" s="112">
        <v>216</v>
      </c>
      <c r="C23" s="113">
        <v>96.3</v>
      </c>
      <c r="D23" s="114">
        <v>96</v>
      </c>
      <c r="E23" s="115">
        <v>2.47</v>
      </c>
      <c r="F23" s="116">
        <v>24.6</v>
      </c>
      <c r="G23" s="117">
        <v>30</v>
      </c>
      <c r="H23" s="118">
        <v>38</v>
      </c>
      <c r="I23" s="115">
        <v>3.48</v>
      </c>
      <c r="J23" s="118">
        <v>16</v>
      </c>
      <c r="K23" s="115">
        <v>0.5</v>
      </c>
      <c r="L23" s="169">
        <v>0.37</v>
      </c>
      <c r="M23" s="169">
        <v>7.92</v>
      </c>
      <c r="N23" s="114">
        <v>27</v>
      </c>
      <c r="O23" s="170">
        <v>3.02</v>
      </c>
      <c r="P23" s="114">
        <v>5</v>
      </c>
      <c r="Q23" s="169">
        <v>0.19</v>
      </c>
      <c r="R23" s="173">
        <v>0.36</v>
      </c>
      <c r="S23" s="169">
        <v>7.59</v>
      </c>
      <c r="T23" s="121">
        <v>78.5</v>
      </c>
      <c r="U23" s="119">
        <v>80</v>
      </c>
      <c r="V23" s="192"/>
      <c r="W23" s="193">
        <f t="shared" si="0"/>
        <v>0.747</v>
      </c>
    </row>
    <row r="24" ht="12.95" customHeight="1" spans="1:23">
      <c r="A24" s="111">
        <v>18</v>
      </c>
      <c r="B24" s="119">
        <v>142</v>
      </c>
      <c r="C24" s="113">
        <v>64.4</v>
      </c>
      <c r="D24" s="114">
        <v>90</v>
      </c>
      <c r="E24" s="115">
        <v>2.31</v>
      </c>
      <c r="F24" s="116">
        <v>23.4</v>
      </c>
      <c r="G24" s="117">
        <v>29.6</v>
      </c>
      <c r="H24" s="118">
        <v>25</v>
      </c>
      <c r="I24" s="115">
        <v>2.9</v>
      </c>
      <c r="J24" s="118">
        <v>14</v>
      </c>
      <c r="K24" s="115">
        <v>0.53</v>
      </c>
      <c r="L24" s="169">
        <v>0.28</v>
      </c>
      <c r="M24" s="169">
        <v>8.36</v>
      </c>
      <c r="N24" s="114">
        <v>20</v>
      </c>
      <c r="O24" s="170">
        <v>2.45</v>
      </c>
      <c r="P24" s="114">
        <v>5</v>
      </c>
      <c r="Q24" s="169">
        <v>0.19</v>
      </c>
      <c r="R24" s="173">
        <v>0.26</v>
      </c>
      <c r="S24" s="169">
        <v>7.29</v>
      </c>
      <c r="T24" s="121">
        <v>78.6</v>
      </c>
      <c r="U24" s="119" t="s">
        <v>130</v>
      </c>
      <c r="V24" s="192"/>
      <c r="W24" s="193">
        <f t="shared" si="0"/>
        <v>0.753716216216216</v>
      </c>
    </row>
    <row r="25" ht="12.95" customHeight="1" spans="1:23">
      <c r="A25" s="111">
        <v>19</v>
      </c>
      <c r="B25" s="119">
        <v>118</v>
      </c>
      <c r="C25" s="113">
        <v>55.4</v>
      </c>
      <c r="D25" s="114">
        <v>54</v>
      </c>
      <c r="E25" s="115">
        <v>1.44</v>
      </c>
      <c r="F25" s="117">
        <v>18.5</v>
      </c>
      <c r="G25" s="117">
        <v>24.4</v>
      </c>
      <c r="H25" s="118">
        <v>25</v>
      </c>
      <c r="I25" s="171">
        <v>2.38</v>
      </c>
      <c r="J25" s="118">
        <v>12</v>
      </c>
      <c r="K25" s="115">
        <v>0.51</v>
      </c>
      <c r="L25" s="169">
        <v>0.5</v>
      </c>
      <c r="M25" s="169">
        <v>5.96</v>
      </c>
      <c r="N25" s="114">
        <v>18</v>
      </c>
      <c r="O25" s="170">
        <v>2.22</v>
      </c>
      <c r="P25" s="114">
        <v>6</v>
      </c>
      <c r="Q25" s="169">
        <v>0.17</v>
      </c>
      <c r="R25" s="173">
        <v>0.49</v>
      </c>
      <c r="S25" s="169">
        <v>5.19</v>
      </c>
      <c r="T25" s="121">
        <v>78.2</v>
      </c>
      <c r="U25" s="119" t="s">
        <v>130</v>
      </c>
      <c r="V25" s="192"/>
      <c r="W25" s="193">
        <f t="shared" si="0"/>
        <v>0.787295081967213</v>
      </c>
    </row>
    <row r="26" ht="12.95" customHeight="1" spans="1:23">
      <c r="A26" s="111">
        <v>20</v>
      </c>
      <c r="B26" s="119">
        <v>191</v>
      </c>
      <c r="C26" s="113">
        <v>85.5</v>
      </c>
      <c r="D26" s="114">
        <v>92</v>
      </c>
      <c r="E26" s="115">
        <v>1.85</v>
      </c>
      <c r="F26" s="117">
        <v>20.7</v>
      </c>
      <c r="G26" s="117">
        <v>26.6</v>
      </c>
      <c r="H26" s="118">
        <v>21</v>
      </c>
      <c r="I26" s="115">
        <v>2.28</v>
      </c>
      <c r="J26" s="118">
        <v>13</v>
      </c>
      <c r="K26" s="115">
        <v>0.55</v>
      </c>
      <c r="L26" s="169">
        <v>0.44</v>
      </c>
      <c r="M26" s="169">
        <v>6.86</v>
      </c>
      <c r="N26" s="114">
        <v>16</v>
      </c>
      <c r="O26" s="170">
        <v>2.15</v>
      </c>
      <c r="P26" s="114">
        <v>5</v>
      </c>
      <c r="Q26" s="169">
        <v>0.19</v>
      </c>
      <c r="R26" s="173">
        <v>0.41</v>
      </c>
      <c r="S26" s="169">
        <v>5.64</v>
      </c>
      <c r="T26" s="121">
        <v>78</v>
      </c>
      <c r="U26" s="119" t="s">
        <v>130</v>
      </c>
      <c r="V26" s="192"/>
      <c r="W26" s="193">
        <f t="shared" si="0"/>
        <v>0.78796992481203</v>
      </c>
    </row>
    <row r="27" ht="12.95" customHeight="1" spans="1:23">
      <c r="A27" s="111">
        <v>21</v>
      </c>
      <c r="B27" s="119">
        <v>142</v>
      </c>
      <c r="C27" s="113">
        <v>64.4</v>
      </c>
      <c r="D27" s="114">
        <v>80</v>
      </c>
      <c r="E27" s="115">
        <v>2.09</v>
      </c>
      <c r="F27" s="121">
        <v>16.7</v>
      </c>
      <c r="G27" s="117">
        <v>22</v>
      </c>
      <c r="H27" s="118">
        <v>24</v>
      </c>
      <c r="I27" s="115">
        <v>2.77</v>
      </c>
      <c r="J27" s="118">
        <v>13</v>
      </c>
      <c r="K27" s="115">
        <v>0.53</v>
      </c>
      <c r="L27" s="169">
        <v>0.31</v>
      </c>
      <c r="M27" s="169">
        <v>6.84</v>
      </c>
      <c r="N27" s="114">
        <v>22</v>
      </c>
      <c r="O27" s="170">
        <v>2.15</v>
      </c>
      <c r="P27" s="114">
        <v>5</v>
      </c>
      <c r="Q27" s="169">
        <v>0.24</v>
      </c>
      <c r="R27" s="173">
        <v>0.28</v>
      </c>
      <c r="S27" s="169">
        <v>6.36</v>
      </c>
      <c r="T27" s="121">
        <v>79.1</v>
      </c>
      <c r="U27" s="119" t="s">
        <v>130</v>
      </c>
      <c r="V27" s="192"/>
      <c r="W27" s="193">
        <f t="shared" si="0"/>
        <v>0.710909090909091</v>
      </c>
    </row>
    <row r="28" ht="12.95" customHeight="1" spans="1:23">
      <c r="A28" s="111">
        <v>22</v>
      </c>
      <c r="B28" s="119">
        <v>200</v>
      </c>
      <c r="C28" s="113">
        <v>92.6</v>
      </c>
      <c r="D28" s="114">
        <v>70</v>
      </c>
      <c r="E28" s="115">
        <v>3.93</v>
      </c>
      <c r="F28" s="124">
        <v>16.9</v>
      </c>
      <c r="G28" s="125">
        <v>21.7</v>
      </c>
      <c r="H28" s="118">
        <v>27</v>
      </c>
      <c r="I28" s="115">
        <v>2.65</v>
      </c>
      <c r="J28" s="118">
        <v>14</v>
      </c>
      <c r="K28" s="115">
        <v>0.52</v>
      </c>
      <c r="L28" s="169">
        <v>0.26</v>
      </c>
      <c r="M28" s="169">
        <v>6.09</v>
      </c>
      <c r="N28" s="114">
        <v>25</v>
      </c>
      <c r="O28" s="170">
        <v>2.31</v>
      </c>
      <c r="P28" s="114">
        <v>5</v>
      </c>
      <c r="Q28" s="169">
        <v>0.27</v>
      </c>
      <c r="R28" s="173">
        <v>0.2</v>
      </c>
      <c r="S28" s="169">
        <v>5.72</v>
      </c>
      <c r="T28" s="121">
        <v>77.5</v>
      </c>
      <c r="U28" s="119">
        <v>60</v>
      </c>
      <c r="V28" s="192"/>
      <c r="W28" s="193">
        <f t="shared" si="0"/>
        <v>0.736405529953917</v>
      </c>
    </row>
    <row r="29" ht="12.95" customHeight="1" spans="1:23">
      <c r="A29" s="111">
        <v>23</v>
      </c>
      <c r="B29" s="119">
        <v>244</v>
      </c>
      <c r="C29" s="113">
        <v>110</v>
      </c>
      <c r="D29" s="114">
        <v>100</v>
      </c>
      <c r="E29" s="115">
        <v>1.75</v>
      </c>
      <c r="F29" s="121">
        <v>18</v>
      </c>
      <c r="G29" s="117">
        <v>24.5</v>
      </c>
      <c r="H29" s="118">
        <v>30</v>
      </c>
      <c r="I29" s="171">
        <v>3.1</v>
      </c>
      <c r="J29" s="118">
        <v>14</v>
      </c>
      <c r="K29" s="115">
        <v>0.53</v>
      </c>
      <c r="L29" s="169">
        <v>0.35</v>
      </c>
      <c r="M29" s="169">
        <v>6.14</v>
      </c>
      <c r="N29" s="114">
        <v>23</v>
      </c>
      <c r="O29" s="170">
        <v>2.74</v>
      </c>
      <c r="P29" s="114">
        <v>5</v>
      </c>
      <c r="Q29" s="169">
        <v>0.27</v>
      </c>
      <c r="R29" s="173">
        <v>0.28</v>
      </c>
      <c r="S29" s="169">
        <v>5.82</v>
      </c>
      <c r="T29" s="121">
        <v>77.3</v>
      </c>
      <c r="U29" s="119" t="s">
        <v>130</v>
      </c>
      <c r="V29" s="192"/>
      <c r="W29" s="193">
        <f t="shared" si="0"/>
        <v>0.762448979591837</v>
      </c>
    </row>
    <row r="30" ht="12.95" customHeight="1" spans="1:23">
      <c r="A30" s="111">
        <v>24</v>
      </c>
      <c r="B30" s="119">
        <v>226</v>
      </c>
      <c r="C30" s="113">
        <v>104</v>
      </c>
      <c r="D30" s="114">
        <v>104</v>
      </c>
      <c r="E30" s="115">
        <v>2.57</v>
      </c>
      <c r="F30" s="125">
        <v>21.9</v>
      </c>
      <c r="G30" s="124">
        <v>27.2</v>
      </c>
      <c r="H30" s="118">
        <v>28</v>
      </c>
      <c r="I30" s="115">
        <v>2.91</v>
      </c>
      <c r="J30" s="118">
        <v>14</v>
      </c>
      <c r="K30" s="115">
        <v>0.54</v>
      </c>
      <c r="L30" s="169">
        <v>0.56</v>
      </c>
      <c r="M30" s="169">
        <v>7.04</v>
      </c>
      <c r="N30" s="114">
        <v>21</v>
      </c>
      <c r="O30" s="170">
        <v>2.52</v>
      </c>
      <c r="P30" s="114">
        <v>5</v>
      </c>
      <c r="Q30" s="169">
        <v>0.21</v>
      </c>
      <c r="R30" s="169">
        <v>0.5</v>
      </c>
      <c r="S30" s="169">
        <v>6.32</v>
      </c>
      <c r="T30" s="121">
        <v>77.8</v>
      </c>
      <c r="U30" s="119" t="s">
        <v>130</v>
      </c>
      <c r="V30" s="192"/>
      <c r="W30" s="193">
        <f t="shared" si="0"/>
        <v>0.767647058823529</v>
      </c>
    </row>
    <row r="31" ht="12.95" customHeight="1" spans="1:23">
      <c r="A31" s="111">
        <v>25</v>
      </c>
      <c r="B31" s="119">
        <v>250</v>
      </c>
      <c r="C31" s="113">
        <v>117</v>
      </c>
      <c r="D31" s="114">
        <v>64</v>
      </c>
      <c r="E31" s="115">
        <v>2.01</v>
      </c>
      <c r="F31" s="117">
        <v>20.8</v>
      </c>
      <c r="G31" s="124">
        <v>26.5</v>
      </c>
      <c r="H31" s="118">
        <v>26</v>
      </c>
      <c r="I31" s="115">
        <v>2.44</v>
      </c>
      <c r="J31" s="118">
        <v>16</v>
      </c>
      <c r="K31" s="115">
        <v>0.52</v>
      </c>
      <c r="L31" s="169">
        <v>0.4</v>
      </c>
      <c r="M31" s="172">
        <v>5.71</v>
      </c>
      <c r="N31" s="114">
        <v>23</v>
      </c>
      <c r="O31" s="170">
        <v>2.12</v>
      </c>
      <c r="P31" s="114">
        <v>5</v>
      </c>
      <c r="Q31" s="169">
        <v>0.19</v>
      </c>
      <c r="R31" s="169">
        <v>0.3</v>
      </c>
      <c r="S31" s="172">
        <v>5.34</v>
      </c>
      <c r="T31" s="121">
        <v>77.6</v>
      </c>
      <c r="U31" s="119" t="s">
        <v>130</v>
      </c>
      <c r="V31" s="192"/>
      <c r="W31" s="193">
        <f t="shared" si="0"/>
        <v>0.798490566037736</v>
      </c>
    </row>
    <row r="32" ht="12.95" customHeight="1" spans="1:23">
      <c r="A32" s="111">
        <v>26</v>
      </c>
      <c r="B32" s="119">
        <v>163</v>
      </c>
      <c r="C32" s="113">
        <v>74.8</v>
      </c>
      <c r="D32" s="114">
        <v>78</v>
      </c>
      <c r="E32" s="115">
        <v>4.98</v>
      </c>
      <c r="F32" s="116">
        <v>35.4</v>
      </c>
      <c r="G32" s="117">
        <v>39.5</v>
      </c>
      <c r="H32" s="118">
        <v>22</v>
      </c>
      <c r="I32" s="115">
        <v>2.76</v>
      </c>
      <c r="J32" s="118">
        <v>13</v>
      </c>
      <c r="K32" s="115">
        <v>0.55</v>
      </c>
      <c r="L32" s="169">
        <v>0.25</v>
      </c>
      <c r="M32" s="169">
        <v>7.39</v>
      </c>
      <c r="N32" s="114">
        <v>17</v>
      </c>
      <c r="O32" s="170">
        <v>2.1</v>
      </c>
      <c r="P32" s="114">
        <v>5</v>
      </c>
      <c r="Q32" s="169">
        <v>0.15</v>
      </c>
      <c r="R32" s="169">
        <v>0.2</v>
      </c>
      <c r="S32" s="169">
        <v>6.36</v>
      </c>
      <c r="T32" s="121">
        <v>78.1</v>
      </c>
      <c r="U32" s="119" t="s">
        <v>130</v>
      </c>
      <c r="V32" s="192"/>
      <c r="W32" s="193">
        <f t="shared" si="0"/>
        <v>0.838987341772152</v>
      </c>
    </row>
    <row r="33" ht="12.95" customHeight="1" spans="1:23">
      <c r="A33" s="111">
        <v>27</v>
      </c>
      <c r="B33" s="119">
        <v>153</v>
      </c>
      <c r="C33" s="113">
        <v>70.8</v>
      </c>
      <c r="D33" s="114">
        <v>82</v>
      </c>
      <c r="E33" s="115">
        <v>2.44</v>
      </c>
      <c r="F33" s="121">
        <v>23.9</v>
      </c>
      <c r="G33" s="117">
        <v>28.3</v>
      </c>
      <c r="H33" s="118">
        <v>25</v>
      </c>
      <c r="I33" s="115">
        <v>2.69</v>
      </c>
      <c r="J33" s="118">
        <v>12</v>
      </c>
      <c r="K33" s="115">
        <v>0.52</v>
      </c>
      <c r="L33" s="169">
        <v>0.45</v>
      </c>
      <c r="M33" s="169">
        <v>8.39</v>
      </c>
      <c r="N33" s="114">
        <v>20</v>
      </c>
      <c r="O33" s="170">
        <v>2.22</v>
      </c>
      <c r="P33" s="114">
        <v>5</v>
      </c>
      <c r="Q33" s="169">
        <v>0.16</v>
      </c>
      <c r="R33" s="169">
        <v>0.37</v>
      </c>
      <c r="S33" s="169">
        <v>7.42</v>
      </c>
      <c r="T33" s="121">
        <v>78.4</v>
      </c>
      <c r="U33" s="119" t="s">
        <v>130</v>
      </c>
      <c r="V33" s="192"/>
      <c r="W33" s="193">
        <f t="shared" si="0"/>
        <v>0.737809187279152</v>
      </c>
    </row>
    <row r="34" ht="12.95" customHeight="1" spans="1:23">
      <c r="A34" s="111">
        <v>28</v>
      </c>
      <c r="B34" s="119">
        <v>198</v>
      </c>
      <c r="C34" s="113">
        <v>90.2</v>
      </c>
      <c r="D34" s="114">
        <v>62</v>
      </c>
      <c r="E34" s="115">
        <v>2.09</v>
      </c>
      <c r="F34" s="116">
        <v>25.3</v>
      </c>
      <c r="G34" s="117">
        <v>30.9</v>
      </c>
      <c r="H34" s="118">
        <v>23</v>
      </c>
      <c r="I34" s="115">
        <v>2.33</v>
      </c>
      <c r="J34" s="118">
        <v>12</v>
      </c>
      <c r="K34" s="115">
        <v>0.5</v>
      </c>
      <c r="L34" s="169">
        <v>0.32</v>
      </c>
      <c r="M34" s="169">
        <v>7.94</v>
      </c>
      <c r="N34" s="114">
        <v>20</v>
      </c>
      <c r="O34" s="170">
        <v>2.07</v>
      </c>
      <c r="P34" s="114">
        <v>5</v>
      </c>
      <c r="Q34" s="169">
        <v>0.17</v>
      </c>
      <c r="R34" s="169">
        <v>0.31</v>
      </c>
      <c r="S34" s="169">
        <v>6.52</v>
      </c>
      <c r="T34" s="121">
        <v>78.6</v>
      </c>
      <c r="U34" s="119">
        <v>90</v>
      </c>
      <c r="V34" s="192"/>
      <c r="W34" s="193">
        <f t="shared" si="0"/>
        <v>0.788996763754045</v>
      </c>
    </row>
    <row r="35" ht="12.95" customHeight="1" spans="1:23">
      <c r="A35" s="111">
        <v>29</v>
      </c>
      <c r="B35" s="119">
        <v>212</v>
      </c>
      <c r="C35" s="113">
        <v>95.6</v>
      </c>
      <c r="D35" s="114">
        <v>92</v>
      </c>
      <c r="E35" s="115">
        <v>1.79</v>
      </c>
      <c r="F35" s="116">
        <v>16.1</v>
      </c>
      <c r="G35" s="117">
        <v>22.2</v>
      </c>
      <c r="H35" s="118">
        <v>27</v>
      </c>
      <c r="I35" s="115">
        <v>2.7</v>
      </c>
      <c r="J35" s="118">
        <v>14</v>
      </c>
      <c r="K35" s="115">
        <v>0.54</v>
      </c>
      <c r="L35" s="169">
        <v>0.36</v>
      </c>
      <c r="M35" s="169">
        <v>8.94</v>
      </c>
      <c r="N35" s="114">
        <v>20</v>
      </c>
      <c r="O35" s="170">
        <v>2.23</v>
      </c>
      <c r="P35" s="114">
        <v>5</v>
      </c>
      <c r="Q35" s="169">
        <v>0.2</v>
      </c>
      <c r="R35" s="169">
        <v>0.35</v>
      </c>
      <c r="S35" s="169">
        <v>8.16</v>
      </c>
      <c r="T35" s="121">
        <v>78.5</v>
      </c>
      <c r="U35" s="119" t="s">
        <v>130</v>
      </c>
      <c r="V35" s="192"/>
      <c r="W35" s="193">
        <f t="shared" si="0"/>
        <v>0.632432432432432</v>
      </c>
    </row>
    <row r="36" ht="12.95" customHeight="1" spans="1:23">
      <c r="A36" s="111">
        <v>30</v>
      </c>
      <c r="B36" s="119">
        <v>160</v>
      </c>
      <c r="C36" s="113">
        <v>73.2</v>
      </c>
      <c r="D36" s="114">
        <v>140</v>
      </c>
      <c r="E36" s="115">
        <v>1.94</v>
      </c>
      <c r="F36" s="116">
        <v>19.8</v>
      </c>
      <c r="G36" s="117">
        <v>26</v>
      </c>
      <c r="H36" s="118">
        <v>32</v>
      </c>
      <c r="I36" s="115">
        <v>3.1</v>
      </c>
      <c r="J36" s="118">
        <v>14</v>
      </c>
      <c r="K36" s="115">
        <v>0.52</v>
      </c>
      <c r="L36" s="169">
        <v>0.37</v>
      </c>
      <c r="M36" s="169">
        <v>6.64</v>
      </c>
      <c r="N36" s="114">
        <v>26</v>
      </c>
      <c r="O36" s="170">
        <v>2.7</v>
      </c>
      <c r="P36" s="114">
        <v>6</v>
      </c>
      <c r="Q36" s="169">
        <v>0.26</v>
      </c>
      <c r="R36" s="169">
        <v>0.33</v>
      </c>
      <c r="S36" s="169">
        <v>6.32</v>
      </c>
      <c r="T36" s="121">
        <v>78.3</v>
      </c>
      <c r="U36" s="119" t="s">
        <v>130</v>
      </c>
      <c r="V36" s="192"/>
      <c r="W36" s="193">
        <f t="shared" si="0"/>
        <v>0.756923076923077</v>
      </c>
    </row>
    <row r="37" ht="12.95" customHeight="1" spans="1:23">
      <c r="A37" s="111">
        <v>31</v>
      </c>
      <c r="B37" s="119">
        <v>169</v>
      </c>
      <c r="C37" s="113">
        <v>75.6</v>
      </c>
      <c r="D37" s="114">
        <v>128</v>
      </c>
      <c r="E37" s="115">
        <v>2.09</v>
      </c>
      <c r="F37" s="116">
        <v>20.3</v>
      </c>
      <c r="G37" s="117">
        <v>25.6</v>
      </c>
      <c r="H37" s="118">
        <v>30</v>
      </c>
      <c r="I37" s="115">
        <v>2.7</v>
      </c>
      <c r="J37" s="118">
        <v>15</v>
      </c>
      <c r="K37" s="115">
        <v>0.55</v>
      </c>
      <c r="L37" s="169">
        <v>0.45</v>
      </c>
      <c r="M37" s="173">
        <v>6.94</v>
      </c>
      <c r="N37" s="114">
        <v>27</v>
      </c>
      <c r="O37" s="170">
        <v>2.33</v>
      </c>
      <c r="P37" s="114">
        <v>5</v>
      </c>
      <c r="Q37" s="169">
        <v>0.29</v>
      </c>
      <c r="R37" s="169">
        <v>0.4</v>
      </c>
      <c r="S37" s="169">
        <v>6.86</v>
      </c>
      <c r="T37" s="121">
        <v>77.9</v>
      </c>
      <c r="U37" s="119" t="s">
        <v>130</v>
      </c>
      <c r="V37" s="192"/>
      <c r="W37" s="193">
        <f t="shared" si="0"/>
        <v>0.73203125</v>
      </c>
    </row>
    <row r="38" ht="12.95" customHeight="1" spans="1:21">
      <c r="A38" s="111" t="s">
        <v>70</v>
      </c>
      <c r="B38" s="114">
        <f>ROUND(AVERAGE(B7:B37),0)</f>
        <v>202</v>
      </c>
      <c r="C38" s="114">
        <f>ROUND(AVERAGE(C7:C37),0)</f>
        <v>92</v>
      </c>
      <c r="D38" s="114">
        <f>ROUND(AVERAGE(D7:D37),0)</f>
        <v>84</v>
      </c>
      <c r="E38" s="115">
        <f>ROUND(AVERAGE(E7:E37),2)</f>
        <v>2.54</v>
      </c>
      <c r="F38" s="121">
        <f>ROUND(AVERAGE(F7:F37),1)</f>
        <v>21.4</v>
      </c>
      <c r="G38" s="121">
        <f>ROUND(AVERAGE(G7:G37),1)</f>
        <v>27.2</v>
      </c>
      <c r="H38" s="126">
        <f>ROUND(AVERAGE(H7:H37),1)</f>
        <v>27.9</v>
      </c>
      <c r="I38" s="174">
        <f>ROUND(AVERAGE(I7:I37),2)</f>
        <v>2.81</v>
      </c>
      <c r="J38" s="175">
        <f>ROUND(AVERAGE(J7:J37),2)</f>
        <v>13.48</v>
      </c>
      <c r="K38" s="174">
        <f>ROUND(AVERAGE(K7:K37),2)</f>
        <v>0.53</v>
      </c>
      <c r="L38" s="174">
        <f>ROUND(AVERAGE(L7:L37),2)</f>
        <v>0.39</v>
      </c>
      <c r="M38" s="173">
        <f>ROUND(AVERAGE(M7:M37),1)</f>
        <v>7</v>
      </c>
      <c r="N38" s="114">
        <f>ROUND(AVERAGE(N7:N37),1)</f>
        <v>22.3</v>
      </c>
      <c r="O38" s="115">
        <f t="shared" ref="O38:T38" si="1">ROUND(AVERAGE(O7:O37),2)</f>
        <v>2.41</v>
      </c>
      <c r="P38" s="115">
        <f t="shared" si="1"/>
        <v>5.06</v>
      </c>
      <c r="Q38" s="169">
        <f t="shared" si="1"/>
        <v>0.2</v>
      </c>
      <c r="R38" s="115">
        <f t="shared" si="1"/>
        <v>0.35</v>
      </c>
      <c r="S38" s="173">
        <f t="shared" si="1"/>
        <v>6.4</v>
      </c>
      <c r="T38" s="117">
        <f t="shared" si="1"/>
        <v>78.17</v>
      </c>
      <c r="U38" s="119" t="s">
        <v>130</v>
      </c>
    </row>
    <row r="39" ht="21" customHeight="1" spans="1:21">
      <c r="A39" s="127" t="s">
        <v>72</v>
      </c>
      <c r="B39" s="128"/>
      <c r="C39" s="128"/>
      <c r="D39" s="129"/>
      <c r="E39" s="130"/>
      <c r="F39" s="131"/>
      <c r="H39"/>
      <c r="I39"/>
      <c r="J39" s="127" t="s">
        <v>73</v>
      </c>
      <c r="K39" s="176"/>
      <c r="L39" s="176"/>
      <c r="M39" s="176"/>
      <c r="N39" s="127"/>
      <c r="O39" s="131"/>
      <c r="P39" s="131"/>
      <c r="Q39" s="194" t="s">
        <v>149</v>
      </c>
      <c r="R39" s="194"/>
      <c r="S39" s="194"/>
      <c r="T39" s="194"/>
      <c r="U39" s="195"/>
    </row>
    <row r="40" ht="21" customHeight="1" spans="1:21">
      <c r="A40" s="132"/>
      <c r="B40" s="133"/>
      <c r="C40" s="134"/>
      <c r="D40" s="135"/>
      <c r="E40" s="136"/>
      <c r="F40" s="137"/>
      <c r="H40"/>
      <c r="I40"/>
      <c r="J40" s="131"/>
      <c r="K40" s="131"/>
      <c r="L40" s="131"/>
      <c r="M40" s="131"/>
      <c r="N40" s="132"/>
      <c r="O40" s="131"/>
      <c r="P40" s="131"/>
      <c r="Q40" s="196"/>
      <c r="R40" s="196"/>
      <c r="S40" s="196"/>
      <c r="T40" s="196"/>
      <c r="U40" s="195"/>
    </row>
    <row r="41" ht="15.75" spans="2:19">
      <c r="B41" s="138" t="s">
        <v>111</v>
      </c>
      <c r="C41" s="138" t="s">
        <v>150</v>
      </c>
      <c r="D41" s="139" t="s">
        <v>151</v>
      </c>
      <c r="E41" s="138" t="s">
        <v>152</v>
      </c>
      <c r="F41" s="138" t="s">
        <v>153</v>
      </c>
      <c r="G41" s="139" t="s">
        <v>151</v>
      </c>
      <c r="H41" s="138" t="s">
        <v>152</v>
      </c>
      <c r="I41" s="139" t="s">
        <v>154</v>
      </c>
      <c r="J41" s="131"/>
      <c r="K41" s="131"/>
      <c r="L41" s="131"/>
      <c r="S41" s="197"/>
    </row>
    <row r="42" ht="30" spans="2:20">
      <c r="B42" s="138"/>
      <c r="C42" s="138"/>
      <c r="D42" s="140" t="s">
        <v>155</v>
      </c>
      <c r="E42" s="138"/>
      <c r="F42" s="138"/>
      <c r="G42" s="140" t="s">
        <v>155</v>
      </c>
      <c r="H42" s="138"/>
      <c r="I42" s="140" t="s">
        <v>156</v>
      </c>
      <c r="J42" s="131"/>
      <c r="K42" s="131"/>
      <c r="L42" s="131"/>
      <c r="M42" s="177"/>
      <c r="N42" s="177"/>
      <c r="O42" s="177"/>
      <c r="P42" s="177"/>
      <c r="Q42" s="177"/>
      <c r="R42" s="177"/>
      <c r="S42" s="198"/>
      <c r="T42" s="198"/>
    </row>
    <row r="43" ht="18" spans="2:18">
      <c r="B43" s="141" t="s">
        <v>157</v>
      </c>
      <c r="C43" s="142">
        <f>B38</f>
        <v>202</v>
      </c>
      <c r="D43" s="143">
        <f>MAX(B7:B37)</f>
        <v>320</v>
      </c>
      <c r="E43" s="143">
        <f>MIN(B7:B37)</f>
        <v>118</v>
      </c>
      <c r="F43" s="144">
        <f>N38</f>
        <v>22.3</v>
      </c>
      <c r="G43" s="145">
        <f>MAX(N7:N37)</f>
        <v>30</v>
      </c>
      <c r="H43" s="143">
        <f>MIN(N7:N37)</f>
        <v>16</v>
      </c>
      <c r="I43" s="178">
        <f t="shared" ref="I43:I48" si="2">1-F43/C43</f>
        <v>0.88960396039604</v>
      </c>
      <c r="J43" s="161"/>
      <c r="K43" s="141" t="s">
        <v>158</v>
      </c>
      <c r="L43" s="179">
        <f>C44/C43</f>
        <v>0.455445544554455</v>
      </c>
      <c r="M43" s="180"/>
      <c r="N43" s="181"/>
      <c r="O43" s="181"/>
      <c r="P43" s="181"/>
      <c r="Q43" s="180"/>
      <c r="R43" s="185"/>
    </row>
    <row r="44" ht="17.25" spans="2:18">
      <c r="B44" s="146" t="s">
        <v>159</v>
      </c>
      <c r="C44" s="147">
        <f>C38</f>
        <v>92</v>
      </c>
      <c r="D44" s="148">
        <f>MAX(C7:C37)</f>
        <v>147</v>
      </c>
      <c r="E44" s="149">
        <f>MIN(C7:C37)</f>
        <v>55.4</v>
      </c>
      <c r="F44" s="150">
        <f>O38</f>
        <v>2.41</v>
      </c>
      <c r="G44" s="149">
        <f>MAX(O7:O37)</f>
        <v>3.02</v>
      </c>
      <c r="H44" s="149">
        <f>MIN(O7:O37)</f>
        <v>2.07</v>
      </c>
      <c r="I44" s="182">
        <f>1-2/C44</f>
        <v>0.978260869565217</v>
      </c>
      <c r="J44" s="161"/>
      <c r="K44" s="146" t="s">
        <v>160</v>
      </c>
      <c r="L44" s="183">
        <f>C44/C48</f>
        <v>3.38235294117647</v>
      </c>
      <c r="M44" s="180"/>
      <c r="N44" s="181"/>
      <c r="O44" s="181"/>
      <c r="P44" s="181"/>
      <c r="Q44" s="180"/>
      <c r="R44" s="185"/>
    </row>
    <row r="45" ht="17.25" spans="2:18">
      <c r="B45" s="146" t="s">
        <v>120</v>
      </c>
      <c r="C45" s="151">
        <f>D38</f>
        <v>84</v>
      </c>
      <c r="D45" s="149">
        <f>MAX(D7:D37)</f>
        <v>140</v>
      </c>
      <c r="E45" s="152">
        <f>MIN(D7:D37)</f>
        <v>50</v>
      </c>
      <c r="F45" s="153">
        <f>P38</f>
        <v>5.06</v>
      </c>
      <c r="G45" s="154">
        <f>MAX(P7:P37)</f>
        <v>6</v>
      </c>
      <c r="H45" s="154">
        <f>MIN(P7:P37)</f>
        <v>5</v>
      </c>
      <c r="I45" s="182">
        <f t="shared" si="2"/>
        <v>0.939761904761905</v>
      </c>
      <c r="J45" s="161"/>
      <c r="K45" s="146" t="s">
        <v>161</v>
      </c>
      <c r="L45" s="184">
        <f>C44/C46</f>
        <v>36.2204724409449</v>
      </c>
      <c r="M45" s="185"/>
      <c r="N45" s="185"/>
      <c r="O45" s="185"/>
      <c r="P45" s="185"/>
      <c r="Q45" s="185"/>
      <c r="R45" s="185"/>
    </row>
    <row r="46" ht="17.25" spans="2:12">
      <c r="B46" s="146" t="s">
        <v>122</v>
      </c>
      <c r="C46" s="153">
        <f>E38</f>
        <v>2.54</v>
      </c>
      <c r="D46" s="149">
        <f>MAX(E7:E37)</f>
        <v>5.07</v>
      </c>
      <c r="E46" s="149">
        <f>MIN(E7:E37)</f>
        <v>1.44</v>
      </c>
      <c r="F46" s="153">
        <f>Q38</f>
        <v>0.2</v>
      </c>
      <c r="G46" s="154">
        <f>MAX(Q7:Q37)</f>
        <v>0.29</v>
      </c>
      <c r="H46" s="154">
        <f>MIN(Q7:Q37)</f>
        <v>0.15</v>
      </c>
      <c r="I46" s="182">
        <f t="shared" si="2"/>
        <v>0.921259842519685</v>
      </c>
      <c r="J46" s="161"/>
      <c r="K46" s="146"/>
      <c r="L46" s="186"/>
    </row>
    <row r="47" ht="17.25" spans="2:12">
      <c r="B47" s="146" t="s">
        <v>162</v>
      </c>
      <c r="C47" s="147">
        <f>F38</f>
        <v>21.4</v>
      </c>
      <c r="D47" s="149">
        <f>MAX(F7:F37)</f>
        <v>35.4</v>
      </c>
      <c r="E47" s="149">
        <f>MIN(F7:F37)</f>
        <v>16.1</v>
      </c>
      <c r="F47" s="153">
        <f>R38</f>
        <v>0.35</v>
      </c>
      <c r="G47" s="149">
        <f>MAX(R7:R37)</f>
        <v>0.5</v>
      </c>
      <c r="H47" s="154">
        <f>MIN(R7:R37)</f>
        <v>0.2</v>
      </c>
      <c r="I47" s="182">
        <f t="shared" si="2"/>
        <v>0.983644859813084</v>
      </c>
      <c r="J47" s="161"/>
      <c r="K47" s="146"/>
      <c r="L47" s="186"/>
    </row>
    <row r="48" ht="17.25" spans="2:12">
      <c r="B48" s="155" t="s">
        <v>125</v>
      </c>
      <c r="C48" s="156">
        <f>G38</f>
        <v>27.2</v>
      </c>
      <c r="D48" s="157">
        <f>MAX(G7:G37)</f>
        <v>39.5</v>
      </c>
      <c r="E48" s="157">
        <f>MIN(G7:G37)</f>
        <v>21.7</v>
      </c>
      <c r="F48" s="158">
        <f>S38</f>
        <v>6.4</v>
      </c>
      <c r="G48" s="159">
        <f>MAX(S7:S37)</f>
        <v>8.16</v>
      </c>
      <c r="H48" s="157">
        <f>MIN(S7:S37)</f>
        <v>5.19</v>
      </c>
      <c r="I48" s="187">
        <f t="shared" si="2"/>
        <v>0.764705882352941</v>
      </c>
      <c r="J48" s="161"/>
      <c r="K48" s="155"/>
      <c r="L48" s="188"/>
    </row>
    <row r="49" ht="17.25" spans="2:12">
      <c r="B49" s="160"/>
      <c r="C49" s="161"/>
      <c r="D49" s="161"/>
      <c r="E49" s="161"/>
      <c r="F49" s="161"/>
      <c r="G49" s="161"/>
      <c r="H49" s="162"/>
      <c r="I49" s="161"/>
      <c r="J49" s="161"/>
      <c r="K49" s="162"/>
      <c r="L49" s="161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  <row r="68" spans="2:2">
      <c r="B68" s="163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workbookViewId="0">
      <selection activeCell="I163" sqref="I163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163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44743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60" t="s">
        <v>168</v>
      </c>
      <c r="F3" s="60" t="s">
        <v>169</v>
      </c>
      <c r="G3" s="61" t="s">
        <v>170</v>
      </c>
      <c r="H3" s="62" t="s">
        <v>171</v>
      </c>
      <c r="I3" s="60" t="s">
        <v>172</v>
      </c>
      <c r="J3" s="6" t="s">
        <v>173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174</v>
      </c>
      <c r="E5" s="60" t="s">
        <v>175</v>
      </c>
      <c r="F5" s="60" t="s">
        <v>176</v>
      </c>
      <c r="G5" s="61" t="s">
        <v>176</v>
      </c>
      <c r="H5" s="62" t="s">
        <v>177</v>
      </c>
      <c r="I5" s="60" t="s">
        <v>177</v>
      </c>
      <c r="J5" s="6"/>
    </row>
    <row r="6" customHeight="1" spans="1:10">
      <c r="A6" s="64" t="s">
        <v>178</v>
      </c>
      <c r="B6" s="65" t="s">
        <v>179</v>
      </c>
      <c r="C6" s="65" t="s">
        <v>180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181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182</v>
      </c>
      <c r="C8" s="65" t="s">
        <v>71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183</v>
      </c>
      <c r="C9" s="65" t="s">
        <v>71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184</v>
      </c>
      <c r="C10" s="65" t="s">
        <v>180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1</v>
      </c>
      <c r="J10" s="65"/>
    </row>
    <row r="11" customHeight="1" spans="1:10">
      <c r="A11" s="64"/>
      <c r="B11" s="65"/>
      <c r="C11" s="65" t="s">
        <v>181</v>
      </c>
      <c r="D11" s="65">
        <v>31</v>
      </c>
      <c r="E11" s="65">
        <v>24</v>
      </c>
      <c r="F11" s="65">
        <v>744</v>
      </c>
      <c r="G11" s="65">
        <v>230</v>
      </c>
      <c r="H11" s="66">
        <v>0.309139784946237</v>
      </c>
      <c r="I11" s="66">
        <v>0.94</v>
      </c>
      <c r="J11" s="65" t="s">
        <v>185</v>
      </c>
    </row>
    <row r="12" customHeight="1" spans="1:10">
      <c r="A12" s="64"/>
      <c r="B12" s="65"/>
      <c r="C12" s="65" t="s">
        <v>186</v>
      </c>
      <c r="D12" s="65">
        <v>31</v>
      </c>
      <c r="E12" s="65">
        <v>24</v>
      </c>
      <c r="F12" s="65">
        <v>744</v>
      </c>
      <c r="G12" s="65">
        <v>720</v>
      </c>
      <c r="H12" s="66">
        <v>0.967741935483871</v>
      </c>
      <c r="I12" s="66">
        <v>1</v>
      </c>
      <c r="J12" s="65"/>
    </row>
    <row r="13" customHeight="1" spans="1:10">
      <c r="A13" s="64"/>
      <c r="B13" s="65"/>
      <c r="C13" s="65" t="s">
        <v>187</v>
      </c>
      <c r="D13" s="65">
        <v>31</v>
      </c>
      <c r="E13" s="65">
        <v>24</v>
      </c>
      <c r="F13" s="65">
        <v>744</v>
      </c>
      <c r="G13" s="65">
        <v>532</v>
      </c>
      <c r="H13" s="66">
        <v>0.71505376344086</v>
      </c>
      <c r="I13" s="66">
        <v>1</v>
      </c>
      <c r="J13" s="65"/>
    </row>
    <row r="14" customHeight="1" spans="1:10">
      <c r="A14" s="64"/>
      <c r="B14" s="65"/>
      <c r="C14" s="65" t="s">
        <v>188</v>
      </c>
      <c r="D14" s="65">
        <v>31</v>
      </c>
      <c r="E14" s="65">
        <v>24</v>
      </c>
      <c r="F14" s="65">
        <v>744</v>
      </c>
      <c r="G14" s="65">
        <v>744</v>
      </c>
      <c r="H14" s="66">
        <v>1</v>
      </c>
      <c r="I14" s="66">
        <v>1</v>
      </c>
      <c r="J14" s="65"/>
    </row>
    <row r="15" customHeight="1" spans="1:10">
      <c r="A15" s="64"/>
      <c r="B15" s="65" t="s">
        <v>189</v>
      </c>
      <c r="C15" s="65" t="s">
        <v>180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181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186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187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188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190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182</v>
      </c>
      <c r="C21" s="65" t="s">
        <v>180</v>
      </c>
      <c r="D21" s="65">
        <v>31</v>
      </c>
      <c r="E21" s="65">
        <v>0.5</v>
      </c>
      <c r="F21" s="65">
        <v>15.5</v>
      </c>
      <c r="G21" s="65">
        <v>15.5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181</v>
      </c>
      <c r="D22" s="65">
        <v>31</v>
      </c>
      <c r="E22" s="65">
        <v>0.5</v>
      </c>
      <c r="F22" s="65">
        <v>15.5</v>
      </c>
      <c r="G22" s="65">
        <v>15.5</v>
      </c>
      <c r="H22" s="66">
        <v>1</v>
      </c>
      <c r="I22" s="66">
        <v>1</v>
      </c>
      <c r="J22" s="65"/>
    </row>
    <row r="23" customHeight="1" spans="1:10">
      <c r="A23" s="64"/>
      <c r="B23" s="65" t="s">
        <v>183</v>
      </c>
      <c r="C23" s="65" t="s">
        <v>180</v>
      </c>
      <c r="D23" s="65">
        <v>31</v>
      </c>
      <c r="E23" s="65">
        <v>0.5</v>
      </c>
      <c r="F23" s="65">
        <v>15.5</v>
      </c>
      <c r="G23" s="65">
        <v>15.5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181</v>
      </c>
      <c r="D24" s="65">
        <v>31</v>
      </c>
      <c r="E24" s="65">
        <v>0.5</v>
      </c>
      <c r="F24" s="65">
        <v>15.5</v>
      </c>
      <c r="G24" s="65">
        <v>15.5</v>
      </c>
      <c r="H24" s="66">
        <v>1</v>
      </c>
      <c r="I24" s="66">
        <v>1</v>
      </c>
      <c r="J24" s="65"/>
    </row>
    <row r="25" customHeight="1" spans="1:10">
      <c r="A25" s="64"/>
      <c r="B25" s="65" t="s">
        <v>191</v>
      </c>
      <c r="C25" s="65" t="s">
        <v>180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192</v>
      </c>
      <c r="C26" s="65" t="s">
        <v>180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191</v>
      </c>
      <c r="C27" s="65" t="s">
        <v>181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192</v>
      </c>
      <c r="C28" s="65" t="s">
        <v>181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191</v>
      </c>
      <c r="C29" s="65" t="s">
        <v>186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192</v>
      </c>
      <c r="C30" s="65" t="s">
        <v>186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191</v>
      </c>
      <c r="C31" s="65" t="s">
        <v>187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192</v>
      </c>
      <c r="C32" s="65" t="s">
        <v>187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193</v>
      </c>
      <c r="C33" s="65" t="s">
        <v>180</v>
      </c>
      <c r="D33" s="65">
        <v>31</v>
      </c>
      <c r="E33" s="65">
        <v>24</v>
      </c>
      <c r="F33" s="65">
        <v>744</v>
      </c>
      <c r="G33" s="65">
        <v>46</v>
      </c>
      <c r="H33" s="66">
        <v>0.0618279569892473</v>
      </c>
      <c r="I33" s="66">
        <v>1</v>
      </c>
      <c r="J33" s="65"/>
    </row>
    <row r="34" customHeight="1" spans="1:10">
      <c r="A34" s="64"/>
      <c r="B34" s="65"/>
      <c r="C34" s="65" t="s">
        <v>181</v>
      </c>
      <c r="D34" s="65">
        <v>31</v>
      </c>
      <c r="E34" s="65">
        <v>24</v>
      </c>
      <c r="F34" s="65">
        <v>744</v>
      </c>
      <c r="G34" s="65">
        <v>300</v>
      </c>
      <c r="H34" s="66">
        <v>0.403225806451613</v>
      </c>
      <c r="I34" s="66">
        <v>1</v>
      </c>
      <c r="J34" s="65"/>
    </row>
    <row r="35" customHeight="1" spans="1:10">
      <c r="A35" s="64"/>
      <c r="B35" s="65"/>
      <c r="C35" s="65" t="s">
        <v>186</v>
      </c>
      <c r="D35" s="65">
        <v>31</v>
      </c>
      <c r="E35" s="65">
        <v>24</v>
      </c>
      <c r="F35" s="65">
        <v>744</v>
      </c>
      <c r="G35" s="65">
        <v>404</v>
      </c>
      <c r="H35" s="66">
        <v>0.543010752688172</v>
      </c>
      <c r="I35" s="66">
        <v>1</v>
      </c>
      <c r="J35" s="65" t="s">
        <v>194</v>
      </c>
    </row>
    <row r="36" customHeight="1" spans="1:10">
      <c r="A36" s="64"/>
      <c r="B36" s="65"/>
      <c r="C36" s="65" t="s">
        <v>187</v>
      </c>
      <c r="D36" s="65">
        <v>31</v>
      </c>
      <c r="E36" s="65">
        <v>24</v>
      </c>
      <c r="F36" s="65">
        <v>744</v>
      </c>
      <c r="G36" s="65">
        <v>646</v>
      </c>
      <c r="H36" s="66">
        <v>0.868279569892473</v>
      </c>
      <c r="I36" s="66">
        <v>1</v>
      </c>
      <c r="J36" s="65"/>
    </row>
    <row r="37" customHeight="1" spans="1:10">
      <c r="A37" s="64"/>
      <c r="B37" s="65"/>
      <c r="C37" s="65" t="s">
        <v>188</v>
      </c>
      <c r="D37" s="65">
        <v>31</v>
      </c>
      <c r="E37" s="65">
        <v>24</v>
      </c>
      <c r="F37" s="65">
        <v>744</v>
      </c>
      <c r="G37" s="65">
        <v>132</v>
      </c>
      <c r="H37" s="66">
        <v>0.17741935483871</v>
      </c>
      <c r="I37" s="66">
        <v>1</v>
      </c>
      <c r="J37" s="65" t="s">
        <v>195</v>
      </c>
    </row>
    <row r="38" customHeight="1" spans="1:10">
      <c r="A38" s="67" t="s">
        <v>72</v>
      </c>
      <c r="B38" s="67"/>
      <c r="C38" s="15"/>
      <c r="D38" s="15"/>
      <c r="E38" s="68" t="s">
        <v>73</v>
      </c>
      <c r="F38" s="68"/>
      <c r="G38" s="69"/>
      <c r="H38" s="10" t="s">
        <v>196</v>
      </c>
      <c r="I38" s="10"/>
      <c r="J38" s="10"/>
    </row>
    <row r="39" ht="34" customHeight="1"/>
    <row r="46" ht="33" customHeight="1" spans="1:10">
      <c r="A46" s="57" t="s">
        <v>163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44743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60" t="s">
        <v>168</v>
      </c>
      <c r="F48" s="60" t="s">
        <v>169</v>
      </c>
      <c r="G48" s="61" t="s">
        <v>170</v>
      </c>
      <c r="H48" s="62" t="s">
        <v>171</v>
      </c>
      <c r="I48" s="60" t="s">
        <v>172</v>
      </c>
      <c r="J48" s="6" t="s">
        <v>173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174</v>
      </c>
      <c r="E50" s="72" t="s">
        <v>175</v>
      </c>
      <c r="F50" s="72" t="s">
        <v>176</v>
      </c>
      <c r="G50" s="73" t="s">
        <v>176</v>
      </c>
      <c r="H50" s="74" t="s">
        <v>177</v>
      </c>
      <c r="I50" s="60" t="s">
        <v>177</v>
      </c>
      <c r="J50" s="6"/>
    </row>
    <row r="51" customHeight="1" spans="1:10">
      <c r="A51" s="75" t="s">
        <v>197</v>
      </c>
      <c r="B51" s="64" t="s">
        <v>198</v>
      </c>
      <c r="C51" s="65" t="s">
        <v>180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181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186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187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188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190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199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200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201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202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203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204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205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206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207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208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209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210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211</v>
      </c>
      <c r="C69" s="65" t="s">
        <v>212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213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214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215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216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217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218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219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220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221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222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223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224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225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226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227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228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229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72</v>
      </c>
      <c r="B87" s="67"/>
      <c r="C87" s="15"/>
      <c r="D87" s="15"/>
      <c r="E87" s="68" t="s">
        <v>73</v>
      </c>
      <c r="F87" s="68"/>
      <c r="G87" s="69"/>
      <c r="H87" s="10" t="str">
        <f>H38</f>
        <v>制表时间：2022/8/4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163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44743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164</v>
      </c>
      <c r="B93" s="6" t="s">
        <v>165</v>
      </c>
      <c r="C93" s="6" t="s">
        <v>166</v>
      </c>
      <c r="D93" s="6" t="s">
        <v>167</v>
      </c>
      <c r="E93" s="60" t="s">
        <v>168</v>
      </c>
      <c r="F93" s="60" t="s">
        <v>169</v>
      </c>
      <c r="G93" s="61" t="s">
        <v>170</v>
      </c>
      <c r="H93" s="62" t="s">
        <v>171</v>
      </c>
      <c r="I93" s="60" t="s">
        <v>172</v>
      </c>
      <c r="J93" s="6" t="s">
        <v>173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174</v>
      </c>
      <c r="E95" s="60" t="s">
        <v>175</v>
      </c>
      <c r="F95" s="60" t="s">
        <v>176</v>
      </c>
      <c r="G95" s="61" t="s">
        <v>176</v>
      </c>
      <c r="H95" s="62" t="s">
        <v>177</v>
      </c>
      <c r="I95" s="60" t="s">
        <v>177</v>
      </c>
      <c r="J95" s="6"/>
    </row>
    <row r="96" customHeight="1" spans="1:10">
      <c r="A96" s="64" t="s">
        <v>197</v>
      </c>
      <c r="B96" s="64" t="s">
        <v>230</v>
      </c>
      <c r="C96" s="65" t="s">
        <v>180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181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231</v>
      </c>
      <c r="C98" s="65" t="s">
        <v>180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181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186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187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188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190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232</v>
      </c>
      <c r="C104" s="65" t="s">
        <v>180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181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186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233</v>
      </c>
      <c r="C107" s="65" t="s">
        <v>180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181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186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187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234</v>
      </c>
      <c r="B111" s="80" t="s">
        <v>235</v>
      </c>
      <c r="C111" s="65" t="s">
        <v>180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181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186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187</v>
      </c>
      <c r="D114" s="65">
        <v>31</v>
      </c>
      <c r="E114" s="65">
        <v>24</v>
      </c>
      <c r="F114" s="65">
        <v>744</v>
      </c>
      <c r="G114" s="65">
        <v>432</v>
      </c>
      <c r="H114" s="66">
        <v>0.58</v>
      </c>
      <c r="I114" s="66">
        <v>0.58</v>
      </c>
      <c r="J114" s="65" t="s">
        <v>236</v>
      </c>
    </row>
    <row r="115" customHeight="1" spans="1:10">
      <c r="A115" s="81"/>
      <c r="B115" s="82"/>
      <c r="C115" s="65" t="s">
        <v>188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190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199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200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201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202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/>
    </row>
    <row r="121" customHeight="1" spans="1:10">
      <c r="A121" s="81"/>
      <c r="B121" s="82"/>
      <c r="C121" s="65" t="s">
        <v>203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204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205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206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207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208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209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210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212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213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214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215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72</v>
      </c>
      <c r="B133" s="67"/>
      <c r="C133" s="15"/>
      <c r="D133" s="15"/>
      <c r="E133" s="68" t="s">
        <v>73</v>
      </c>
      <c r="F133" s="68"/>
      <c r="G133" s="69"/>
      <c r="H133" s="10" t="str">
        <f>H38</f>
        <v>制表时间：2022/8/4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163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44743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164</v>
      </c>
      <c r="B138" s="6" t="s">
        <v>165</v>
      </c>
      <c r="C138" s="6" t="s">
        <v>166</v>
      </c>
      <c r="D138" s="6" t="s">
        <v>167</v>
      </c>
      <c r="E138" s="60" t="s">
        <v>168</v>
      </c>
      <c r="F138" s="60" t="s">
        <v>169</v>
      </c>
      <c r="G138" s="61" t="s">
        <v>170</v>
      </c>
      <c r="H138" s="62" t="s">
        <v>171</v>
      </c>
      <c r="I138" s="60" t="s">
        <v>172</v>
      </c>
      <c r="J138" s="6" t="s">
        <v>173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174</v>
      </c>
      <c r="E140" s="60" t="s">
        <v>175</v>
      </c>
      <c r="F140" s="60" t="s">
        <v>176</v>
      </c>
      <c r="G140" s="61" t="s">
        <v>176</v>
      </c>
      <c r="H140" s="62" t="s">
        <v>177</v>
      </c>
      <c r="I140" s="60" t="s">
        <v>177</v>
      </c>
      <c r="J140" s="6"/>
    </row>
    <row r="141" customHeight="1" spans="1:10">
      <c r="A141" s="64" t="s">
        <v>234</v>
      </c>
      <c r="B141" s="64" t="s">
        <v>237</v>
      </c>
      <c r="C141" s="65" t="s">
        <v>216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217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218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219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220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221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238</v>
      </c>
      <c r="C147" s="65" t="s">
        <v>180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181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239</v>
      </c>
      <c r="C149" s="65" t="s">
        <v>180</v>
      </c>
      <c r="D149" s="65">
        <v>31</v>
      </c>
      <c r="E149" s="65">
        <v>24</v>
      </c>
      <c r="F149" s="65">
        <v>744</v>
      </c>
      <c r="G149" s="65">
        <v>591</v>
      </c>
      <c r="H149" s="66">
        <v>0.794354838709677</v>
      </c>
      <c r="I149" s="66">
        <v>1</v>
      </c>
      <c r="J149" s="65"/>
    </row>
    <row r="150" customHeight="1" spans="1:10">
      <c r="A150" s="65"/>
      <c r="B150" s="65"/>
      <c r="C150" s="65" t="s">
        <v>181</v>
      </c>
      <c r="D150" s="65">
        <v>31</v>
      </c>
      <c r="E150" s="65">
        <v>24</v>
      </c>
      <c r="F150" s="65">
        <v>744</v>
      </c>
      <c r="G150" s="65">
        <v>0</v>
      </c>
      <c r="H150" s="66">
        <v>0</v>
      </c>
      <c r="I150" s="66">
        <v>1</v>
      </c>
      <c r="J150" s="65"/>
    </row>
    <row r="151" customHeight="1" spans="1:10">
      <c r="A151" s="65"/>
      <c r="B151" s="65"/>
      <c r="C151" s="65" t="s">
        <v>186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240</v>
      </c>
      <c r="C152" s="65" t="s">
        <v>180</v>
      </c>
      <c r="D152" s="65">
        <v>31</v>
      </c>
      <c r="E152" s="65">
        <v>24</v>
      </c>
      <c r="F152" s="65">
        <v>744</v>
      </c>
      <c r="G152" s="65">
        <v>732</v>
      </c>
      <c r="H152" s="66">
        <v>0.983870967741935</v>
      </c>
      <c r="I152" s="66">
        <v>1</v>
      </c>
      <c r="J152" s="65"/>
    </row>
    <row r="153" customHeight="1" spans="1:10">
      <c r="A153" s="65"/>
      <c r="B153" s="65"/>
      <c r="C153" s="65" t="s">
        <v>181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186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241</v>
      </c>
      <c r="C155" s="88" t="s">
        <v>180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181</v>
      </c>
      <c r="D156" s="88">
        <v>31</v>
      </c>
      <c r="E156" s="88">
        <v>24</v>
      </c>
      <c r="F156" s="88">
        <v>744</v>
      </c>
      <c r="G156" s="88">
        <v>552</v>
      </c>
      <c r="H156" s="89">
        <v>0.741935483870968</v>
      </c>
      <c r="I156" s="89">
        <v>1</v>
      </c>
      <c r="J156" s="65"/>
    </row>
    <row r="157" customHeight="1" spans="1:10">
      <c r="A157" s="65"/>
      <c r="B157" s="88"/>
      <c r="C157" s="88" t="s">
        <v>186</v>
      </c>
      <c r="D157" s="88">
        <v>31</v>
      </c>
      <c r="E157" s="88">
        <v>24</v>
      </c>
      <c r="F157" s="88">
        <v>744</v>
      </c>
      <c r="G157" s="88">
        <v>744</v>
      </c>
      <c r="H157" s="89">
        <v>1</v>
      </c>
      <c r="I157" s="89">
        <v>1</v>
      </c>
      <c r="J157" s="65"/>
    </row>
    <row r="158" customHeight="1" spans="1:10">
      <c r="A158" s="65"/>
      <c r="B158" s="88"/>
      <c r="C158" s="88" t="s">
        <v>187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188</v>
      </c>
      <c r="D159" s="88">
        <v>31</v>
      </c>
      <c r="E159" s="88">
        <v>24</v>
      </c>
      <c r="F159" s="88">
        <v>744</v>
      </c>
      <c r="G159" s="88">
        <v>552</v>
      </c>
      <c r="H159" s="89">
        <v>0.741935483870968</v>
      </c>
      <c r="I159" s="89">
        <v>1</v>
      </c>
      <c r="J159" s="65"/>
    </row>
    <row r="160" customHeight="1" spans="1:10">
      <c r="A160" s="65"/>
      <c r="B160" s="88"/>
      <c r="C160" s="88" t="s">
        <v>190</v>
      </c>
      <c r="D160" s="88">
        <v>31</v>
      </c>
      <c r="E160" s="88">
        <v>24</v>
      </c>
      <c r="F160" s="88">
        <v>744</v>
      </c>
      <c r="G160" s="88">
        <v>744</v>
      </c>
      <c r="H160" s="89">
        <v>1</v>
      </c>
      <c r="I160" s="89">
        <v>1</v>
      </c>
      <c r="J160" s="65"/>
    </row>
    <row r="161" customHeight="1" spans="1:10">
      <c r="A161" s="64" t="s">
        <v>242</v>
      </c>
      <c r="B161" s="64" t="s">
        <v>243</v>
      </c>
      <c r="C161" s="65" t="s">
        <v>180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181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186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187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188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190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/>
    </row>
    <row r="167" customHeight="1" spans="1:10">
      <c r="A167" s="65"/>
      <c r="B167" s="65"/>
      <c r="C167" s="65" t="s">
        <v>199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200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201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202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203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204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205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206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207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208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209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210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72</v>
      </c>
      <c r="B179" s="67"/>
      <c r="C179" s="15"/>
      <c r="D179" s="15"/>
      <c r="E179" s="68" t="s">
        <v>73</v>
      </c>
      <c r="F179" s="68"/>
      <c r="G179" s="69"/>
      <c r="H179" s="10" t="str">
        <f>H38</f>
        <v>制表时间：2022/8/4</v>
      </c>
      <c r="I179" s="10"/>
      <c r="J179" s="10"/>
    </row>
    <row r="180" ht="23" customHeight="1"/>
    <row r="181" ht="28" customHeight="1" spans="1:10">
      <c r="A181" s="57" t="s">
        <v>163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44743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164</v>
      </c>
      <c r="B183" s="6" t="s">
        <v>165</v>
      </c>
      <c r="C183" s="6" t="s">
        <v>166</v>
      </c>
      <c r="D183" s="6" t="s">
        <v>167</v>
      </c>
      <c r="E183" s="60" t="s">
        <v>168</v>
      </c>
      <c r="F183" s="60" t="s">
        <v>169</v>
      </c>
      <c r="G183" s="61" t="s">
        <v>170</v>
      </c>
      <c r="H183" s="62" t="s">
        <v>171</v>
      </c>
      <c r="I183" s="60" t="s">
        <v>172</v>
      </c>
      <c r="J183" s="6" t="s">
        <v>173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174</v>
      </c>
      <c r="E185" s="60" t="s">
        <v>175</v>
      </c>
      <c r="F185" s="60" t="s">
        <v>176</v>
      </c>
      <c r="G185" s="61" t="s">
        <v>176</v>
      </c>
      <c r="H185" s="62" t="s">
        <v>177</v>
      </c>
      <c r="I185" s="60" t="s">
        <v>177</v>
      </c>
      <c r="J185" s="6"/>
    </row>
    <row r="186" customHeight="1" spans="1:10">
      <c r="A186" s="64" t="s">
        <v>242</v>
      </c>
      <c r="B186" s="64" t="s">
        <v>243</v>
      </c>
      <c r="C186" s="65" t="s">
        <v>212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213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214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215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216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217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218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219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220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221</v>
      </c>
      <c r="D195" s="65">
        <v>31</v>
      </c>
      <c r="E195" s="65">
        <v>24</v>
      </c>
      <c r="F195" s="65">
        <v>744</v>
      </c>
      <c r="G195" s="65">
        <v>480</v>
      </c>
      <c r="H195" s="66">
        <v>0.65</v>
      </c>
      <c r="I195" s="66">
        <v>0.65</v>
      </c>
      <c r="J195" s="65" t="s">
        <v>244</v>
      </c>
    </row>
    <row r="196" customHeight="1" spans="1:10">
      <c r="A196" s="65"/>
      <c r="B196" s="65"/>
      <c r="C196" s="65" t="s">
        <v>222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223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224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225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226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227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228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229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238</v>
      </c>
      <c r="C204" s="65" t="s">
        <v>186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187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240</v>
      </c>
      <c r="C206" s="65" t="s">
        <v>187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188</v>
      </c>
      <c r="D207" s="65">
        <v>31</v>
      </c>
      <c r="E207" s="65">
        <v>24</v>
      </c>
      <c r="F207" s="65">
        <v>744</v>
      </c>
      <c r="G207" s="65">
        <v>732</v>
      </c>
      <c r="H207" s="66">
        <v>0.983870967741935</v>
      </c>
      <c r="I207" s="66">
        <v>1</v>
      </c>
      <c r="J207" s="65"/>
    </row>
    <row r="208" customHeight="1" spans="1:10">
      <c r="A208" s="65"/>
      <c r="B208" s="65"/>
      <c r="C208" s="65" t="s">
        <v>190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241</v>
      </c>
      <c r="C209" s="65" t="s">
        <v>180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181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186</v>
      </c>
      <c r="D211" s="65">
        <v>31</v>
      </c>
      <c r="E211" s="65">
        <v>24</v>
      </c>
      <c r="F211" s="65">
        <v>744</v>
      </c>
      <c r="G211" s="65">
        <v>672</v>
      </c>
      <c r="H211" s="66">
        <v>0.903225806451613</v>
      </c>
      <c r="I211" s="66">
        <v>1</v>
      </c>
      <c r="J211" s="65"/>
    </row>
    <row r="212" customHeight="1" spans="1:10">
      <c r="A212" s="65"/>
      <c r="B212" s="65"/>
      <c r="C212" s="65" t="s">
        <v>187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188</v>
      </c>
      <c r="D213" s="65">
        <v>31</v>
      </c>
      <c r="E213" s="65">
        <v>24</v>
      </c>
      <c r="F213" s="65">
        <v>744</v>
      </c>
      <c r="G213" s="65">
        <v>672</v>
      </c>
      <c r="H213" s="66">
        <v>0.903225806451613</v>
      </c>
      <c r="I213" s="66">
        <v>1</v>
      </c>
      <c r="J213" s="65" t="s">
        <v>245</v>
      </c>
    </row>
    <row r="214" customHeight="1" spans="1:10">
      <c r="A214" s="65"/>
      <c r="B214" s="65"/>
      <c r="C214" s="65" t="s">
        <v>190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0" t="s">
        <v>246</v>
      </c>
      <c r="B215" s="64" t="s">
        <v>247</v>
      </c>
      <c r="C215" s="65" t="s">
        <v>180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181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0.81</v>
      </c>
      <c r="J216" s="65" t="s">
        <v>248</v>
      </c>
    </row>
    <row r="217" customHeight="1" spans="1:10">
      <c r="A217" s="81"/>
      <c r="B217" s="65"/>
      <c r="C217" s="65" t="s">
        <v>186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1"/>
      <c r="B218" s="65"/>
      <c r="C218" s="65" t="s">
        <v>187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1"/>
      <c r="B219" s="64" t="s">
        <v>249</v>
      </c>
      <c r="C219" s="65" t="s">
        <v>180</v>
      </c>
      <c r="D219" s="65">
        <v>31</v>
      </c>
      <c r="E219" s="65">
        <v>24</v>
      </c>
      <c r="F219" s="65">
        <v>744</v>
      </c>
      <c r="G219" s="65">
        <v>740</v>
      </c>
      <c r="H219" s="79">
        <v>0.99</v>
      </c>
      <c r="I219" s="66">
        <v>0.99</v>
      </c>
      <c r="J219" s="5" t="s">
        <v>250</v>
      </c>
    </row>
    <row r="220" customHeight="1" spans="1:10">
      <c r="A220" s="81"/>
      <c r="B220" s="65"/>
      <c r="C220" s="65" t="s">
        <v>181</v>
      </c>
      <c r="D220" s="65">
        <v>31</v>
      </c>
      <c r="E220" s="65">
        <v>24</v>
      </c>
      <c r="F220" s="65">
        <v>744</v>
      </c>
      <c r="G220" s="65">
        <v>740</v>
      </c>
      <c r="H220" s="79">
        <v>0.99</v>
      </c>
      <c r="I220" s="66">
        <v>0.99</v>
      </c>
      <c r="J220" s="5" t="s">
        <v>251</v>
      </c>
    </row>
    <row r="221" customHeight="1" spans="1:10">
      <c r="A221" s="81"/>
      <c r="B221" s="65"/>
      <c r="C221" s="65" t="s">
        <v>186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/>
    </row>
    <row r="222" ht="14.25" spans="1:10">
      <c r="A222" s="83"/>
      <c r="B222" s="65"/>
      <c r="C222" s="65" t="s">
        <v>187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72</v>
      </c>
      <c r="B223" s="67"/>
      <c r="C223" s="15"/>
      <c r="D223" s="15"/>
      <c r="E223" s="68" t="s">
        <v>73</v>
      </c>
      <c r="F223" s="68"/>
      <c r="G223" s="69"/>
      <c r="H223" s="10" t="str">
        <f>H38</f>
        <v>制表时间：2022/8/4</v>
      </c>
      <c r="I223" s="10"/>
      <c r="J223" s="10"/>
    </row>
    <row r="224" ht="17" customHeight="1"/>
    <row r="225" ht="16" customHeight="1"/>
    <row r="226" ht="30" customHeight="1" spans="1:10">
      <c r="A226" s="57" t="s">
        <v>163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44743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164</v>
      </c>
      <c r="B228" s="6" t="s">
        <v>165</v>
      </c>
      <c r="C228" s="6" t="s">
        <v>166</v>
      </c>
      <c r="D228" s="6" t="s">
        <v>167</v>
      </c>
      <c r="E228" s="60" t="s">
        <v>168</v>
      </c>
      <c r="F228" s="60" t="s">
        <v>169</v>
      </c>
      <c r="G228" s="61" t="s">
        <v>170</v>
      </c>
      <c r="H228" s="62" t="s">
        <v>171</v>
      </c>
      <c r="I228" s="60" t="s">
        <v>172</v>
      </c>
      <c r="J228" s="6" t="s">
        <v>173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174</v>
      </c>
      <c r="E230" s="60" t="s">
        <v>175</v>
      </c>
      <c r="F230" s="60" t="s">
        <v>176</v>
      </c>
      <c r="G230" s="61" t="s">
        <v>176</v>
      </c>
      <c r="H230" s="62" t="s">
        <v>177</v>
      </c>
      <c r="I230" s="60" t="s">
        <v>177</v>
      </c>
      <c r="J230" s="6"/>
    </row>
    <row r="231" customHeight="1" spans="1:10">
      <c r="A231" s="64" t="s">
        <v>246</v>
      </c>
      <c r="B231" s="64" t="s">
        <v>252</v>
      </c>
      <c r="C231" s="65" t="s">
        <v>180</v>
      </c>
      <c r="D231" s="65">
        <v>31</v>
      </c>
      <c r="E231" s="65">
        <v>24</v>
      </c>
      <c r="F231" s="65">
        <v>744</v>
      </c>
      <c r="G231" s="65">
        <v>718</v>
      </c>
      <c r="H231" s="66">
        <v>0.102150537634409</v>
      </c>
      <c r="I231" s="66">
        <v>1</v>
      </c>
      <c r="J231" s="65"/>
    </row>
    <row r="232" customHeight="1" spans="1:10">
      <c r="A232" s="64"/>
      <c r="B232" s="65"/>
      <c r="C232" s="65" t="s">
        <v>181</v>
      </c>
      <c r="D232" s="65">
        <v>31</v>
      </c>
      <c r="E232" s="65">
        <v>24</v>
      </c>
      <c r="F232" s="65">
        <v>744</v>
      </c>
      <c r="G232" s="65">
        <v>76</v>
      </c>
      <c r="H232" s="66">
        <v>0.102150537634409</v>
      </c>
      <c r="I232" s="66">
        <v>1</v>
      </c>
      <c r="J232" s="65"/>
    </row>
    <row r="233" customHeight="1" spans="1:10">
      <c r="A233" s="64"/>
      <c r="B233" s="65"/>
      <c r="C233" s="65" t="s">
        <v>186</v>
      </c>
      <c r="D233" s="65">
        <v>31</v>
      </c>
      <c r="E233" s="65">
        <v>24</v>
      </c>
      <c r="F233" s="65">
        <v>744</v>
      </c>
      <c r="G233" s="65">
        <v>76</v>
      </c>
      <c r="H233" s="66">
        <v>0.102150537634409</v>
      </c>
      <c r="I233" s="66">
        <v>1</v>
      </c>
      <c r="J233" s="65"/>
    </row>
    <row r="234" customHeight="1" spans="1:10">
      <c r="A234" s="64"/>
      <c r="B234" s="65"/>
      <c r="C234" s="65" t="s">
        <v>187</v>
      </c>
      <c r="D234" s="65">
        <v>31</v>
      </c>
      <c r="E234" s="65">
        <v>24</v>
      </c>
      <c r="F234" s="65">
        <v>744</v>
      </c>
      <c r="G234" s="65">
        <v>76</v>
      </c>
      <c r="H234" s="66">
        <v>0.102150537634409</v>
      </c>
      <c r="I234" s="66">
        <v>1</v>
      </c>
      <c r="J234" s="65"/>
    </row>
    <row r="235" customHeight="1" spans="1:10">
      <c r="A235" s="64"/>
      <c r="B235" s="64" t="s">
        <v>253</v>
      </c>
      <c r="C235" s="65" t="s">
        <v>180</v>
      </c>
      <c r="D235" s="65">
        <v>31</v>
      </c>
      <c r="E235" s="65">
        <v>24</v>
      </c>
      <c r="F235" s="65">
        <v>744</v>
      </c>
      <c r="G235" s="65">
        <v>76</v>
      </c>
      <c r="H235" s="66">
        <v>0.102150537634409</v>
      </c>
      <c r="I235" s="66">
        <v>1</v>
      </c>
      <c r="J235" s="65"/>
    </row>
    <row r="236" customHeight="1" spans="1:10">
      <c r="A236" s="64"/>
      <c r="B236" s="65"/>
      <c r="C236" s="65" t="s">
        <v>181</v>
      </c>
      <c r="D236" s="65">
        <v>31</v>
      </c>
      <c r="E236" s="65">
        <v>24</v>
      </c>
      <c r="F236" s="65">
        <v>744</v>
      </c>
      <c r="G236" s="65">
        <v>76</v>
      </c>
      <c r="H236" s="66">
        <v>0.102150537634409</v>
      </c>
      <c r="I236" s="66">
        <v>1</v>
      </c>
      <c r="J236" s="65"/>
    </row>
    <row r="237" customHeight="1" spans="1:10">
      <c r="A237" s="64"/>
      <c r="B237" s="65"/>
      <c r="C237" s="65" t="s">
        <v>186</v>
      </c>
      <c r="D237" s="65">
        <v>31</v>
      </c>
      <c r="E237" s="65">
        <v>24</v>
      </c>
      <c r="F237" s="65">
        <v>744</v>
      </c>
      <c r="G237" s="65">
        <v>716</v>
      </c>
      <c r="H237" s="66">
        <v>0.102150537634409</v>
      </c>
      <c r="I237" s="66">
        <v>1</v>
      </c>
      <c r="J237" s="65"/>
    </row>
    <row r="238" customHeight="1" spans="1:10">
      <c r="A238" s="64"/>
      <c r="B238" s="65"/>
      <c r="C238" s="65" t="s">
        <v>187</v>
      </c>
      <c r="D238" s="65">
        <v>31</v>
      </c>
      <c r="E238" s="65">
        <v>24</v>
      </c>
      <c r="F238" s="65">
        <v>744</v>
      </c>
      <c r="G238" s="65">
        <v>76</v>
      </c>
      <c r="H238" s="66">
        <v>0.102150537634409</v>
      </c>
      <c r="I238" s="66">
        <v>1</v>
      </c>
      <c r="J238" s="65"/>
    </row>
    <row r="239" customHeight="1" spans="1:10">
      <c r="A239" s="64"/>
      <c r="B239" s="65"/>
      <c r="C239" s="65" t="s">
        <v>188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190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254</v>
      </c>
      <c r="C241" s="65" t="s">
        <v>180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181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186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187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255</v>
      </c>
      <c r="C245" s="65" t="s">
        <v>180</v>
      </c>
      <c r="D245" s="65">
        <v>31</v>
      </c>
      <c r="E245" s="65">
        <v>24</v>
      </c>
      <c r="F245" s="65">
        <v>744</v>
      </c>
      <c r="G245" s="65">
        <v>48</v>
      </c>
      <c r="H245" s="66">
        <v>0.0645161290322581</v>
      </c>
      <c r="I245" s="66">
        <v>1</v>
      </c>
      <c r="J245" s="65" t="s">
        <v>256</v>
      </c>
    </row>
    <row r="246" customHeight="1" spans="1:10">
      <c r="A246" s="64"/>
      <c r="B246" s="65"/>
      <c r="C246" s="65" t="s">
        <v>181</v>
      </c>
      <c r="D246" s="65">
        <v>31</v>
      </c>
      <c r="E246" s="65">
        <v>24</v>
      </c>
      <c r="F246" s="65">
        <v>744</v>
      </c>
      <c r="G246" s="65">
        <v>52</v>
      </c>
      <c r="H246" s="66">
        <v>0.0698924731182796</v>
      </c>
      <c r="I246" s="66">
        <v>1</v>
      </c>
      <c r="J246" s="65" t="s">
        <v>256</v>
      </c>
    </row>
    <row r="247" customHeight="1" spans="1:10">
      <c r="A247" s="64"/>
      <c r="B247" s="65"/>
      <c r="C247" s="65" t="s">
        <v>186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 t="s">
        <v>256</v>
      </c>
    </row>
    <row r="248" customHeight="1" spans="1:10">
      <c r="A248" s="64"/>
      <c r="B248" s="65"/>
      <c r="C248" s="65" t="s">
        <v>187</v>
      </c>
      <c r="D248" s="65">
        <v>31</v>
      </c>
      <c r="E248" s="65">
        <v>24</v>
      </c>
      <c r="F248" s="65">
        <v>744</v>
      </c>
      <c r="G248" s="65">
        <v>48</v>
      </c>
      <c r="H248" s="66">
        <v>0.0645161290322581</v>
      </c>
      <c r="I248" s="66">
        <v>1</v>
      </c>
      <c r="J248" s="65" t="s">
        <v>256</v>
      </c>
    </row>
    <row r="249" customHeight="1" spans="1:10">
      <c r="A249" s="64"/>
      <c r="B249" s="65"/>
      <c r="C249" s="65" t="s">
        <v>188</v>
      </c>
      <c r="D249" s="65">
        <v>31</v>
      </c>
      <c r="E249" s="65">
        <v>24</v>
      </c>
      <c r="F249" s="65">
        <v>744</v>
      </c>
      <c r="G249" s="65">
        <v>52</v>
      </c>
      <c r="H249" s="66">
        <v>0.0698924731182796</v>
      </c>
      <c r="I249" s="66">
        <v>1</v>
      </c>
      <c r="J249" s="65" t="s">
        <v>256</v>
      </c>
    </row>
    <row r="250" customHeight="1" spans="1:10">
      <c r="A250" s="64"/>
      <c r="B250" s="65"/>
      <c r="C250" s="65" t="s">
        <v>190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 t="s">
        <v>256</v>
      </c>
    </row>
    <row r="251" customHeight="1" spans="1:10">
      <c r="A251" s="64"/>
      <c r="B251" s="64" t="s">
        <v>257</v>
      </c>
      <c r="C251" s="65" t="s">
        <v>180</v>
      </c>
      <c r="D251" s="65">
        <v>31</v>
      </c>
      <c r="E251" s="65">
        <v>24</v>
      </c>
      <c r="F251" s="65">
        <v>744</v>
      </c>
      <c r="G251" s="65">
        <v>52</v>
      </c>
      <c r="H251" s="66">
        <v>0.0698924731182796</v>
      </c>
      <c r="I251" s="66">
        <v>1</v>
      </c>
      <c r="J251" s="65" t="s">
        <v>256</v>
      </c>
    </row>
    <row r="252" customHeight="1" spans="1:10">
      <c r="A252" s="64"/>
      <c r="B252" s="65"/>
      <c r="C252" s="65" t="s">
        <v>181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 t="s">
        <v>256</v>
      </c>
    </row>
    <row r="253" customHeight="1" spans="1:10">
      <c r="A253" s="64"/>
      <c r="B253" s="65"/>
      <c r="C253" s="65" t="s">
        <v>186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 t="s">
        <v>256</v>
      </c>
    </row>
    <row r="254" customHeight="1" spans="1:10">
      <c r="A254" s="64"/>
      <c r="B254" s="65"/>
      <c r="C254" s="65" t="s">
        <v>187</v>
      </c>
      <c r="D254" s="65">
        <v>31</v>
      </c>
      <c r="E254" s="65">
        <v>24</v>
      </c>
      <c r="F254" s="65">
        <v>744</v>
      </c>
      <c r="G254" s="65">
        <v>52</v>
      </c>
      <c r="H254" s="66">
        <v>0.0698924731182796</v>
      </c>
      <c r="I254" s="66">
        <v>1</v>
      </c>
      <c r="J254" s="65" t="s">
        <v>256</v>
      </c>
    </row>
    <row r="255" customHeight="1" spans="1:10">
      <c r="A255" s="64"/>
      <c r="B255" s="65"/>
      <c r="C255" s="65" t="s">
        <v>188</v>
      </c>
      <c r="D255" s="65">
        <v>31</v>
      </c>
      <c r="E255" s="65">
        <v>24</v>
      </c>
      <c r="F255" s="65">
        <v>744</v>
      </c>
      <c r="G255" s="65">
        <v>52</v>
      </c>
      <c r="H255" s="66">
        <v>0.0698924731182796</v>
      </c>
      <c r="I255" s="66">
        <v>1</v>
      </c>
      <c r="J255" s="65" t="s">
        <v>256</v>
      </c>
    </row>
    <row r="256" customHeight="1" spans="1:10">
      <c r="A256" s="64"/>
      <c r="B256" s="65"/>
      <c r="C256" s="65" t="s">
        <v>190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 t="s">
        <v>256</v>
      </c>
    </row>
    <row r="257" customHeight="1" spans="1:10">
      <c r="A257" s="64"/>
      <c r="B257" s="65"/>
      <c r="C257" s="65" t="s">
        <v>199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 t="s">
        <v>256</v>
      </c>
    </row>
    <row r="258" customHeight="1" spans="1:10">
      <c r="A258" s="64"/>
      <c r="B258" s="65"/>
      <c r="C258" s="65" t="s">
        <v>200</v>
      </c>
      <c r="D258" s="65">
        <v>31</v>
      </c>
      <c r="E258" s="65">
        <v>24</v>
      </c>
      <c r="F258" s="65">
        <v>744</v>
      </c>
      <c r="G258" s="65">
        <v>52</v>
      </c>
      <c r="H258" s="66">
        <v>0.0698924731182796</v>
      </c>
      <c r="I258" s="66">
        <v>1</v>
      </c>
      <c r="J258" s="65" t="s">
        <v>256</v>
      </c>
    </row>
    <row r="259" customHeight="1" spans="1:10">
      <c r="A259" s="64"/>
      <c r="B259" s="6" t="s">
        <v>258</v>
      </c>
      <c r="C259" s="65" t="s">
        <v>180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259</v>
      </c>
    </row>
    <row r="260" customHeight="1" spans="1:10">
      <c r="A260" s="64"/>
      <c r="B260" s="5"/>
      <c r="C260" s="65" t="s">
        <v>181</v>
      </c>
      <c r="D260" s="65">
        <v>31</v>
      </c>
      <c r="E260" s="65">
        <v>24</v>
      </c>
      <c r="F260" s="65">
        <v>744</v>
      </c>
      <c r="G260" s="65">
        <v>720</v>
      </c>
      <c r="H260" s="66">
        <v>0.97</v>
      </c>
      <c r="I260" s="66">
        <v>1</v>
      </c>
      <c r="J260" s="65" t="s">
        <v>259</v>
      </c>
    </row>
    <row r="261" customHeight="1" spans="1:10">
      <c r="A261" s="64"/>
      <c r="B261" s="5"/>
      <c r="C261" s="65" t="s">
        <v>186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259</v>
      </c>
    </row>
    <row r="262" customHeight="1" spans="1:10">
      <c r="A262" s="64"/>
      <c r="B262" s="6" t="s">
        <v>260</v>
      </c>
      <c r="C262" s="65" t="s">
        <v>180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181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186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187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188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72</v>
      </c>
      <c r="B267" s="67"/>
      <c r="C267" s="15"/>
      <c r="D267" s="15"/>
      <c r="E267" s="68" t="s">
        <v>73</v>
      </c>
      <c r="F267" s="68"/>
      <c r="G267" s="69"/>
      <c r="H267" s="10" t="str">
        <f>H38</f>
        <v>制表时间：2022/8/4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163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44743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60" t="s">
        <v>168</v>
      </c>
      <c r="F271" s="60" t="s">
        <v>169</v>
      </c>
      <c r="G271" s="61" t="s">
        <v>170</v>
      </c>
      <c r="H271" s="62" t="s">
        <v>171</v>
      </c>
      <c r="I271" s="60" t="s">
        <v>172</v>
      </c>
      <c r="J271" s="6" t="s">
        <v>173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174</v>
      </c>
      <c r="E273" s="60" t="s">
        <v>175</v>
      </c>
      <c r="F273" s="60" t="s">
        <v>176</v>
      </c>
      <c r="G273" s="61" t="s">
        <v>176</v>
      </c>
      <c r="H273" s="62" t="s">
        <v>177</v>
      </c>
      <c r="I273" s="60" t="s">
        <v>177</v>
      </c>
      <c r="J273" s="6"/>
    </row>
    <row r="274" customHeight="1" spans="1:10">
      <c r="A274" s="64" t="s">
        <v>246</v>
      </c>
      <c r="B274" s="64" t="s">
        <v>260</v>
      </c>
      <c r="C274" s="65" t="s">
        <v>190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199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200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261</v>
      </c>
      <c r="C277" s="65" t="s">
        <v>201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202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203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204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205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206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207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208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262</v>
      </c>
      <c r="C285" s="65" t="s">
        <v>180</v>
      </c>
      <c r="D285" s="65">
        <v>31</v>
      </c>
      <c r="E285" s="65">
        <v>24</v>
      </c>
      <c r="F285" s="65">
        <v>744</v>
      </c>
      <c r="G285" s="65">
        <v>45.9</v>
      </c>
      <c r="H285" s="66">
        <v>0.0616935483870968</v>
      </c>
      <c r="I285" s="66">
        <v>1</v>
      </c>
      <c r="J285" s="65" t="s">
        <v>263</v>
      </c>
    </row>
    <row r="286" customHeight="1" spans="1:10">
      <c r="A286" s="65"/>
      <c r="B286" s="65"/>
      <c r="C286" s="65" t="s">
        <v>181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 t="s">
        <v>263</v>
      </c>
    </row>
    <row r="287" customHeight="1" spans="1:10">
      <c r="A287" s="65"/>
      <c r="B287" s="65"/>
      <c r="C287" s="65" t="s">
        <v>186</v>
      </c>
      <c r="D287" s="65">
        <v>31</v>
      </c>
      <c r="E287" s="65">
        <v>24</v>
      </c>
      <c r="F287" s="65">
        <v>744</v>
      </c>
      <c r="G287" s="65">
        <v>44.5</v>
      </c>
      <c r="H287" s="66">
        <v>0.0598118279569892</v>
      </c>
      <c r="I287" s="66">
        <v>1</v>
      </c>
      <c r="J287" s="65" t="s">
        <v>263</v>
      </c>
    </row>
    <row r="288" customHeight="1" spans="1:10">
      <c r="A288" s="65"/>
      <c r="B288" s="65" t="s">
        <v>264</v>
      </c>
      <c r="C288" s="65" t="s">
        <v>180</v>
      </c>
      <c r="D288" s="65">
        <v>31</v>
      </c>
      <c r="E288" s="65">
        <v>24</v>
      </c>
      <c r="F288" s="65">
        <v>744</v>
      </c>
      <c r="G288" s="65">
        <v>37.7</v>
      </c>
      <c r="H288" s="66">
        <v>0.0506720430107527</v>
      </c>
      <c r="I288" s="66">
        <v>1</v>
      </c>
      <c r="J288" s="65" t="s">
        <v>263</v>
      </c>
    </row>
    <row r="289" customHeight="1" spans="1:10">
      <c r="A289" s="65"/>
      <c r="B289" s="65"/>
      <c r="C289" s="65" t="s">
        <v>181</v>
      </c>
      <c r="D289" s="65">
        <v>31</v>
      </c>
      <c r="E289" s="65">
        <v>24</v>
      </c>
      <c r="F289" s="65">
        <v>744</v>
      </c>
      <c r="G289" s="65">
        <v>35.4</v>
      </c>
      <c r="H289" s="66">
        <v>0.0475806451612903</v>
      </c>
      <c r="I289" s="66">
        <v>1</v>
      </c>
      <c r="J289" s="65" t="s">
        <v>263</v>
      </c>
    </row>
    <row r="290" customHeight="1" spans="1:10">
      <c r="A290" s="65"/>
      <c r="B290" s="65"/>
      <c r="C290" s="65" t="s">
        <v>186</v>
      </c>
      <c r="D290" s="65">
        <v>31</v>
      </c>
      <c r="E290" s="65">
        <v>24</v>
      </c>
      <c r="F290" s="65">
        <v>744</v>
      </c>
      <c r="G290" s="65">
        <v>34.3</v>
      </c>
      <c r="H290" s="66">
        <v>0.0461021505376344</v>
      </c>
      <c r="I290" s="66">
        <v>1</v>
      </c>
      <c r="J290" s="65" t="s">
        <v>263</v>
      </c>
    </row>
    <row r="291" ht="17" customHeight="1" spans="1:10">
      <c r="A291" s="64" t="s">
        <v>265</v>
      </c>
      <c r="B291" s="80" t="s">
        <v>266</v>
      </c>
      <c r="C291" s="65" t="s">
        <v>180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181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2"/>
      <c r="C293" s="65" t="s">
        <v>186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2"/>
      <c r="C294" s="65" t="s">
        <v>187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2"/>
      <c r="C295" s="65" t="s">
        <v>188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/>
    </row>
    <row r="296" customHeight="1" spans="1:10">
      <c r="A296" s="65"/>
      <c r="B296" s="82"/>
      <c r="C296" s="65" t="s">
        <v>190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/>
    </row>
    <row r="297" customHeight="1" spans="1:10">
      <c r="A297" s="65"/>
      <c r="B297" s="82"/>
      <c r="C297" s="65" t="s">
        <v>199</v>
      </c>
      <c r="D297" s="65">
        <v>31</v>
      </c>
      <c r="E297" s="65">
        <v>24</v>
      </c>
      <c r="F297" s="65">
        <v>744</v>
      </c>
      <c r="G297" s="65">
        <v>192</v>
      </c>
      <c r="H297" s="66">
        <v>0.258064516129032</v>
      </c>
      <c r="I297" s="66">
        <v>1</v>
      </c>
      <c r="J297" s="65"/>
    </row>
    <row r="298" customHeight="1" spans="1:10">
      <c r="A298" s="65"/>
      <c r="B298" s="84"/>
      <c r="C298" s="65" t="s">
        <v>200</v>
      </c>
      <c r="D298" s="65">
        <v>31</v>
      </c>
      <c r="E298" s="65">
        <v>24</v>
      </c>
      <c r="F298" s="65">
        <v>744</v>
      </c>
      <c r="G298" s="65">
        <v>144</v>
      </c>
      <c r="H298" s="66">
        <v>0.193548387096774</v>
      </c>
      <c r="I298" s="66">
        <v>1</v>
      </c>
      <c r="J298" s="65"/>
    </row>
    <row r="299" customHeight="1" spans="1:10">
      <c r="A299" s="65"/>
      <c r="B299" s="80" t="s">
        <v>267</v>
      </c>
      <c r="C299" s="65" t="s">
        <v>201</v>
      </c>
      <c r="D299" s="65">
        <v>31</v>
      </c>
      <c r="E299" s="65">
        <v>24</v>
      </c>
      <c r="F299" s="65">
        <v>744</v>
      </c>
      <c r="G299" s="65">
        <v>300</v>
      </c>
      <c r="H299" s="66">
        <v>0.403225806451613</v>
      </c>
      <c r="I299" s="66">
        <v>1</v>
      </c>
      <c r="J299" s="65"/>
    </row>
    <row r="300" customHeight="1" spans="1:10">
      <c r="A300" s="65"/>
      <c r="B300" s="82"/>
      <c r="C300" s="65" t="s">
        <v>202</v>
      </c>
      <c r="D300" s="65">
        <v>31</v>
      </c>
      <c r="E300" s="65">
        <v>24</v>
      </c>
      <c r="F300" s="65">
        <v>744</v>
      </c>
      <c r="G300" s="65">
        <v>144</v>
      </c>
      <c r="H300" s="66">
        <v>0.193548387096774</v>
      </c>
      <c r="I300" s="66">
        <v>1</v>
      </c>
      <c r="J300" s="65" t="s">
        <v>268</v>
      </c>
    </row>
    <row r="301" customHeight="1" spans="1:10">
      <c r="A301" s="65"/>
      <c r="B301" s="82"/>
      <c r="C301" s="65" t="s">
        <v>203</v>
      </c>
      <c r="D301" s="65">
        <v>31</v>
      </c>
      <c r="E301" s="65">
        <v>24</v>
      </c>
      <c r="F301" s="65">
        <v>744</v>
      </c>
      <c r="G301" s="65">
        <v>742</v>
      </c>
      <c r="H301" s="66">
        <v>0.99</v>
      </c>
      <c r="I301" s="66">
        <v>0.99</v>
      </c>
      <c r="J301" s="65" t="s">
        <v>269</v>
      </c>
    </row>
    <row r="302" customHeight="1" spans="1:10">
      <c r="A302" s="65"/>
      <c r="B302" s="82"/>
      <c r="C302" s="65" t="s">
        <v>204</v>
      </c>
      <c r="D302" s="65">
        <v>31</v>
      </c>
      <c r="E302" s="65">
        <v>24</v>
      </c>
      <c r="F302" s="65">
        <v>744</v>
      </c>
      <c r="G302" s="65">
        <v>740</v>
      </c>
      <c r="H302" s="66">
        <v>0.99</v>
      </c>
      <c r="I302" s="66">
        <v>0.99</v>
      </c>
      <c r="J302" s="65" t="s">
        <v>270</v>
      </c>
    </row>
    <row r="303" customHeight="1" spans="1:10">
      <c r="A303" s="65"/>
      <c r="B303" s="5" t="s">
        <v>271</v>
      </c>
      <c r="C303" s="65" t="s">
        <v>180</v>
      </c>
      <c r="D303" s="65">
        <v>31</v>
      </c>
      <c r="E303" s="65">
        <v>24</v>
      </c>
      <c r="F303" s="65">
        <v>744</v>
      </c>
      <c r="G303" s="65">
        <v>16</v>
      </c>
      <c r="H303" s="66">
        <v>0.021505376344086</v>
      </c>
      <c r="I303" s="66">
        <v>1</v>
      </c>
      <c r="J303" s="65"/>
    </row>
    <row r="304" customHeight="1" spans="1:10">
      <c r="A304" s="65"/>
      <c r="B304" s="5"/>
      <c r="C304" s="65" t="s">
        <v>181</v>
      </c>
      <c r="D304" s="65">
        <v>31</v>
      </c>
      <c r="E304" s="65">
        <v>24</v>
      </c>
      <c r="F304" s="65">
        <v>744</v>
      </c>
      <c r="G304" s="65">
        <v>742</v>
      </c>
      <c r="H304" s="66">
        <v>0.99</v>
      </c>
      <c r="I304" s="66">
        <v>1</v>
      </c>
      <c r="J304" s="65"/>
    </row>
    <row r="305" customHeight="1" spans="1:10">
      <c r="A305" s="65"/>
      <c r="B305" s="5"/>
      <c r="C305" s="65" t="s">
        <v>186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272</v>
      </c>
      <c r="B306" s="65" t="s">
        <v>273</v>
      </c>
      <c r="C306" s="65" t="s">
        <v>180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181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274</v>
      </c>
      <c r="C308" s="65" t="s">
        <v>180</v>
      </c>
      <c r="D308" s="65">
        <v>31</v>
      </c>
      <c r="E308" s="65">
        <v>24</v>
      </c>
      <c r="F308" s="65">
        <v>744</v>
      </c>
      <c r="G308" s="65">
        <v>404</v>
      </c>
      <c r="H308" s="66">
        <v>0.543010752688172</v>
      </c>
      <c r="I308" s="66">
        <v>1</v>
      </c>
      <c r="J308" s="65" t="s">
        <v>275</v>
      </c>
    </row>
    <row r="309" customHeight="1" spans="1:10">
      <c r="A309" s="65"/>
      <c r="B309" s="65"/>
      <c r="C309" s="65" t="s">
        <v>181</v>
      </c>
      <c r="D309" s="65">
        <v>31</v>
      </c>
      <c r="E309" s="65">
        <v>24</v>
      </c>
      <c r="F309" s="65">
        <v>744</v>
      </c>
      <c r="G309" s="65">
        <v>692</v>
      </c>
      <c r="H309" s="66">
        <v>0.93010752688172</v>
      </c>
      <c r="I309" s="66">
        <v>1</v>
      </c>
      <c r="J309" s="65" t="s">
        <v>275</v>
      </c>
    </row>
    <row r="310" customHeight="1" spans="1:10">
      <c r="A310" s="65"/>
      <c r="B310" s="65"/>
      <c r="C310" s="65" t="s">
        <v>186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 t="s">
        <v>275</v>
      </c>
    </row>
    <row r="311" ht="18" customHeight="1" spans="1:10">
      <c r="A311" s="65"/>
      <c r="B311" s="65" t="s">
        <v>276</v>
      </c>
      <c r="C311" s="65" t="s">
        <v>180</v>
      </c>
      <c r="D311" s="65">
        <v>31</v>
      </c>
      <c r="E311" s="65">
        <v>24</v>
      </c>
      <c r="F311" s="65">
        <v>744</v>
      </c>
      <c r="G311" s="65">
        <v>382</v>
      </c>
      <c r="H311" s="66">
        <v>0.513440860215054</v>
      </c>
      <c r="I311" s="66">
        <v>1</v>
      </c>
      <c r="J311" s="64"/>
    </row>
    <row r="312" ht="27" customHeight="1" spans="1:10">
      <c r="A312" s="65"/>
      <c r="B312" s="65"/>
      <c r="C312" s="65" t="s">
        <v>181</v>
      </c>
      <c r="D312" s="65">
        <v>31</v>
      </c>
      <c r="E312" s="65">
        <v>24</v>
      </c>
      <c r="F312" s="65">
        <v>744</v>
      </c>
      <c r="G312" s="65">
        <v>708</v>
      </c>
      <c r="H312" s="66">
        <v>0.951612903225806</v>
      </c>
      <c r="I312" s="66">
        <v>1</v>
      </c>
      <c r="J312" s="64" t="s">
        <v>275</v>
      </c>
    </row>
    <row r="313" ht="24" customHeight="1" spans="1:10">
      <c r="A313" s="67" t="s">
        <v>72</v>
      </c>
      <c r="B313" s="67"/>
      <c r="C313" s="15"/>
      <c r="D313" s="15"/>
      <c r="E313" s="68" t="s">
        <v>73</v>
      </c>
      <c r="F313" s="68"/>
      <c r="G313" s="69"/>
      <c r="H313" s="10" t="str">
        <f>H38</f>
        <v>制表时间：2022/8/4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L12" sqref="L12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77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44743</v>
      </c>
      <c r="E2" s="33"/>
      <c r="F2" s="31"/>
    </row>
    <row r="3" ht="20.25" customHeight="1" spans="1:7">
      <c r="A3" s="34" t="s">
        <v>277</v>
      </c>
      <c r="B3" s="34" t="s">
        <v>166</v>
      </c>
      <c r="C3" s="34" t="s">
        <v>278</v>
      </c>
      <c r="D3" s="34" t="s">
        <v>279</v>
      </c>
      <c r="E3" s="34" t="s">
        <v>280</v>
      </c>
      <c r="F3" s="34" t="s">
        <v>281</v>
      </c>
      <c r="G3" s="35" t="s">
        <v>132</v>
      </c>
    </row>
    <row r="4" ht="22.5" spans="1:8">
      <c r="A4" s="36" t="s">
        <v>282</v>
      </c>
      <c r="B4" s="37" t="s">
        <v>283</v>
      </c>
      <c r="C4" s="37" t="s">
        <v>284</v>
      </c>
      <c r="D4" s="34" t="s">
        <v>285</v>
      </c>
      <c r="E4" s="34" t="s">
        <v>286</v>
      </c>
      <c r="F4" s="38" t="s">
        <v>287</v>
      </c>
      <c r="G4" s="39" t="s">
        <v>288</v>
      </c>
      <c r="H4" s="40"/>
    </row>
    <row r="5" ht="22.5" spans="1:7">
      <c r="A5" s="41"/>
      <c r="B5" s="37" t="s">
        <v>289</v>
      </c>
      <c r="C5" s="37" t="s">
        <v>284</v>
      </c>
      <c r="D5" s="34" t="s">
        <v>285</v>
      </c>
      <c r="E5" s="34" t="s">
        <v>286</v>
      </c>
      <c r="F5" s="34" t="s">
        <v>287</v>
      </c>
      <c r="G5" s="39" t="str">
        <f>G4</f>
        <v>2022-07-06 2022-07-13 2022-07-20 2022-07-27</v>
      </c>
    </row>
    <row r="6" ht="22.5" spans="1:7">
      <c r="A6" s="41"/>
      <c r="B6" s="37" t="s">
        <v>290</v>
      </c>
      <c r="C6" s="37" t="s">
        <v>284</v>
      </c>
      <c r="D6" s="34" t="s">
        <v>285</v>
      </c>
      <c r="E6" s="34" t="s">
        <v>286</v>
      </c>
      <c r="F6" s="34" t="s">
        <v>287</v>
      </c>
      <c r="G6" s="39" t="str">
        <f t="shared" ref="G6:G20" si="0">G5</f>
        <v>2022-07-06 2022-07-13 2022-07-20 2022-07-27</v>
      </c>
    </row>
    <row r="7" ht="22.5" spans="1:7">
      <c r="A7" s="42"/>
      <c r="B7" s="37" t="s">
        <v>291</v>
      </c>
      <c r="C7" s="37" t="s">
        <v>284</v>
      </c>
      <c r="D7" s="34" t="s">
        <v>285</v>
      </c>
      <c r="E7" s="34" t="s">
        <v>286</v>
      </c>
      <c r="F7" s="34" t="s">
        <v>287</v>
      </c>
      <c r="G7" s="39" t="str">
        <f t="shared" si="0"/>
        <v>2022-07-06 2022-07-13 2022-07-20 2022-07-27</v>
      </c>
    </row>
    <row r="8" ht="22.5" spans="1:7">
      <c r="A8" s="36" t="s">
        <v>292</v>
      </c>
      <c r="B8" s="37" t="s">
        <v>283</v>
      </c>
      <c r="C8" s="37" t="s">
        <v>293</v>
      </c>
      <c r="D8" s="34" t="s">
        <v>285</v>
      </c>
      <c r="E8" s="34" t="s">
        <v>286</v>
      </c>
      <c r="F8" s="34" t="s">
        <v>287</v>
      </c>
      <c r="G8" s="39" t="str">
        <f t="shared" si="0"/>
        <v>2022-07-06 2022-07-13 2022-07-20 2022-07-27</v>
      </c>
    </row>
    <row r="9" ht="22.5" spans="1:7">
      <c r="A9" s="41"/>
      <c r="B9" s="37" t="s">
        <v>289</v>
      </c>
      <c r="C9" s="37" t="s">
        <v>293</v>
      </c>
      <c r="D9" s="34" t="s">
        <v>285</v>
      </c>
      <c r="E9" s="34" t="s">
        <v>286</v>
      </c>
      <c r="F9" s="34" t="s">
        <v>287</v>
      </c>
      <c r="G9" s="39" t="str">
        <f t="shared" si="0"/>
        <v>2022-07-06 2022-07-13 2022-07-20 2022-07-27</v>
      </c>
    </row>
    <row r="10" ht="22.5" spans="1:7">
      <c r="A10" s="41"/>
      <c r="B10" s="37" t="s">
        <v>290</v>
      </c>
      <c r="C10" s="37" t="s">
        <v>293</v>
      </c>
      <c r="D10" s="34" t="s">
        <v>285</v>
      </c>
      <c r="E10" s="34" t="s">
        <v>286</v>
      </c>
      <c r="F10" s="34" t="s">
        <v>287</v>
      </c>
      <c r="G10" s="39" t="str">
        <f t="shared" si="0"/>
        <v>2022-07-06 2022-07-13 2022-07-20 2022-07-27</v>
      </c>
    </row>
    <row r="11" ht="22.5" spans="1:7">
      <c r="A11" s="42"/>
      <c r="B11" s="37" t="s">
        <v>291</v>
      </c>
      <c r="C11" s="37" t="s">
        <v>293</v>
      </c>
      <c r="D11" s="34" t="s">
        <v>285</v>
      </c>
      <c r="E11" s="34" t="s">
        <v>286</v>
      </c>
      <c r="F11" s="34" t="s">
        <v>287</v>
      </c>
      <c r="G11" s="39" t="str">
        <f t="shared" si="0"/>
        <v>2022-07-06 2022-07-13 2022-07-20 2022-07-27</v>
      </c>
    </row>
    <row r="12" ht="24" customHeight="1" spans="1:7">
      <c r="A12" s="37" t="s">
        <v>294</v>
      </c>
      <c r="B12" s="37" t="s">
        <v>180</v>
      </c>
      <c r="C12" s="34" t="s">
        <v>295</v>
      </c>
      <c r="D12" s="34" t="s">
        <v>296</v>
      </c>
      <c r="E12" s="34" t="s">
        <v>286</v>
      </c>
      <c r="F12" s="34" t="s">
        <v>297</v>
      </c>
      <c r="G12" s="39" t="str">
        <f t="shared" si="0"/>
        <v>2022-07-06 2022-07-13 2022-07-20 2022-07-27</v>
      </c>
    </row>
    <row r="13" ht="22.5" spans="1:7">
      <c r="A13" s="36" t="s">
        <v>298</v>
      </c>
      <c r="B13" s="37" t="s">
        <v>283</v>
      </c>
      <c r="C13" s="34" t="s">
        <v>299</v>
      </c>
      <c r="D13" s="34" t="s">
        <v>300</v>
      </c>
      <c r="E13" s="34" t="s">
        <v>286</v>
      </c>
      <c r="F13" s="34" t="s">
        <v>287</v>
      </c>
      <c r="G13" s="39" t="str">
        <f t="shared" si="0"/>
        <v>2022-07-06 2022-07-13 2022-07-20 2022-07-27</v>
      </c>
    </row>
    <row r="14" ht="22.5" spans="1:7">
      <c r="A14" s="41"/>
      <c r="B14" s="37" t="s">
        <v>289</v>
      </c>
      <c r="C14" s="34" t="s">
        <v>299</v>
      </c>
      <c r="D14" s="34" t="s">
        <v>300</v>
      </c>
      <c r="E14" s="34" t="s">
        <v>286</v>
      </c>
      <c r="F14" s="34" t="s">
        <v>287</v>
      </c>
      <c r="G14" s="39" t="str">
        <f t="shared" si="0"/>
        <v>2022-07-06 2022-07-13 2022-07-20 2022-07-27</v>
      </c>
    </row>
    <row r="15" ht="22.5" spans="1:7">
      <c r="A15" s="41"/>
      <c r="B15" s="37" t="s">
        <v>290</v>
      </c>
      <c r="C15" s="34" t="s">
        <v>299</v>
      </c>
      <c r="D15" s="34" t="s">
        <v>300</v>
      </c>
      <c r="E15" s="34" t="s">
        <v>286</v>
      </c>
      <c r="F15" s="34" t="s">
        <v>287</v>
      </c>
      <c r="G15" s="39" t="str">
        <f t="shared" si="0"/>
        <v>2022-07-06 2022-07-13 2022-07-20 2022-07-27</v>
      </c>
    </row>
    <row r="16" ht="22.5" spans="1:7">
      <c r="A16" s="42"/>
      <c r="B16" s="37" t="s">
        <v>291</v>
      </c>
      <c r="C16" s="34" t="s">
        <v>299</v>
      </c>
      <c r="D16" s="34" t="s">
        <v>300</v>
      </c>
      <c r="E16" s="34" t="s">
        <v>286</v>
      </c>
      <c r="F16" s="34" t="s">
        <v>287</v>
      </c>
      <c r="G16" s="39" t="str">
        <f t="shared" si="0"/>
        <v>2022-07-06 2022-07-13 2022-07-20 2022-07-27</v>
      </c>
    </row>
    <row r="17" ht="22.5" spans="1:7">
      <c r="A17" s="34" t="s">
        <v>301</v>
      </c>
      <c r="B17" s="37" t="s">
        <v>283</v>
      </c>
      <c r="C17" s="34" t="s">
        <v>302</v>
      </c>
      <c r="D17" s="34" t="s">
        <v>300</v>
      </c>
      <c r="E17" s="34" t="s">
        <v>286</v>
      </c>
      <c r="F17" s="34" t="s">
        <v>287</v>
      </c>
      <c r="G17" s="39" t="str">
        <f t="shared" si="0"/>
        <v>2022-07-06 2022-07-13 2022-07-20 2022-07-27</v>
      </c>
    </row>
    <row r="18" ht="22.5" spans="1:7">
      <c r="A18" s="34"/>
      <c r="B18" s="37" t="s">
        <v>289</v>
      </c>
      <c r="C18" s="37" t="s">
        <v>293</v>
      </c>
      <c r="D18" s="34" t="s">
        <v>300</v>
      </c>
      <c r="E18" s="34" t="s">
        <v>286</v>
      </c>
      <c r="F18" s="34" t="s">
        <v>287</v>
      </c>
      <c r="G18" s="39" t="str">
        <f t="shared" si="0"/>
        <v>2022-07-06 2022-07-13 2022-07-20 2022-07-27</v>
      </c>
    </row>
    <row r="19" ht="22.5" spans="1:7">
      <c r="A19" s="34"/>
      <c r="B19" s="37" t="s">
        <v>290</v>
      </c>
      <c r="C19" s="34" t="s">
        <v>302</v>
      </c>
      <c r="D19" s="34" t="s">
        <v>300</v>
      </c>
      <c r="E19" s="34" t="s">
        <v>286</v>
      </c>
      <c r="F19" s="34" t="s">
        <v>287</v>
      </c>
      <c r="G19" s="39" t="str">
        <f t="shared" si="0"/>
        <v>2022-07-06 2022-07-13 2022-07-20 2022-07-27</v>
      </c>
    </row>
    <row r="20" ht="22.5" spans="1:7">
      <c r="A20" s="34"/>
      <c r="B20" s="37" t="s">
        <v>291</v>
      </c>
      <c r="C20" s="37" t="s">
        <v>293</v>
      </c>
      <c r="D20" s="34" t="s">
        <v>300</v>
      </c>
      <c r="E20" s="34" t="s">
        <v>286</v>
      </c>
      <c r="F20" s="34" t="s">
        <v>287</v>
      </c>
      <c r="G20" s="39" t="str">
        <f t="shared" si="0"/>
        <v>2022-07-06 2022-07-13 2022-07-20 2022-07-27</v>
      </c>
    </row>
    <row r="21" ht="20.25" customHeight="1" spans="1:7">
      <c r="A21" s="43" t="s">
        <v>72</v>
      </c>
      <c r="B21" s="43"/>
      <c r="C21" s="43"/>
      <c r="D21" s="43" t="s">
        <v>73</v>
      </c>
      <c r="E21" s="43"/>
      <c r="F21" s="43" t="s">
        <v>303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77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44743</v>
      </c>
      <c r="E26" s="50"/>
      <c r="F26" s="31"/>
    </row>
    <row r="27" ht="18.75" customHeight="1" spans="1:7">
      <c r="A27" s="34" t="s">
        <v>277</v>
      </c>
      <c r="B27" s="34" t="s">
        <v>166</v>
      </c>
      <c r="C27" s="34" t="s">
        <v>278</v>
      </c>
      <c r="D27" s="34" t="s">
        <v>279</v>
      </c>
      <c r="E27" s="34" t="s">
        <v>280</v>
      </c>
      <c r="F27" s="34" t="s">
        <v>281</v>
      </c>
      <c r="G27" s="34" t="s">
        <v>132</v>
      </c>
    </row>
    <row r="28" ht="19.5" customHeight="1" spans="1:7">
      <c r="A28" s="34" t="s">
        <v>304</v>
      </c>
      <c r="B28" s="51" t="s">
        <v>283</v>
      </c>
      <c r="C28" s="51" t="s">
        <v>293</v>
      </c>
      <c r="D28" s="34" t="s">
        <v>285</v>
      </c>
      <c r="E28" s="37" t="s">
        <v>286</v>
      </c>
      <c r="F28" s="34" t="s">
        <v>297</v>
      </c>
      <c r="G28" s="52">
        <v>44763</v>
      </c>
    </row>
    <row r="29" ht="19.5" customHeight="1" spans="1:7">
      <c r="A29" s="34"/>
      <c r="B29" s="51" t="s">
        <v>291</v>
      </c>
      <c r="C29" s="51" t="s">
        <v>293</v>
      </c>
      <c r="D29" s="34" t="s">
        <v>285</v>
      </c>
      <c r="E29" s="37" t="s">
        <v>286</v>
      </c>
      <c r="F29" s="34" t="s">
        <v>297</v>
      </c>
      <c r="G29" s="52">
        <f>G28</f>
        <v>44763</v>
      </c>
    </row>
    <row r="30" ht="19.5" customHeight="1" spans="1:7">
      <c r="A30" s="34" t="s">
        <v>305</v>
      </c>
      <c r="B30" s="51" t="s">
        <v>283</v>
      </c>
      <c r="C30" s="37" t="s">
        <v>295</v>
      </c>
      <c r="D30" s="34" t="s">
        <v>300</v>
      </c>
      <c r="E30" s="37" t="s">
        <v>286</v>
      </c>
      <c r="F30" s="34" t="s">
        <v>297</v>
      </c>
      <c r="G30" s="52">
        <f>G29</f>
        <v>44763</v>
      </c>
    </row>
    <row r="31" ht="19.5" customHeight="1" spans="1:7">
      <c r="A31" s="34"/>
      <c r="B31" s="51" t="s">
        <v>291</v>
      </c>
      <c r="C31" s="37" t="s">
        <v>295</v>
      </c>
      <c r="D31" s="34" t="s">
        <v>300</v>
      </c>
      <c r="E31" s="37" t="s">
        <v>286</v>
      </c>
      <c r="F31" s="34" t="s">
        <v>297</v>
      </c>
      <c r="G31" s="52">
        <f>G30</f>
        <v>44763</v>
      </c>
    </row>
    <row r="32" ht="20.25" customHeight="1" spans="1:7">
      <c r="A32" s="43" t="s">
        <v>72</v>
      </c>
      <c r="B32" s="43"/>
      <c r="C32" s="43"/>
      <c r="D32" s="43" t="s">
        <v>73</v>
      </c>
      <c r="E32" s="43"/>
      <c r="F32" s="43" t="str">
        <f>F21</f>
        <v>制表日期：2022/8/3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G14" sqref="G14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306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307</v>
      </c>
      <c r="B3" s="5"/>
      <c r="C3" s="5"/>
      <c r="D3" s="5"/>
      <c r="E3" s="5" t="s">
        <v>308</v>
      </c>
      <c r="F3" s="5"/>
      <c r="G3" s="5"/>
      <c r="H3" s="5"/>
      <c r="I3" s="3"/>
    </row>
    <row r="4" customHeight="1" spans="1:9">
      <c r="A4" s="5" t="s">
        <v>309</v>
      </c>
      <c r="B4" s="5"/>
      <c r="C4" s="5"/>
      <c r="D4" s="5"/>
      <c r="E4" s="5" t="s">
        <v>310</v>
      </c>
      <c r="F4" s="5"/>
      <c r="G4" s="5" t="s">
        <v>311</v>
      </c>
      <c r="H4" s="5"/>
      <c r="I4" s="25"/>
    </row>
    <row r="5" customHeight="1" spans="1:8">
      <c r="A5" s="5" t="s">
        <v>312</v>
      </c>
      <c r="B5" s="5" t="s">
        <v>313</v>
      </c>
      <c r="C5" s="5" t="s">
        <v>314</v>
      </c>
      <c r="D5" s="5" t="s">
        <v>315</v>
      </c>
      <c r="E5" s="5" t="s">
        <v>312</v>
      </c>
      <c r="F5" s="5" t="s">
        <v>313</v>
      </c>
      <c r="G5" s="5" t="s">
        <v>312</v>
      </c>
      <c r="H5" s="5" t="s">
        <v>315</v>
      </c>
    </row>
    <row r="6" customHeight="1" spans="1:15">
      <c r="A6" s="6" t="s">
        <v>316</v>
      </c>
      <c r="B6" s="7">
        <v>2.59</v>
      </c>
      <c r="C6" s="7">
        <v>7.82</v>
      </c>
      <c r="D6" s="7">
        <v>1.8</v>
      </c>
      <c r="E6" s="6" t="s">
        <v>316</v>
      </c>
      <c r="F6" s="7">
        <v>5.21</v>
      </c>
      <c r="G6" s="6" t="s">
        <v>316</v>
      </c>
      <c r="H6" s="7">
        <v>1.25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317</v>
      </c>
      <c r="B7" s="7">
        <v>3.98</v>
      </c>
      <c r="C7" s="7">
        <v>5.12</v>
      </c>
      <c r="D7" s="7">
        <v>0.82</v>
      </c>
      <c r="E7" s="6" t="s">
        <v>317</v>
      </c>
      <c r="F7" s="7">
        <v>4.58</v>
      </c>
      <c r="G7" s="6" t="s">
        <v>318</v>
      </c>
      <c r="H7" s="7">
        <v>1.47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318</v>
      </c>
      <c r="B8" s="7">
        <v>4.5</v>
      </c>
      <c r="C8" s="7">
        <v>4.02</v>
      </c>
      <c r="D8" s="7">
        <v>0.44</v>
      </c>
      <c r="E8" s="6" t="s">
        <v>318</v>
      </c>
      <c r="F8" s="7">
        <v>3.66</v>
      </c>
      <c r="G8" s="6" t="s">
        <v>319</v>
      </c>
      <c r="H8" s="7">
        <v>3.54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319</v>
      </c>
      <c r="B9" s="7">
        <v>5.56</v>
      </c>
      <c r="C9" s="7">
        <v>2.14</v>
      </c>
      <c r="D9" s="7">
        <v>0.39</v>
      </c>
      <c r="E9" s="6" t="s">
        <v>320</v>
      </c>
      <c r="F9" s="7">
        <v>2.52</v>
      </c>
      <c r="G9" s="6" t="s">
        <v>321</v>
      </c>
      <c r="H9" s="7">
        <v>4.78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322</v>
      </c>
      <c r="B10" s="9">
        <v>4428</v>
      </c>
      <c r="C10" s="10"/>
      <c r="D10" s="11"/>
      <c r="E10" s="6" t="s">
        <v>319</v>
      </c>
      <c r="F10" s="7">
        <v>1.84</v>
      </c>
      <c r="G10" s="5" t="s">
        <v>322</v>
      </c>
      <c r="H10" s="12">
        <v>4560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321</v>
      </c>
      <c r="F11" s="7">
        <v>1.47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322</v>
      </c>
      <c r="F12" s="5">
        <v>4644</v>
      </c>
      <c r="G12" s="5"/>
      <c r="H12" s="22"/>
      <c r="M12" s="26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323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2022-08-08T07:08:11Z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AC0587F76FD54565A1D1EFF08F6CA2B5</vt:lpwstr>
  </property>
</Properties>
</file>