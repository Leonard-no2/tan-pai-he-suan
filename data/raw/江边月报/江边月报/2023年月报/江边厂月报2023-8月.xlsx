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 activeTab="2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<sst xmlns="http://schemas.openxmlformats.org/spreadsheetml/2006/main" count="968" uniqueCount="332">
  <si>
    <t>常州市深水江边污水处理有限公司污水处理运行月报表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</si>
  <si>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</si>
  <si>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</si>
  <si>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</si>
  <si>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</si>
  <si>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</si>
  <si>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</si>
  <si>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</si>
  <si>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</si>
  <si>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</si>
  <si>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</si>
  <si>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</si>
  <si>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</si>
  <si>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</si>
  <si>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</si>
  <si>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</si>
  <si>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</si>
  <si>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</si>
  <si>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</si>
  <si>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</si>
  <si>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单位电耗</t>
  </si>
  <si>
    <t>电费</t>
  </si>
  <si>
    <t>电成本</t>
  </si>
  <si>
    <t>最新时间</t>
  </si>
  <si>
    <t>PAC</t>
  </si>
  <si>
    <t>PAC费用</t>
  </si>
  <si>
    <t>PAM阳</t>
  </si>
  <si>
    <t>PAM阳费用</t>
  </si>
  <si>
    <t>PAM阴</t>
  </si>
  <si>
    <t>PAM阴费用</t>
  </si>
  <si>
    <t>HCL</t>
  </si>
  <si>
    <t>盐酸费用</t>
  </si>
  <si>
    <t>NACLO3</t>
  </si>
  <si>
    <t>氯酸钠费用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</si>
  <si>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</si>
  <si>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</si>
  <si>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</si>
  <si>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</si>
  <si>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</si>
  <si>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</si>
  <si>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</si>
  <si>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</si>
  <si>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</si>
  <si>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</si>
  <si>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</si>
  <si>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</si>
  <si>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</si>
  <si>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</si>
  <si>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</si>
  <si>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</si>
  <si>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</si>
  <si>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工业盐酸</t>
  </si>
  <si>
    <t>工业氯酸钠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</si>
  <si>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</si>
  <si>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</si>
  <si>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</si>
  <si>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</si>
  <si>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</si>
  <si>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</si>
  <si>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</si>
  <si>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</si>
  <si>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</si>
  <si>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</si>
  <si>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</si>
  <si>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阴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</si>
  <si>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</si>
  <si>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</si>
  <si>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</si>
  <si>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</si>
  <si>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</si>
  <si>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</si>
  <si>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</si>
  <si>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</si>
  <si>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</si>
  <si>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</si>
  <si>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雨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</si>
  <si>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</si>
  <si>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</si>
  <si>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</si>
  <si>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</si>
  <si>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</si>
  <si>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</si>
  <si>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</si>
  <si>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</si>
  <si>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</si>
  <si>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</si>
  <si>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</si>
  <si>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</si>
  <si>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</si>
  <si>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</si>
  <si>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</si>
  <si>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</si>
  <si>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</si>
  <si>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</si>
  <si>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</si>
  <si>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</si>
  <si>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</si>
  <si>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</si>
  <si>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</si>
  <si>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</si>
  <si>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</si>
  <si>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</si>
  <si>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</si>
  <si>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</si>
  <si>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</si>
  <si>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</si>
  <si>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</si>
  <si>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</si>
  <si>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</si>
  <si>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</si>
  <si>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</si>
  <si>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</si>
  <si>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</si>
  <si>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</si>
  <si>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</si>
  <si>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</si>
  <si>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</si>
  <si>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</si>
  <si>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</si>
  <si>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</si>
  <si>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</si>
  <si>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</si>
  <si>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</si>
  <si>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</si>
  <si>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</si>
  <si>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</si>
  <si>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</si>
  <si>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</si>
  <si>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</si>
  <si>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</si>
  <si>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</si>
  <si>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</si>
  <si>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</si>
  <si>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</si>
  <si>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</si>
  <si>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</si>
  <si>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</si>
  <si>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</si>
  <si>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</si>
  <si>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>本月产生泥饼3422.66吨，其中运往常州市英科环境科技有限公司2253.24吨，国电常州发电有限公司1124.42吨，外运接种45.00吨，常州市百丈污水处理有限公司30.00吨，江苏腾业新材料有限公司15.00吨。</t>
  </si>
  <si>
    <t>审核：                                               制表：                               制表日期：2023/9/4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</si>
  <si>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</si>
  <si>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</si>
  <si>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</si>
  <si>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</si>
  <si>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</si>
  <si>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</si>
  <si>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</si>
  <si>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</si>
  <si>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</si>
  <si>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</si>
  <si>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</si>
  <si>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t>COD(mg/L)</t>
  </si>
  <si>
    <t>BOD(mg/L)</t>
  </si>
  <si>
    <t>SS(mg/L)</t>
  </si>
  <si>
    <r>
      <rPr>
        <sz val="10"/>
        <rFont val="Times New Roman"/>
        <charset val="0"/>
      </rPr>
      <t>NH</t>
    </r>
    <r>
      <rPr>
        <vertAlign val="subscript"/>
        <sz val="10"/>
        <rFont val="Times New Roman"/>
        <charset val="0"/>
      </rPr>
      <t>3</t>
    </r>
    <r>
      <rPr>
        <sz val="10"/>
        <rFont val="Times New Roman"/>
        <charset val="0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</si>
  <si>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</si>
  <si>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</si>
  <si>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</si>
  <si>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二沉</t>
  </si>
  <si>
    <t>制表时间：2023/9/4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</si>
  <si>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</si>
  <si>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</si>
  <si>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</si>
  <si>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</si>
  <si>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</si>
  <si>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</si>
  <si>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</si>
  <si>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</si>
  <si>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</si>
  <si>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</si>
  <si>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</si>
  <si>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</si>
  <si>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</si>
  <si>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</si>
  <si>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</si>
  <si>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</si>
  <si>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</si>
  <si>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</si>
  <si>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</si>
  <si>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</si>
  <si>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</si>
  <si>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</si>
  <si>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</si>
  <si>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</si>
  <si>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</si>
  <si>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</si>
  <si>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</si>
  <si>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</si>
  <si>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</si>
  <si>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</si>
  <si>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</si>
  <si>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25日保养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</si>
  <si>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</si>
  <si>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</si>
  <si>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</si>
  <si>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</si>
  <si>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</si>
  <si>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</si>
  <si>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</si>
  <si>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</si>
  <si>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29日链条更换调整</t>
  </si>
  <si>
    <t>6#</t>
  </si>
  <si>
    <t>搅拌机</t>
  </si>
  <si>
    <t>砂水分离机</t>
  </si>
  <si>
    <t>高压鼓风机</t>
  </si>
  <si>
    <t>制表时间：2023/9/5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</si>
  <si>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</si>
  <si>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</si>
  <si>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</si>
  <si>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</si>
  <si>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</si>
  <si>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</si>
  <si>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</si>
  <si>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</si>
  <si>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</si>
  <si>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</si>
  <si>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</si>
  <si>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</si>
  <si>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</si>
  <si>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</si>
  <si>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</si>
  <si>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</si>
  <si>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</si>
  <si>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</si>
  <si>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</si>
  <si>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</si>
  <si>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</si>
  <si>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</si>
  <si>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</si>
  <si>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</si>
  <si>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</si>
  <si>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</si>
  <si>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</si>
  <si>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</si>
  <si>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</si>
  <si>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</si>
  <si>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</si>
  <si>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</si>
  <si>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</si>
  <si>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</si>
  <si>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22日保养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</si>
  <si>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</si>
  <si>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</si>
  <si>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</si>
  <si>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</si>
  <si>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</si>
  <si>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工艺调整，停开</t>
  </si>
  <si>
    <t>17日故障，待维修</t>
  </si>
  <si>
    <t>一期
厌、缺
、好氧
区搅拌
器</t>
  </si>
  <si>
    <t>二沉池
刮吸泥机</t>
  </si>
  <si>
    <t>剩余
污泥泵</t>
  </si>
  <si>
    <t>外回
流泵</t>
  </si>
  <si>
    <t>内回
流泵</t>
  </si>
  <si>
    <t>二
期
二
级
处
理</t>
  </si>
  <si>
    <t>二
期
厌
、
缺
、
好
氧
区
搅
拌
器</t>
  </si>
  <si>
    <t>深
度
处
理</t>
  </si>
  <si>
    <t>三次
提升泵</t>
  </si>
  <si>
    <t>高沉
刮泥机</t>
  </si>
  <si>
    <t>高沉池
絮凝搅拌器</t>
  </si>
  <si>
    <t>高沉池
混凝搅拌器</t>
  </si>
  <si>
    <t>高沉池
剩余污泥泵</t>
  </si>
  <si>
    <t>PAC
投加泵</t>
  </si>
  <si>
    <t>PAM
投加泵</t>
  </si>
  <si>
    <t>提标
空压机</t>
  </si>
  <si>
    <t>V型滤池
（南）</t>
  </si>
  <si>
    <t>V型滤池
（北）</t>
  </si>
  <si>
    <t>17日更换排气阀电磁阀</t>
  </si>
  <si>
    <t>17日更换排气阀气压调节阀</t>
  </si>
  <si>
    <t>反冲洗泵</t>
  </si>
  <si>
    <t>反冲洗风机</t>
  </si>
  <si>
    <t>二
氧
化
氯
发
生
器
房</t>
  </si>
  <si>
    <t>欧泰华
二氧化氯
发生器</t>
  </si>
  <si>
    <t>7日保养</t>
  </si>
  <si>
    <t>7日保养、11日更换盐酸泵</t>
  </si>
  <si>
    <t>7日保养、23日更换温控探头一只</t>
  </si>
  <si>
    <t>7日保养、17日更换加热管一根</t>
  </si>
  <si>
    <t>山大华特
二氧化氯
发生器</t>
  </si>
  <si>
    <t>增压水泵</t>
  </si>
  <si>
    <t>28日保养</t>
  </si>
  <si>
    <t>脱
水
机
房</t>
  </si>
  <si>
    <t>浓缩池刮泥机</t>
  </si>
  <si>
    <t>9日保养</t>
  </si>
  <si>
    <t>进泥泵</t>
  </si>
  <si>
    <t>脱水离心机</t>
  </si>
  <si>
    <t>30日保养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</si>
  <si>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</si>
  <si>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</si>
  <si>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</si>
  <si>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</si>
  <si>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</si>
  <si>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</si>
  <si>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</si>
  <si>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</si>
  <si>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</si>
  <si>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</si>
  <si>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</si>
  <si>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2023-08-04 2023-08-11 2023-08-18 2023-08-25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</si>
  <si>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</si>
  <si>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</si>
  <si>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</si>
  <si>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</si>
  <si>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</si>
  <si>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</si>
  <si>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</si>
  <si>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</si>
  <si>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</si>
  <si>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</si>
  <si>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</si>
  <si>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</si>
  <si>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</si>
  <si>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</si>
  <si>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制表日期：2023/9/5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</si>
  <si>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</si>
  <si>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</si>
  <si>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</si>
  <si>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采样地点：二期南</t>
  </si>
  <si>
    <t>采样时间：2023-8-22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</si>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</sst>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_);[Red]\(0\)"/>
    <numFmt numFmtId="178" formatCode="0.0;_ﰀ"/>
    <numFmt numFmtId="179" formatCode="0.00_);[Red]\(0.00\)"/>
    <numFmt numFmtId="180" formatCode="0_ "/>
    <numFmt numFmtId="181" formatCode="0.0;[Red]0.0"/>
    <numFmt numFmtId="182" formatCode="#,##0.00_ "/>
    <numFmt numFmtId="183" formatCode="0;_鰀"/>
    <numFmt numFmtId="184" formatCode="yyyy&quot;年&quot;m&quot;月&quot;;@"/>
    <numFmt numFmtId="185" formatCode="0;[Red]0"/>
    <numFmt numFmtId="186" formatCode="0.00;[Red]0.00"/>
    <numFmt numFmtId="187" formatCode="0.0_ "/>
    <numFmt numFmtId="188" formatCode="0.00_ "/>
    <numFmt numFmtId="189" formatCode="0.0%"/>
    <numFmt numFmtId="190" formatCode="0.000_ "/>
    <numFmt numFmtId="191" formatCode="0;_䠀"/>
    <numFmt numFmtId="192" formatCode="0.00;_鰀"/>
    <numFmt numFmtId="193" formatCode="0;_ﰀ"/>
    <numFmt numFmtId="194" formatCode="0.00;_ﰀ"/>
    <numFmt numFmtId="195" formatCode="0.000_);[Red]\(0.000\)"/>
    <numFmt numFmtId="196" formatCode="0.000;_鰀"/>
    <numFmt numFmtId="197" formatCode="0.0000_);[Red]\(0.0000\)"/>
  </numFmts>
  <fonts count="59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rgb="FF00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0"/>
      <color theme="1"/>
      <name val="宋体"/>
      <charset val="134"/>
    </font>
    <font>
      <sz val="14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52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bscript"/>
      <sz val="10"/>
      <name val="Times New Roman"/>
      <charset val="0"/>
    </font>
    <font>
      <vertAlign val="superscript"/>
      <sz val="11"/>
      <color indexed="8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20">
    <xf numFmtId="0" fontId="0" fillId="0" borderId="0"/>
    <xf numFmtId="42" fontId="0" fillId="0" borderId="0" applyFont="0" applyFill="0" applyBorder="0" applyAlignment="0" applyProtection="0"/>
    <xf numFmtId="0" fontId="35" fillId="6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35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37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7" fillId="14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35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17" borderId="21" applyNumberFormat="0" applyFon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0" fillId="17" borderId="21" applyNumberFormat="0" applyFont="0" applyAlignment="0" applyProtection="0">
      <alignment vertical="center"/>
    </xf>
    <xf numFmtId="0" fontId="35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9" fillId="11" borderId="25" applyNumberFormat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50" fillId="22" borderId="26" applyNumberFormat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50" fillId="22" borderId="26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9" fillId="11" borderId="25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7" borderId="0" applyNumberFormat="0" applyBorder="0" applyAlignment="0" applyProtection="0">
      <alignment vertical="center"/>
    </xf>
    <xf numFmtId="0" fontId="49" fillId="11" borderId="25" applyNumberFormat="0" applyAlignment="0" applyProtection="0">
      <alignment vertical="center"/>
    </xf>
    <xf numFmtId="0" fontId="35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18" borderId="0" applyNumberFormat="0" applyBorder="0" applyAlignment="0" applyProtection="0">
      <alignment vertical="center"/>
    </xf>
    <xf numFmtId="0" fontId="0" fillId="17" borderId="21" applyNumberFormat="0" applyFont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9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0" fillId="22" borderId="26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0" fillId="22" borderId="26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0" fillId="22" borderId="26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0" fillId="22" borderId="26" applyNumberFormat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0" fillId="0" borderId="0"/>
    <xf numFmtId="0" fontId="35" fillId="18" borderId="0" applyNumberFormat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>
      <alignment vertical="top"/>
      <protection locked="0"/>
    </xf>
    <xf numFmtId="0" fontId="35" fillId="26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50" fillId="22" borderId="26" applyNumberFormat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0" fillId="0" borderId="0"/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0" borderId="0">
      <alignment vertical="top"/>
      <protection locked="0"/>
    </xf>
    <xf numFmtId="0" fontId="37" fillId="1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5" fillId="0" borderId="0">
      <alignment vertical="center"/>
    </xf>
    <xf numFmtId="0" fontId="37" fillId="16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5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0" fillId="17" borderId="21" applyNumberFormat="0" applyFont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50" fillId="22" borderId="26" applyNumberForma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35" fillId="0" borderId="0">
      <alignment vertical="center"/>
    </xf>
    <xf numFmtId="0" fontId="53" fillId="7" borderId="0" applyNumberFormat="0" applyBorder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35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0" fillId="22" borderId="26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/>
    <xf numFmtId="0" fontId="41" fillId="1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53" fillId="7" borderId="0" applyNumberFormat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  <xf numFmtId="0" fontId="0" fillId="17" borderId="21" applyNumberFormat="0" applyFont="0" applyAlignment="0" applyProtection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7" fillId="23" borderId="0" applyNumberFormat="0" applyBorder="0" applyAlignment="0" applyProtection="0">
      <alignment vertical="center"/>
    </xf>
    <xf numFmtId="0" fontId="0" fillId="0" borderId="0"/>
    <xf numFmtId="0" fontId="37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1" fillId="0" borderId="27" applyNumberFormat="0" applyFill="0" applyAlignment="0" applyProtection="0">
      <alignment vertical="center"/>
    </xf>
    <xf numFmtId="0" fontId="0" fillId="0" borderId="0"/>
    <xf numFmtId="0" fontId="35" fillId="0" borderId="0">
      <alignment vertical="center"/>
    </xf>
    <xf numFmtId="0" fontId="35" fillId="0" borderId="0">
      <alignment vertical="center"/>
    </xf>
    <xf numFmtId="0" fontId="0" fillId="0" borderId="0">
      <alignment vertical="center"/>
    </xf>
    <xf numFmtId="0" fontId="37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8" fillId="9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8" fillId="9" borderId="20" applyNumberFormat="0" applyAlignment="0" applyProtection="0">
      <alignment vertical="center"/>
    </xf>
    <xf numFmtId="0" fontId="0" fillId="0" borderId="0"/>
    <xf numFmtId="0" fontId="38" fillId="9" borderId="20" applyNumberFormat="0" applyAlignment="0" applyProtection="0">
      <alignment vertical="center"/>
    </xf>
    <xf numFmtId="0" fontId="0" fillId="0" borderId="0"/>
    <xf numFmtId="0" fontId="0" fillId="0" borderId="0"/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40" fillId="11" borderId="20" applyNumberFormat="0" applyAlignment="0" applyProtection="0">
      <alignment vertical="center"/>
    </xf>
    <xf numFmtId="0" fontId="50" fillId="22" borderId="26" applyNumberFormat="0" applyAlignment="0" applyProtection="0">
      <alignment vertical="center"/>
    </xf>
    <xf numFmtId="0" fontId="50" fillId="22" borderId="26" applyNumberFormat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50" fillId="22" borderId="26" applyNumberFormat="0" applyAlignment="0" applyProtection="0">
      <alignment vertical="center"/>
    </xf>
    <xf numFmtId="0" fontId="50" fillId="22" borderId="26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17" borderId="2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49" fillId="11" borderId="25" applyNumberFormat="0" applyAlignment="0" applyProtection="0">
      <alignment vertical="center"/>
    </xf>
    <xf numFmtId="0" fontId="49" fillId="11" borderId="25" applyNumberFormat="0" applyAlignment="0" applyProtection="0">
      <alignment vertical="center"/>
    </xf>
    <xf numFmtId="0" fontId="49" fillId="11" borderId="25" applyNumberFormat="0" applyAlignment="0" applyProtection="0">
      <alignment vertical="center"/>
    </xf>
    <xf numFmtId="0" fontId="49" fillId="11" borderId="25" applyNumberFormat="0" applyAlignment="0" applyProtection="0">
      <alignment vertical="center"/>
    </xf>
    <xf numFmtId="0" fontId="49" fillId="11" borderId="25" applyNumberFormat="0" applyAlignment="0" applyProtection="0">
      <alignment vertical="center"/>
    </xf>
    <xf numFmtId="0" fontId="49" fillId="11" borderId="25" applyNumberFormat="0" applyAlignment="0" applyProtection="0">
      <alignment vertical="center"/>
    </xf>
    <xf numFmtId="0" fontId="49" fillId="11" borderId="25" applyNumberFormat="0" applyAlignment="0" applyProtection="0">
      <alignment vertical="center"/>
    </xf>
    <xf numFmtId="0" fontId="49" fillId="11" borderId="25" applyNumberFormat="0" applyAlignment="0" applyProtection="0">
      <alignment vertical="center"/>
    </xf>
    <xf numFmtId="0" fontId="49" fillId="11" borderId="25" applyNumberFormat="0" applyAlignment="0" applyProtection="0">
      <alignment vertical="center"/>
    </xf>
    <xf numFmtId="0" fontId="49" fillId="11" borderId="25" applyNumberFormat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38" fillId="9" borderId="20" applyNumberFormat="0" applyAlignment="0" applyProtection="0">
      <alignment vertical="center"/>
    </xf>
    <xf numFmtId="0" fontId="0" fillId="17" borderId="21" applyNumberFormat="0" applyFont="0" applyAlignment="0" applyProtection="0">
      <alignment vertical="center"/>
    </xf>
    <xf numFmtId="0" fontId="0" fillId="17" borderId="21" applyNumberFormat="0" applyFont="0" applyAlignment="0" applyProtection="0">
      <alignment vertical="center"/>
    </xf>
    <xf numFmtId="0" fontId="0" fillId="17" borderId="21" applyNumberFormat="0" applyFont="0" applyAlignment="0" applyProtection="0">
      <alignment vertical="center"/>
    </xf>
    <xf numFmtId="0" fontId="0" fillId="17" borderId="21" applyNumberFormat="0" applyFont="0" applyAlignment="0" applyProtection="0">
      <alignment vertical="center"/>
    </xf>
    <xf numFmtId="0" fontId="0" fillId="17" borderId="21" applyNumberFormat="0" applyFont="0" applyAlignment="0" applyProtection="0">
      <alignment vertical="center"/>
    </xf>
    <xf numFmtId="0" fontId="0" fillId="17" borderId="21" applyNumberFormat="0" applyFont="0" applyAlignment="0" applyProtection="0">
      <alignment vertical="center"/>
    </xf>
    <xf numFmtId="0" fontId="0" fillId="17" borderId="21" applyNumberFormat="0" applyFont="0" applyAlignment="0" applyProtection="0">
      <alignment vertical="center"/>
    </xf>
    <xf numFmtId="0" fontId="0" fillId="0" borderId="0">
      <alignment vertical="center"/>
    </xf>
    <xf numFmtId="0" fontId="35" fillId="12" borderId="0" applyNumberFormat="0" applyBorder="0" applyAlignment="0" applyProtection="0">
      <alignment vertical="center"/>
    </xf>
  </cellStyleXfs>
  <cellXfs count="33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77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77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80" fontId="5" fillId="0" borderId="0" xfId="0" applyNumberFormat="1" applyFont="1"/>
    <xf numFmtId="182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92" applyFont="1" applyAlignment="1">
      <alignment horizontal="center" vertical="center"/>
    </xf>
    <xf numFmtId="0" fontId="7" fillId="0" borderId="0" xfId="492" applyFont="1" applyAlignment="1">
      <alignment horizontal="center" vertical="center"/>
    </xf>
    <xf numFmtId="0" fontId="8" fillId="0" borderId="0" xfId="492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77" fontId="1" fillId="0" borderId="4" xfId="0" applyNumberFormat="1" applyFont="1" applyFill="1" applyBorder="1" applyAlignment="1">
      <alignment vertical="center"/>
    </xf>
    <xf numFmtId="180" fontId="1" fillId="0" borderId="4" xfId="0" applyNumberFormat="1" applyFont="1" applyFill="1" applyBorder="1" applyAlignment="1">
      <alignment vertical="center"/>
    </xf>
    <xf numFmtId="184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77" fontId="1" fillId="0" borderId="2" xfId="0" applyNumberFormat="1" applyFont="1" applyFill="1" applyBorder="1" applyAlignment="1">
      <alignment horizontal="center" vertical="center" wrapText="1"/>
    </xf>
    <xf numFmtId="180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77" fontId="12" fillId="0" borderId="0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9" fontId="15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180" fontId="1" fillId="0" borderId="0" xfId="0" applyNumberFormat="1" applyFont="1" applyFill="1" applyBorder="1" applyAlignment="1">
      <alignment vertical="center"/>
    </xf>
    <xf numFmtId="0" fontId="16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11" xfId="0" applyFont="1" applyFill="1" applyBorder="1" applyAlignment="1"/>
    <xf numFmtId="0" fontId="18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8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vertical="center"/>
    </xf>
    <xf numFmtId="185" fontId="18" fillId="0" borderId="4" xfId="0" applyNumberFormat="1" applyFont="1" applyBorder="1" applyAlignment="1">
      <alignment vertical="center"/>
    </xf>
    <xf numFmtId="177" fontId="18" fillId="0" borderId="4" xfId="0" applyNumberFormat="1" applyFont="1" applyBorder="1" applyAlignment="1">
      <alignment vertical="center"/>
    </xf>
    <xf numFmtId="188" fontId="18" fillId="0" borderId="4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85" fontId="18" fillId="0" borderId="0" xfId="0" applyNumberFormat="1" applyFont="1" applyBorder="1" applyAlignment="1">
      <alignment vertical="center"/>
    </xf>
    <xf numFmtId="185" fontId="18" fillId="0" borderId="0" xfId="0" applyNumberFormat="1" applyFont="1" applyAlignment="1">
      <alignment vertical="center"/>
    </xf>
    <xf numFmtId="177" fontId="18" fillId="0" borderId="0" xfId="0" applyNumberFormat="1" applyFont="1" applyAlignment="1">
      <alignment vertical="center"/>
    </xf>
    <xf numFmtId="188" fontId="18" fillId="0" borderId="0" xfId="0" applyNumberFormat="1" applyFont="1" applyAlignment="1">
      <alignment vertical="center"/>
    </xf>
    <xf numFmtId="181" fontId="18" fillId="0" borderId="0" xfId="0" applyNumberFormat="1" applyFont="1" applyAlignment="1">
      <alignment vertical="center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187" fontId="20" fillId="0" borderId="4" xfId="0" applyNumberFormat="1" applyFont="1" applyFill="1" applyBorder="1" applyAlignment="1">
      <alignment horizontal="center" vertical="center"/>
    </xf>
    <xf numFmtId="187" fontId="21" fillId="0" borderId="4" xfId="0" applyNumberFormat="1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187" fontId="20" fillId="0" borderId="0" xfId="0" applyNumberFormat="1" applyFont="1" applyFill="1" applyAlignment="1">
      <alignment horizontal="center" vertical="center"/>
    </xf>
    <xf numFmtId="180" fontId="21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80" fontId="20" fillId="0" borderId="0" xfId="0" applyNumberFormat="1" applyFont="1" applyFill="1" applyAlignment="1">
      <alignment horizontal="center" vertical="center"/>
    </xf>
    <xf numFmtId="187" fontId="21" fillId="0" borderId="0" xfId="0" applyNumberFormat="1" applyFont="1" applyFill="1" applyAlignment="1">
      <alignment horizontal="center" vertical="center"/>
    </xf>
    <xf numFmtId="188" fontId="20" fillId="0" borderId="0" xfId="0" applyNumberFormat="1" applyFont="1" applyFill="1" applyAlignment="1">
      <alignment horizontal="center" vertical="center"/>
    </xf>
    <xf numFmtId="188" fontId="21" fillId="0" borderId="0" xfId="0" applyNumberFormat="1" applyFont="1" applyFill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187" fontId="20" fillId="0" borderId="11" xfId="0" applyNumberFormat="1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188" fontId="20" fillId="0" borderId="11" xfId="0" applyNumberFormat="1" applyFont="1" applyFill="1" applyBorder="1" applyAlignment="1">
      <alignment horizontal="center" vertical="center"/>
    </xf>
    <xf numFmtId="188" fontId="21" fillId="0" borderId="1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Fill="1" applyBorder="1" applyAlignment="1">
      <alignment horizontal="center" vertical="center" wrapText="1"/>
    </xf>
    <xf numFmtId="186" fontId="1" fillId="2" borderId="1" xfId="0" applyNumberFormat="1" applyFont="1" applyFill="1" applyBorder="1" applyAlignment="1">
      <alignment horizontal="center" vertical="center" wrapText="1"/>
    </xf>
    <xf numFmtId="185" fontId="1" fillId="2" borderId="1" xfId="0" applyNumberFormat="1" applyFont="1" applyFill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89" fontId="21" fillId="0" borderId="5" xfId="20" applyNumberFormat="1" applyFont="1" applyFill="1" applyBorder="1" applyAlignment="1">
      <alignment horizontal="center" vertical="center"/>
    </xf>
    <xf numFmtId="190" fontId="21" fillId="0" borderId="5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center" vertical="top" wrapText="1"/>
    </xf>
    <xf numFmtId="189" fontId="21" fillId="0" borderId="8" xfId="20" applyNumberFormat="1" applyFont="1" applyFill="1" applyBorder="1" applyAlignment="1">
      <alignment horizontal="center" vertical="center"/>
    </xf>
    <xf numFmtId="188" fontId="21" fillId="0" borderId="8" xfId="0" applyNumberFormat="1" applyFont="1" applyFill="1" applyBorder="1" applyAlignment="1">
      <alignment horizontal="center" vertical="center"/>
    </xf>
    <xf numFmtId="187" fontId="21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1" fillId="0" borderId="8" xfId="0" applyFont="1" applyFill="1" applyBorder="1" applyAlignment="1">
      <alignment horizontal="center" vertical="center"/>
    </xf>
    <xf numFmtId="189" fontId="21" fillId="0" borderId="12" xfId="20" applyNumberFormat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8" fillId="0" borderId="2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185" fontId="9" fillId="3" borderId="1" xfId="0" applyNumberFormat="1" applyFont="1" applyFill="1" applyBorder="1" applyAlignment="1">
      <alignment horizontal="center" vertical="center"/>
    </xf>
    <xf numFmtId="185" fontId="0" fillId="0" borderId="0" xfId="0" applyNumberFormat="1"/>
    <xf numFmtId="189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0" fontId="9" fillId="0" borderId="0" xfId="0" applyFont="1"/>
    <xf numFmtId="0" fontId="18" fillId="0" borderId="0" xfId="0" applyFont="1" applyAlignment="1">
      <alignment horizontal="left" vertical="center"/>
    </xf>
    <xf numFmtId="187" fontId="0" fillId="0" borderId="0" xfId="0" applyNumberFormat="1"/>
    <xf numFmtId="0" fontId="1" fillId="0" borderId="0" xfId="0" applyFont="1" applyAlignment="1">
      <alignment horizontal="center" vertical="center" wrapText="1"/>
    </xf>
    <xf numFmtId="0" fontId="25" fillId="3" borderId="13" xfId="0" applyFont="1" applyFill="1" applyBorder="1" applyAlignment="1">
      <alignment horizontal="center" vertical="center"/>
    </xf>
    <xf numFmtId="0" fontId="25" fillId="3" borderId="15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186" fontId="9" fillId="3" borderId="1" xfId="0" applyNumberFormat="1" applyFont="1" applyFill="1" applyBorder="1" applyAlignment="1">
      <alignment horizontal="center"/>
    </xf>
    <xf numFmtId="181" fontId="9" fillId="3" borderId="1" xfId="0" applyNumberFormat="1" applyFont="1" applyFill="1" applyBorder="1" applyAlignment="1">
      <alignment horizontal="center"/>
    </xf>
    <xf numFmtId="187" fontId="27" fillId="3" borderId="1" xfId="0" applyNumberFormat="1" applyFont="1" applyFill="1" applyBorder="1" applyAlignment="1">
      <alignment horizontal="center" vertical="center"/>
    </xf>
    <xf numFmtId="176" fontId="9" fillId="3" borderId="1" xfId="0" applyNumberFormat="1" applyFont="1" applyFill="1" applyBorder="1" applyAlignment="1">
      <alignment horizontal="center"/>
    </xf>
    <xf numFmtId="179" fontId="9" fillId="3" borderId="1" xfId="0" applyNumberFormat="1" applyFont="1" applyFill="1" applyBorder="1" applyAlignment="1">
      <alignment horizontal="center"/>
    </xf>
    <xf numFmtId="188" fontId="9" fillId="3" borderId="1" xfId="0" applyNumberFormat="1" applyFont="1" applyFill="1" applyBorder="1" applyAlignment="1">
      <alignment horizontal="center"/>
    </xf>
    <xf numFmtId="187" fontId="9" fillId="3" borderId="1" xfId="0" applyNumberFormat="1" applyFont="1" applyFill="1" applyBorder="1" applyAlignment="1">
      <alignment horizontal="center"/>
    </xf>
    <xf numFmtId="188" fontId="27" fillId="3" borderId="1" xfId="0" applyNumberFormat="1" applyFont="1" applyFill="1" applyBorder="1" applyAlignment="1">
      <alignment horizontal="center" vertical="center"/>
    </xf>
    <xf numFmtId="186" fontId="27" fillId="3" borderId="1" xfId="0" applyNumberFormat="1" applyFont="1" applyFill="1" applyBorder="1" applyAlignment="1">
      <alignment horizontal="center" vertical="center"/>
    </xf>
    <xf numFmtId="187" fontId="27" fillId="3" borderId="0" xfId="0" applyNumberFormat="1" applyFont="1" applyFill="1" applyBorder="1" applyAlignment="1">
      <alignment horizontal="center"/>
    </xf>
    <xf numFmtId="188" fontId="27" fillId="4" borderId="1" xfId="0" applyNumberFormat="1" applyFont="1" applyFill="1" applyBorder="1" applyAlignment="1">
      <alignment horizontal="center" vertical="center"/>
    </xf>
    <xf numFmtId="187" fontId="27" fillId="3" borderId="1" xfId="0" applyNumberFormat="1" applyFont="1" applyFill="1" applyBorder="1" applyAlignment="1">
      <alignment horizontal="center"/>
    </xf>
    <xf numFmtId="188" fontId="27" fillId="3" borderId="1" xfId="0" applyNumberFormat="1" applyFont="1" applyFill="1" applyBorder="1" applyAlignment="1">
      <alignment horizontal="center"/>
    </xf>
    <xf numFmtId="0" fontId="28" fillId="0" borderId="0" xfId="492" applyFont="1" applyAlignment="1">
      <alignment horizontal="center" vertical="center"/>
    </xf>
    <xf numFmtId="57" fontId="9" fillId="0" borderId="11" xfId="492" applyNumberFormat="1" applyFont="1" applyBorder="1" applyAlignment="1">
      <alignment horizontal="center" vertical="center"/>
    </xf>
    <xf numFmtId="0" fontId="9" fillId="0" borderId="1" xfId="492" applyFont="1" applyBorder="1" applyAlignment="1">
      <alignment horizontal="center" vertical="center" wrapText="1"/>
    </xf>
    <xf numFmtId="0" fontId="9" fillId="0" borderId="1" xfId="492" applyFont="1" applyBorder="1" applyAlignment="1">
      <alignment horizontal="center" vertical="center"/>
    </xf>
    <xf numFmtId="191" fontId="9" fillId="0" borderId="1" xfId="0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 wrapText="1"/>
    </xf>
    <xf numFmtId="188" fontId="9" fillId="0" borderId="1" xfId="0" applyNumberFormat="1" applyFont="1" applyBorder="1" applyAlignment="1">
      <alignment horizontal="center" vertical="center" wrapText="1"/>
    </xf>
    <xf numFmtId="180" fontId="9" fillId="0" borderId="2" xfId="0" applyNumberFormat="1" applyFont="1" applyBorder="1" applyAlignment="1">
      <alignment horizontal="center" vertical="center" wrapText="1"/>
    </xf>
    <xf numFmtId="0" fontId="9" fillId="0" borderId="6" xfId="492" applyFont="1" applyBorder="1" applyAlignment="1">
      <alignment horizontal="center" vertical="center" wrapText="1"/>
    </xf>
    <xf numFmtId="180" fontId="9" fillId="0" borderId="1" xfId="0" applyNumberFormat="1" applyFont="1" applyBorder="1" applyAlignment="1">
      <alignment horizontal="center" vertical="center" wrapText="1"/>
    </xf>
    <xf numFmtId="180" fontId="9" fillId="0" borderId="9" xfId="0" applyNumberFormat="1" applyFont="1" applyBorder="1" applyAlignment="1">
      <alignment horizontal="center" vertical="center" wrapText="1"/>
    </xf>
    <xf numFmtId="187" fontId="9" fillId="0" borderId="9" xfId="0" applyNumberFormat="1" applyFont="1" applyBorder="1" applyAlignment="1">
      <alignment horizontal="center" vertical="center" wrapText="1"/>
    </xf>
    <xf numFmtId="183" fontId="9" fillId="0" borderId="1" xfId="508" applyNumberFormat="1" applyFont="1" applyBorder="1" applyAlignment="1">
      <alignment horizontal="center" vertical="center" wrapText="1"/>
    </xf>
    <xf numFmtId="0" fontId="9" fillId="0" borderId="9" xfId="492" applyFont="1" applyBorder="1" applyAlignment="1">
      <alignment horizontal="center" vertical="center" wrapText="1"/>
    </xf>
    <xf numFmtId="180" fontId="9" fillId="0" borderId="1" xfId="492" applyNumberFormat="1" applyFont="1" applyBorder="1" applyAlignment="1">
      <alignment horizontal="center" vertical="center" wrapText="1"/>
    </xf>
    <xf numFmtId="188" fontId="9" fillId="0" borderId="1" xfId="492" applyNumberFormat="1" applyFont="1" applyBorder="1" applyAlignment="1">
      <alignment horizontal="center" vertical="center" wrapText="1"/>
    </xf>
    <xf numFmtId="0" fontId="9" fillId="0" borderId="1" xfId="492" applyFont="1" applyFill="1" applyBorder="1" applyAlignment="1">
      <alignment horizontal="center" vertical="center" wrapText="1"/>
    </xf>
    <xf numFmtId="187" fontId="9" fillId="0" borderId="1" xfId="492" applyNumberFormat="1" applyFont="1" applyBorder="1" applyAlignment="1">
      <alignment horizontal="center" vertical="center" wrapText="1"/>
    </xf>
    <xf numFmtId="0" fontId="9" fillId="0" borderId="2" xfId="492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2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2" applyFont="1" applyFill="1" applyBorder="1" applyAlignment="1">
      <alignment horizontal="center" vertical="center"/>
    </xf>
    <xf numFmtId="187" fontId="9" fillId="0" borderId="13" xfId="0" applyNumberFormat="1" applyFont="1" applyBorder="1" applyAlignment="1">
      <alignment horizontal="center" vertical="center" wrapText="1"/>
    </xf>
    <xf numFmtId="187" fontId="9" fillId="0" borderId="14" xfId="0" applyNumberFormat="1" applyFont="1" applyBorder="1" applyAlignment="1">
      <alignment horizontal="center" vertical="center" wrapText="1"/>
    </xf>
    <xf numFmtId="188" fontId="9" fillId="0" borderId="13" xfId="0" applyNumberFormat="1" applyFont="1" applyBorder="1" applyAlignment="1">
      <alignment horizontal="center" vertical="center" wrapText="1"/>
    </xf>
    <xf numFmtId="188" fontId="9" fillId="0" borderId="14" xfId="0" applyNumberFormat="1" applyFont="1" applyBorder="1" applyAlignment="1">
      <alignment horizontal="center" vertical="center" wrapText="1"/>
    </xf>
    <xf numFmtId="187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80" fontId="9" fillId="0" borderId="13" xfId="0" applyNumberFormat="1" applyFont="1" applyBorder="1" applyAlignment="1">
      <alignment horizontal="center" vertical="center" wrapText="1"/>
    </xf>
    <xf numFmtId="180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80" fontId="0" fillId="0" borderId="0" xfId="0" applyNumberFormat="1" applyFont="1"/>
    <xf numFmtId="190" fontId="9" fillId="0" borderId="1" xfId="492" applyNumberFormat="1" applyFont="1" applyBorder="1" applyAlignment="1">
      <alignment horizontal="center" vertical="center" wrapText="1"/>
    </xf>
    <xf numFmtId="188" fontId="9" fillId="0" borderId="2" xfId="492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8" fontId="9" fillId="0" borderId="9" xfId="492" applyNumberFormat="1" applyFont="1" applyBorder="1" applyAlignment="1">
      <alignment horizontal="center" vertical="center" wrapText="1"/>
    </xf>
    <xf numFmtId="0" fontId="9" fillId="0" borderId="2" xfId="492" applyFont="1" applyBorder="1" applyAlignment="1">
      <alignment horizontal="center" vertical="center"/>
    </xf>
    <xf numFmtId="0" fontId="9" fillId="0" borderId="2" xfId="492" applyFont="1" applyFill="1" applyBorder="1" applyAlignment="1">
      <alignment horizontal="center" vertical="center" wrapText="1"/>
    </xf>
    <xf numFmtId="179" fontId="9" fillId="0" borderId="1" xfId="492" applyNumberFormat="1" applyFont="1" applyFill="1" applyBorder="1" applyAlignment="1">
      <alignment horizontal="center" vertical="center" wrapText="1"/>
    </xf>
    <xf numFmtId="182" fontId="9" fillId="0" borderId="0" xfId="0" applyNumberFormat="1" applyFont="1"/>
    <xf numFmtId="0" fontId="9" fillId="0" borderId="0" xfId="492" applyFont="1" applyFill="1" applyBorder="1" applyAlignment="1">
      <alignment horizontal="center" vertical="center"/>
    </xf>
    <xf numFmtId="0" fontId="9" fillId="0" borderId="13" xfId="492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91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57" fontId="2" fillId="0" borderId="11" xfId="0" applyNumberFormat="1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80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83" fontId="1" fillId="0" borderId="1" xfId="343" applyNumberFormat="1" applyFont="1" applyFill="1" applyBorder="1" applyAlignment="1">
      <alignment horizontal="center" vertical="center" wrapText="1"/>
    </xf>
    <xf numFmtId="192" fontId="1" fillId="0" borderId="1" xfId="343" applyNumberFormat="1" applyFont="1" applyFill="1" applyBorder="1" applyAlignment="1">
      <alignment horizontal="center" vertical="center" wrapText="1"/>
    </xf>
    <xf numFmtId="0" fontId="1" fillId="0" borderId="1" xfId="343" applyFont="1" applyFill="1" applyBorder="1" applyAlignment="1">
      <alignment horizontal="center" vertical="center" wrapText="1"/>
    </xf>
    <xf numFmtId="193" fontId="1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183" fontId="1" fillId="0" borderId="1" xfId="481" applyNumberFormat="1" applyFont="1" applyFill="1" applyBorder="1" applyAlignment="1">
      <alignment horizontal="center" vertical="center" wrapText="1"/>
    </xf>
    <xf numFmtId="192" fontId="1" fillId="0" borderId="1" xfId="481" applyNumberFormat="1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12" fillId="0" borderId="1" xfId="343" applyFont="1" applyFill="1" applyBorder="1" applyAlignment="1">
      <alignment horizontal="center" vertical="center" wrapText="1"/>
    </xf>
    <xf numFmtId="180" fontId="12" fillId="0" borderId="1" xfId="343" applyNumberFormat="1" applyFont="1" applyFill="1" applyBorder="1" applyAlignment="1">
      <alignment horizontal="center" vertical="center" wrapText="1"/>
    </xf>
    <xf numFmtId="187" fontId="12" fillId="0" borderId="1" xfId="343" applyNumberFormat="1" applyFont="1" applyFill="1" applyBorder="1" applyAlignment="1">
      <alignment horizontal="center" vertical="center" wrapText="1"/>
    </xf>
    <xf numFmtId="179" fontId="1" fillId="0" borderId="1" xfId="343" applyNumberFormat="1" applyFont="1" applyFill="1" applyBorder="1" applyAlignment="1">
      <alignment horizontal="center" vertical="center" wrapText="1"/>
    </xf>
    <xf numFmtId="0" fontId="12" fillId="0" borderId="1" xfId="343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94" fontId="1" fillId="0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79" fontId="2" fillId="0" borderId="0" xfId="0" applyNumberFormat="1" applyFont="1" applyFill="1" applyBorder="1" applyAlignment="1">
      <alignment horizontal="center" vertical="center"/>
    </xf>
    <xf numFmtId="190" fontId="2" fillId="0" borderId="0" xfId="0" applyNumberFormat="1" applyFont="1" applyFill="1" applyBorder="1" applyAlignment="1">
      <alignment horizontal="center" vertical="center"/>
    </xf>
    <xf numFmtId="195" fontId="2" fillId="0" borderId="0" xfId="0" applyNumberFormat="1" applyFont="1" applyFill="1" applyBorder="1" applyAlignment="1">
      <alignment horizontal="center" vertical="center"/>
    </xf>
    <xf numFmtId="183" fontId="12" fillId="0" borderId="1" xfId="343" applyNumberFormat="1" applyFont="1" applyFill="1" applyBorder="1" applyAlignment="1">
      <alignment horizontal="center" vertical="center" wrapText="1"/>
    </xf>
    <xf numFmtId="183" fontId="12" fillId="0" borderId="1" xfId="508" applyNumberFormat="1" applyFont="1" applyFill="1" applyBorder="1" applyAlignment="1">
      <alignment horizontal="center" vertical="center" wrapText="1"/>
    </xf>
    <xf numFmtId="192" fontId="2" fillId="0" borderId="0" xfId="0" applyNumberFormat="1" applyFont="1" applyAlignment="1">
      <alignment horizontal="center" vertical="center"/>
    </xf>
    <xf numFmtId="183" fontId="2" fillId="0" borderId="0" xfId="0" applyNumberFormat="1" applyFont="1" applyAlignment="1">
      <alignment horizontal="center" vertical="center"/>
    </xf>
    <xf numFmtId="179" fontId="2" fillId="0" borderId="0" xfId="485" applyNumberFormat="1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183" fontId="32" fillId="0" borderId="0" xfId="0" applyNumberFormat="1" applyFont="1" applyAlignment="1">
      <alignment horizontal="center" vertical="center"/>
    </xf>
    <xf numFmtId="0" fontId="32" fillId="0" borderId="0" xfId="485" applyFont="1" applyBorder="1" applyAlignment="1">
      <alignment horizontal="center" vertical="center"/>
    </xf>
    <xf numFmtId="197" fontId="2" fillId="0" borderId="0" xfId="485" applyNumberFormat="1" applyFont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188" fontId="33" fillId="0" borderId="1" xfId="485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8" fontId="2" fillId="0" borderId="1" xfId="0" applyNumberFormat="1" applyFont="1" applyFill="1" applyBorder="1" applyAlignment="1">
      <alignment horizontal="center" vertical="center"/>
    </xf>
    <xf numFmtId="0" fontId="33" fillId="5" borderId="1" xfId="485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187" fontId="2" fillId="5" borderId="1" xfId="0" applyNumberFormat="1" applyFont="1" applyFill="1" applyBorder="1" applyAlignment="1">
      <alignment horizontal="center" vertical="center"/>
    </xf>
    <xf numFmtId="188" fontId="2" fillId="5" borderId="1" xfId="0" applyNumberFormat="1" applyFont="1" applyFill="1" applyBorder="1" applyAlignment="1">
      <alignment horizontal="center" vertical="center"/>
    </xf>
    <xf numFmtId="0" fontId="33" fillId="0" borderId="0" xfId="485" applyFont="1" applyBorder="1" applyAlignment="1">
      <alignment horizontal="center" vertical="center"/>
    </xf>
    <xf numFmtId="188" fontId="2" fillId="0" borderId="0" xfId="0" applyNumberFormat="1" applyFont="1" applyFill="1" applyBorder="1" applyAlignment="1">
      <alignment horizontal="center" vertical="center"/>
    </xf>
    <xf numFmtId="0" fontId="34" fillId="0" borderId="0" xfId="485" applyFont="1" applyBorder="1" applyAlignment="1">
      <alignment horizontal="center" vertical="center"/>
    </xf>
    <xf numFmtId="193" fontId="2" fillId="0" borderId="0" xfId="0" applyNumberFormat="1" applyFont="1" applyFill="1" applyBorder="1" applyAlignment="1">
      <alignment horizontal="center" vertical="center"/>
    </xf>
    <xf numFmtId="187" fontId="2" fillId="0" borderId="0" xfId="0" applyNumberFormat="1" applyFont="1" applyFill="1" applyBorder="1" applyAlignment="1">
      <alignment horizontal="center" vertical="center"/>
    </xf>
    <xf numFmtId="183" fontId="1" fillId="0" borderId="1" xfId="508" applyNumberFormat="1" applyFont="1" applyFill="1" applyBorder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/>
    </xf>
    <xf numFmtId="192" fontId="30" fillId="0" borderId="0" xfId="20" applyNumberFormat="1" applyFont="1" applyFill="1" applyBorder="1" applyAlignment="1">
      <alignment horizontal="center" vertical="center" wrapText="1"/>
    </xf>
    <xf numFmtId="177" fontId="2" fillId="0" borderId="0" xfId="0" applyNumberFormat="1" applyFont="1" applyAlignment="1">
      <alignment horizontal="center" vertical="center"/>
    </xf>
    <xf numFmtId="196" fontId="30" fillId="0" borderId="0" xfId="2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188" fontId="2" fillId="0" borderId="0" xfId="0" applyNumberFormat="1" applyFont="1"/>
    <xf numFmtId="0" fontId="32" fillId="0" borderId="0" xfId="0" applyFont="1" applyFill="1" applyAlignment="1">
      <alignment horizontal="center" vertical="center"/>
    </xf>
  </cellXfs>
  <cellStyles count="620">
    <cellStyle name="常规" xfId="0" builtinId="0"/>
    <cellStyle name="货币[0]" xfId="1" builtinId="7"/>
    <cellStyle name="20% - 强调文字颜色 1 2" xfId="2"/>
    <cellStyle name="链接单元格 3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常规 5 2" xfId="35"/>
    <cellStyle name="60% - 强调文字颜色 2 2 2" xfId="36"/>
    <cellStyle name="计算 2 10" xfId="37"/>
    <cellStyle name="标题" xfId="38" builtinId="15"/>
    <cellStyle name="20% - 强调文字颜色 4 4 2" xfId="39"/>
    <cellStyle name="强调文字颜色 1 2 3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检查单元格" xfId="52" builtinId="23"/>
    <cellStyle name="计算 3 2" xfId="53"/>
    <cellStyle name="40% - 强调文字颜色 4 2" xfId="54"/>
    <cellStyle name="20% - 强调文字颜色 6" xfId="55" builtinId="50"/>
    <cellStyle name="强调文字颜色 2" xfId="56" builtinId="33"/>
    <cellStyle name="链接单元格" xfId="57" builtinId="24"/>
    <cellStyle name="汇总" xfId="58" builtinId="25"/>
    <cellStyle name="强调文字颜色 3 2 4" xfId="59"/>
    <cellStyle name="适中 2 5" xfId="60"/>
    <cellStyle name="40% - 强调文字颜色 6 5" xfId="61"/>
    <cellStyle name="60% - 强调文字颜色 4 2 3" xfId="62"/>
    <cellStyle name="好" xfId="63" builtinId="26"/>
    <cellStyle name="20% - 强调文字颜色 3 3" xfId="64"/>
    <cellStyle name="适中" xfId="65" builtinId="28"/>
    <cellStyle name="20% - 强调文字颜色 5" xfId="66" builtinId="46"/>
    <cellStyle name="60% - 强调文字颜色 2 5 2" xfId="67"/>
    <cellStyle name="检查单元格 3 2" xfId="68"/>
    <cellStyle name="强调文字颜色 1" xfId="69" builtinId="29"/>
    <cellStyle name="标题 4 5 2" xfId="70"/>
    <cellStyle name="20% - 强调文字颜色 1" xfId="71" builtinId="30"/>
    <cellStyle name="链接单元格 3" xfId="72"/>
    <cellStyle name="40% - 强调文字颜色 1" xfId="73" builtinId="31"/>
    <cellStyle name="40% - 强调文字颜色 4 3 2" xfId="74"/>
    <cellStyle name="标题 5 4" xfId="75"/>
    <cellStyle name="20% - 强调文字颜色 2" xfId="76" builtinId="34"/>
    <cellStyle name="链接单元格 4" xfId="77"/>
    <cellStyle name="40% - 强调文字颜色 2" xfId="78" builtinId="35"/>
    <cellStyle name="标题 5 5" xfId="79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60% - 强调文字颜色 5" xfId="91" builtinId="48"/>
    <cellStyle name="标题 1 4 2" xfId="92"/>
    <cellStyle name="强调文字颜色 6" xfId="93" builtinId="49"/>
    <cellStyle name="计算 5" xfId="94"/>
    <cellStyle name="适中 2" xfId="95"/>
    <cellStyle name="40% - 强调文字颜色 6" xfId="96" builtinId="51"/>
    <cellStyle name="20% - 强调文字颜色 3 3 2" xfId="97"/>
    <cellStyle name="60% - 强调文字颜色 6" xfId="98" builtinId="52"/>
    <cellStyle name="20% - 强调文字颜色 2 2 4" xfId="99"/>
    <cellStyle name="好 2" xfId="100"/>
    <cellStyle name="20% - 强调文字颜色 1 5" xfId="101"/>
    <cellStyle name="40% - 强调文字颜色 2 2" xfId="102"/>
    <cellStyle name="20% - 强调文字颜色 1 2 3" xfId="103"/>
    <cellStyle name="20% - 强调文字颜色 1 4" xfId="104"/>
    <cellStyle name="20% - 强调文字颜色 1 3" xfId="105"/>
    <cellStyle name="20% - 强调文字颜色 1 2 2" xfId="106"/>
    <cellStyle name="40% - 强调文字颜色 2 3" xfId="107"/>
    <cellStyle name="20% - 强调文字颜色 1 2 4" xfId="108"/>
    <cellStyle name="40% - 强调文字颜色 2 4" xfId="109"/>
    <cellStyle name="20% - 强调文字颜色 1 2 5" xfId="110"/>
    <cellStyle name="40% - 强调文字颜色 2 5" xfId="111"/>
    <cellStyle name="20% - 强调文字颜色 1 2 6" xfId="112"/>
    <cellStyle name="强调文字颜色 6 5 2" xfId="113"/>
    <cellStyle name="20% - 强调文字颜色 1 3 2" xfId="114"/>
    <cellStyle name="20% - 强调文字颜色 2 2 3" xfId="115"/>
    <cellStyle name="20% - 强调文字颜色 1 4 2" xfId="116"/>
    <cellStyle name="好 2 2" xfId="117"/>
    <cellStyle name="20% - 强调文字颜色 1 5 2" xfId="118"/>
    <cellStyle name="20% - 强调文字颜色 2 2" xfId="119"/>
    <cellStyle name="链接单元格 4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20% - 强调文字颜色 3 2" xfId="128"/>
    <cellStyle name="链接单元格 5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60% - 强调文字颜色 1 2" xfId="135"/>
    <cellStyle name="20% - 强调文字颜色 3 4" xfId="136"/>
    <cellStyle name="好_汇总二_江边厂月报2013-5" xfId="137"/>
    <cellStyle name="60% - 强调文字颜色 1 2 2" xfId="138"/>
    <cellStyle name="20% - 强调文字颜色 3 4 2" xfId="139"/>
    <cellStyle name="60% - 强调文字颜色 1 3" xfId="140"/>
    <cellStyle name="20% - 强调文字颜色 3 5" xfId="141"/>
    <cellStyle name="60% - 强调文字颜色 1 3 2" xfId="142"/>
    <cellStyle name="常规 2 18" xfId="143"/>
    <cellStyle name="20% - 强调文字颜色 3 5 2" xfId="144"/>
    <cellStyle name="输出 4 2" xfId="145"/>
    <cellStyle name="常规 3" xfId="146"/>
    <cellStyle name="20% - 强调文字颜色 4 2" xfId="147"/>
    <cellStyle name="20% - 强调文字颜色 4 2 2" xfId="148"/>
    <cellStyle name="20% - 强调文字颜色 4 2 3" xfId="149"/>
    <cellStyle name="20% - 强调文字颜色 4 2 4" xfId="150"/>
    <cellStyle name="20% - 强调文字颜色 4 2 5" xfId="151"/>
    <cellStyle name="强调文字颜色 5 2" xfId="152"/>
    <cellStyle name="20% - 强调文字颜色 4 2 6" xfId="153"/>
    <cellStyle name="强调文字颜色 5 3" xfId="154"/>
    <cellStyle name="常规 4" xfId="155"/>
    <cellStyle name="20% - 强调文字颜色 4 3" xfId="156"/>
    <cellStyle name="20% - 强调文字颜色 4 3 2" xfId="157"/>
    <cellStyle name="60% - 强调文字颜色 2 2" xfId="158"/>
    <cellStyle name="常规 5" xfId="159"/>
    <cellStyle name="20% - 强调文字颜色 4 4" xfId="160"/>
    <cellStyle name="注释 2" xfId="161"/>
    <cellStyle name="60% - 强调文字颜色 2 3 2" xfId="162"/>
    <cellStyle name="20% - 强调文字颜色 4 5 2" xfId="163"/>
    <cellStyle name="20% - 强调文字颜色 5 2" xfId="164"/>
    <cellStyle name="20% - 强调文字颜色 5 2 2" xfId="165"/>
    <cellStyle name="20% - 强调文字颜色 5 2 3" xfId="166"/>
    <cellStyle name="常规 2 2 22" xfId="167"/>
    <cellStyle name="20% - 强调文字颜色 5 2 4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 5" xfId="173"/>
    <cellStyle name="20% - 强调文字颜色 5 3 2" xfId="174"/>
    <cellStyle name="百分比 3" xfId="175"/>
    <cellStyle name="差_汇总二" xfId="176"/>
    <cellStyle name="60% - 强调文字颜色 3 2" xfId="177"/>
    <cellStyle name="20% - 强调文字颜色 5 4" xfId="178"/>
    <cellStyle name="60% - 强调文字颜色 3 2 2" xfId="179"/>
    <cellStyle name="标题 1 2 6" xfId="180"/>
    <cellStyle name="20% - 强调文字颜色 5 4 2" xfId="181"/>
    <cellStyle name="强调文字颜色 2 2 3" xfId="182"/>
    <cellStyle name="60% - 强调文字颜色 3 3" xfId="183"/>
    <cellStyle name="20% - 强调文字颜色 5 5" xfId="184"/>
    <cellStyle name="60% - 强调文字颜色 3 3 2" xfId="185"/>
    <cellStyle name="20% - 强调文字颜色 5 5 2" xfId="186"/>
    <cellStyle name="20% - 强调文字颜色 6 2" xfId="187"/>
    <cellStyle name="60% - 强调文字颜色 6 2 4" xfId="188"/>
    <cellStyle name="40% - 强调文字颜色 4 4" xfId="189"/>
    <cellStyle name="20% - 强调文字颜色 6 2 2" xfId="190"/>
    <cellStyle name="40% - 强调文字颜色 4 5" xfId="191"/>
    <cellStyle name="20% - 强调文字颜色 6 2 3" xfId="192"/>
    <cellStyle name="20% - 强调文字颜色 6 2 4" xfId="193"/>
    <cellStyle name="20% - 强调文字颜色 6 2 5" xfId="194"/>
    <cellStyle name="20% - 强调文字颜色 6 2 6" xfId="195"/>
    <cellStyle name="20% - 强调文字颜色 6 3" xfId="196"/>
    <cellStyle name="60% - 强调文字颜色 6 2 5" xfId="197"/>
    <cellStyle name="40% - 强调文字颜色 5 4" xfId="198"/>
    <cellStyle name="好 2 5" xfId="199"/>
    <cellStyle name="20% - 强调文字颜色 6 3 2" xfId="200"/>
    <cellStyle name="60% - 强调文字颜色 4 2" xfId="201"/>
    <cellStyle name="20% - 强调文字颜色 6 4" xfId="202"/>
    <cellStyle name="60% - 强调文字颜色 6 2 6" xfId="203"/>
    <cellStyle name="40% - 强调文字颜色 6 4" xfId="204"/>
    <cellStyle name="60% - 强调文字颜色 4 2 2" xfId="205"/>
    <cellStyle name="标题 2 2 6" xfId="206"/>
    <cellStyle name="适中 2 4" xfId="207"/>
    <cellStyle name="20% - 强调文字颜色 6 4 2" xfId="208"/>
    <cellStyle name="强调文字颜色 3 2 3" xfId="209"/>
    <cellStyle name="60% - 强调文字颜色 4 3" xfId="210"/>
    <cellStyle name="20% - 强调文字颜色 6 5" xfId="211"/>
    <cellStyle name="40% - 强调文字颜色 5 2 2" xfId="212"/>
    <cellStyle name="60% - 强调文字颜色 4 3 2" xfId="213"/>
    <cellStyle name="常规 15" xfId="214"/>
    <cellStyle name="常规 20" xfId="215"/>
    <cellStyle name="20% - 强调文字颜色 6 5 2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40% - 强调文字颜色 1 2 6" xfId="222"/>
    <cellStyle name="差_处理量 2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好_汇总二" xfId="231"/>
    <cellStyle name="40% - 强调文字颜色 2 2 3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差 2 3" xfId="237"/>
    <cellStyle name="40% - 强调文字颜色 2 4 2" xfId="238"/>
    <cellStyle name="40% - 强调文字颜色 2 5 2" xfId="239"/>
    <cellStyle name="计算 2 2" xfId="240"/>
    <cellStyle name="40% - 强调文字颜色 3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计算 2 3" xfId="247"/>
    <cellStyle name="40% - 强调文字颜色 3 3" xfId="248"/>
    <cellStyle name="40% - 强调文字颜色 3 3 2" xfId="249"/>
    <cellStyle name="计算 2 4" xfId="250"/>
    <cellStyle name="40% - 强调文字颜色 3 4" xfId="251"/>
    <cellStyle name="40% - 强调文字颜色 3 4 2" xfId="252"/>
    <cellStyle name="警告文本 5" xfId="253"/>
    <cellStyle name="计算 2 5" xfId="254"/>
    <cellStyle name="40% - 强调文字颜色 3 5" xfId="255"/>
    <cellStyle name="40% - 强调文字颜色 3 5 2" xfId="256"/>
    <cellStyle name="链接单元格 2 4" xfId="257"/>
    <cellStyle name="汇总 2 3" xfId="258"/>
    <cellStyle name="检查单元格 2" xfId="259"/>
    <cellStyle name="40% - 强调文字颜色 4 2 2" xfId="260"/>
    <cellStyle name="标题 4 4" xfId="261"/>
    <cellStyle name="汇总 2 4" xfId="262"/>
    <cellStyle name="检查单元格 3" xfId="263"/>
    <cellStyle name="40% - 强调文字颜色 4 2 3" xfId="264"/>
    <cellStyle name="标题 4 5" xfId="265"/>
    <cellStyle name="汇总 2 5" xfId="266"/>
    <cellStyle name="检查单元格 4" xfId="267"/>
    <cellStyle name="40% - 强调文字颜色 4 2 4" xfId="268"/>
    <cellStyle name="汇总 2 6" xfId="269"/>
    <cellStyle name="检查单元格 5" xfId="270"/>
    <cellStyle name="40% - 强调文字颜色 4 2 5" xfId="271"/>
    <cellStyle name="40% - 强调文字颜色 4 2 6" xfId="272"/>
    <cellStyle name="40% - 强调文字颜色 4 3" xfId="273"/>
    <cellStyle name="40% - 强调文字颜色 4 4 2" xfId="274"/>
    <cellStyle name="常规 2 13" xfId="275"/>
    <cellStyle name="40% - 强调文字颜色 4 5 2" xfId="276"/>
    <cellStyle name="计算 4 2" xfId="277"/>
    <cellStyle name="40% - 强调文字颜色 5 2" xfId="278"/>
    <cellStyle name="好 2 3" xfId="279"/>
    <cellStyle name="60% - 强调文字颜色 4 4" xfId="280"/>
    <cellStyle name="40% - 强调文字颜色 5 2 3" xfId="281"/>
    <cellStyle name="60% - 强调文字颜色 4 5" xfId="282"/>
    <cellStyle name="40% - 强调文字颜色 5 2 4" xfId="283"/>
    <cellStyle name="警告文本 5 2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60% - 强调文字颜色 5 3" xfId="290"/>
    <cellStyle name="40% - 强调文字颜色 5 3 2" xfId="291"/>
    <cellStyle name="60% - 强调文字颜色 6 3" xfId="292"/>
    <cellStyle name="40% - 强调文字颜色 5 4 2" xfId="293"/>
    <cellStyle name="40% - 强调文字颜色 5 5" xfId="294"/>
    <cellStyle name="好 2 6" xfId="295"/>
    <cellStyle name="40% - 强调文字颜色 5 5 2" xfId="296"/>
    <cellStyle name="计算 5 2" xfId="297"/>
    <cellStyle name="适中 2 2" xfId="298"/>
    <cellStyle name="40% - 强调文字颜色 6 2" xfId="299"/>
    <cellStyle name="标题 2 2 4" xfId="300"/>
    <cellStyle name="40% - 强调文字颜色 6 2 2" xfId="301"/>
    <cellStyle name="40% - 强调文字颜色 6 2 3" xfId="302"/>
    <cellStyle name="40% - 强调文字颜色 6 2 4" xfId="303"/>
    <cellStyle name="40% - 强调文字颜色 6 2 5" xfId="304"/>
    <cellStyle name="检查单元格 5 2" xfId="305"/>
    <cellStyle name="百分比 2 17 2" xfId="306"/>
    <cellStyle name="40% - 强调文字颜色 6 2 6" xfId="307"/>
    <cellStyle name="40% - 强调文字颜色 6 3" xfId="308"/>
    <cellStyle name="标题 2 2 5" xfId="309"/>
    <cellStyle name="解释性文本 3" xfId="310"/>
    <cellStyle name="40% - 强调文字颜色 6 3 2" xfId="311"/>
    <cellStyle name="汇总 2" xfId="312"/>
    <cellStyle name="40% - 强调文字颜色 6 5 2" xfId="313"/>
    <cellStyle name="60% - 强调文字颜色 1 2 3" xfId="314"/>
    <cellStyle name="60% - 强调文字颜色 1 2 4" xfId="315"/>
    <cellStyle name="60% - 强调文字颜色 1 2 5" xfId="316"/>
    <cellStyle name="常规 2" xfId="317"/>
    <cellStyle name="60% - 强调文字颜色 1 2 6" xfId="318"/>
    <cellStyle name="60% - 强调文字颜色 1 4" xfId="319"/>
    <cellStyle name="60% - 强调文字颜色 1 4 2" xfId="320"/>
    <cellStyle name="标题 4 2 3" xfId="321"/>
    <cellStyle name="20% - 强调文字颜色 2 2 3 3" xfId="322"/>
    <cellStyle name="警告文本 2 2" xfId="323"/>
    <cellStyle name="60% - 强调文字颜色 1 5" xfId="324"/>
    <cellStyle name="60% - 强调文字颜色 1 5 2" xfId="325"/>
    <cellStyle name="警告文本 2 6" xfId="326"/>
    <cellStyle name="强调文字颜色 4 4 2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60% - 强调文字颜色 2 4" xfId="338"/>
    <cellStyle name="常规 7" xfId="339"/>
    <cellStyle name="60% - 强调文字颜色 2 4 2" xfId="340"/>
    <cellStyle name="警告文本 3 2" xfId="341"/>
    <cellStyle name="60% - 强调文字颜色 2 5" xfId="342"/>
    <cellStyle name="常规 8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百分比 2 11" xfId="367"/>
    <cellStyle name="强调文字颜色 4 2 5" xfId="368"/>
    <cellStyle name="千位分隔 2" xfId="369"/>
    <cellStyle name="60% - 强调文字颜色 5 2 4" xfId="370"/>
    <cellStyle name="60% - 强调文字颜色 5 2 5" xfId="371"/>
    <cellStyle name="标题 4 2" xfId="372"/>
    <cellStyle name="汇总 2 2" xfId="373"/>
    <cellStyle name="60% - 强调文字颜色 5 2 6" xfId="374"/>
    <cellStyle name="标题 4 3" xfId="375"/>
    <cellStyle name="60% - 强调文字颜色 5 3 2" xfId="376"/>
    <cellStyle name="60% - 强调文字颜色 5 4" xfId="377"/>
    <cellStyle name="60% - 强调文字颜色 5 5" xfId="378"/>
    <cellStyle name="60% - 强调文字颜色 5 5 2" xfId="379"/>
    <cellStyle name="输入 2 3" xfId="380"/>
    <cellStyle name="好_汇总二 3" xfId="381"/>
    <cellStyle name="60% - 强调文字颜色 6 2" xfId="382"/>
    <cellStyle name="60% - 强调文字颜色 6 2 2" xfId="383"/>
    <cellStyle name="标题 4 2 6" xfId="384"/>
    <cellStyle name="60% - 强调文字颜色 6 2 3" xfId="385"/>
    <cellStyle name="60% - 强调文字颜色 6 4" xfId="386"/>
    <cellStyle name="检查单元格 2 6" xfId="387"/>
    <cellStyle name="60% - 强调文字颜色 6 4 2" xfId="388"/>
    <cellStyle name="60% - 强调文字颜色 6 5" xfId="389"/>
    <cellStyle name="差 4" xfId="390"/>
    <cellStyle name="百分比 2" xfId="391"/>
    <cellStyle name="常规 2 17" xfId="392"/>
    <cellStyle name="百分比 2 11 2" xfId="393"/>
    <cellStyle name="常规 2 19" xfId="394"/>
    <cellStyle name="百分比 2 11 4" xfId="395"/>
    <cellStyle name="标题 1 2" xfId="396"/>
    <cellStyle name="标题 1 2 2" xfId="397"/>
    <cellStyle name="标题 1 2 3" xfId="398"/>
    <cellStyle name="标题 1 2 4" xfId="399"/>
    <cellStyle name="强调文字颜色 2 2 2" xfId="400"/>
    <cellStyle name="标题 1 2 5" xfId="401"/>
    <cellStyle name="标题 1 3" xfId="402"/>
    <cellStyle name="标题 1 3 2" xfId="403"/>
    <cellStyle name="汇总 3" xfId="404"/>
    <cellStyle name="标题 1 4" xfId="405"/>
    <cellStyle name="标题 1 5" xfId="406"/>
    <cellStyle name="标题 2 2" xfId="407"/>
    <cellStyle name="标题 2 2 2" xfId="408"/>
    <cellStyle name="标题 2 2 3" xfId="409"/>
    <cellStyle name="好 3 2" xfId="410"/>
    <cellStyle name="标题 2 3" xfId="411"/>
    <cellStyle name="标题 2 3 2" xfId="412"/>
    <cellStyle name="常规 11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标题 5" xfId="440"/>
    <cellStyle name="解释性文本 2 3" xfId="441"/>
    <cellStyle name="强调文字颜色 1 4" xfId="442"/>
    <cellStyle name="标题 5 2" xfId="443"/>
    <cellStyle name="汇总 3 2" xfId="444"/>
    <cellStyle name="强调文字颜色 1 5" xfId="445"/>
    <cellStyle name="标题 5 3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强调文字颜色 3 4" xfId="452"/>
    <cellStyle name="常规 2 11" xfId="453"/>
    <cellStyle name="标题 7 2" xfId="454"/>
    <cellStyle name="输入 2 6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差_汇总二 3" xfId="473"/>
    <cellStyle name="常规 10" xfId="474"/>
    <cellStyle name="常规 12" xfId="475"/>
    <cellStyle name="好 4 2" xfId="476"/>
    <cellStyle name="计算 6 2" xfId="477"/>
    <cellStyle name="适中 3 2" xfId="478"/>
    <cellStyle name="常规 13" xfId="479"/>
    <cellStyle name="常规 14" xfId="480"/>
    <cellStyle name="常规 16" xfId="481"/>
    <cellStyle name="常规 21" xfId="482"/>
    <cellStyle name="注释 4 2" xfId="483"/>
    <cellStyle name="常规 17" xfId="484"/>
    <cellStyle name="常规 22" xfId="485"/>
    <cellStyle name="常规 18" xfId="486"/>
    <cellStyle name="常规 19" xfId="487"/>
    <cellStyle name="强调文字颜色 3 3" xfId="488"/>
    <cellStyle name="常规 2 10" xfId="489"/>
    <cellStyle name="强调文字颜色 3 5" xfId="490"/>
    <cellStyle name="常规 2 12" xfId="491"/>
    <cellStyle name="常规_Sheet1" xfId="492"/>
    <cellStyle name="汇总 5 2" xfId="493"/>
    <cellStyle name="常规 2 14" xfId="494"/>
    <cellStyle name="常规 2 15" xfId="495"/>
    <cellStyle name="常规 2 16" xfId="496"/>
    <cellStyle name="常规 2 19 3" xfId="497"/>
    <cellStyle name="强调文字颜色 5 3 2" xfId="498"/>
    <cellStyle name="常规 2 2" xfId="499"/>
    <cellStyle name="常规 2 3" xfId="500"/>
    <cellStyle name="输入 3 2" xfId="501"/>
    <cellStyle name="常规 2 4" xfId="502"/>
    <cellStyle name="常规 2 5" xfId="503"/>
    <cellStyle name="常规 2 6" xfId="504"/>
    <cellStyle name="输入 2" xfId="505"/>
    <cellStyle name="常规 2 8" xfId="506"/>
    <cellStyle name="输入 3" xfId="507"/>
    <cellStyle name="常规 2 9" xfId="508"/>
    <cellStyle name="常规 2_处理量" xfId="509"/>
    <cellStyle name="好 3" xfId="510"/>
    <cellStyle name="好 4" xfId="511"/>
    <cellStyle name="好 5 2" xfId="512"/>
    <cellStyle name="好_汇总二 2" xfId="513"/>
    <cellStyle name="汇总 4" xfId="514"/>
    <cellStyle name="强调文字颜色 2 5" xfId="515"/>
    <cellStyle name="汇总 4 2" xfId="516"/>
    <cellStyle name="汇总 5" xfId="517"/>
    <cellStyle name="计算 2 6" xfId="518"/>
    <cellStyle name="计算 2 7" xfId="519"/>
    <cellStyle name="计算 2_处理量" xfId="520"/>
    <cellStyle name="适中 3" xfId="521"/>
    <cellStyle name="计算 6" xfId="522"/>
    <cellStyle name="检查单元格 2 3" xfId="523"/>
    <cellStyle name="检查单元格 2 4" xfId="524"/>
    <cellStyle name="强调文字颜色 5 4 2" xfId="525"/>
    <cellStyle name="检查单元格 2 5" xfId="526"/>
    <cellStyle name="检查单元格 4 2" xfId="527"/>
    <cellStyle name="解释性文本 2" xfId="528"/>
    <cellStyle name="解释性文本 4" xfId="529"/>
    <cellStyle name="解释性文本 4 2" xfId="530"/>
    <cellStyle name="注释 5 2" xfId="531"/>
    <cellStyle name="警告文本 2" xfId="532"/>
    <cellStyle name="警告文本 2 4" xfId="533"/>
    <cellStyle name="警告文本 2 5" xfId="534"/>
    <cellStyle name="警告文本 3" xfId="535"/>
    <cellStyle name="警告文本 4" xfId="536"/>
    <cellStyle name="链接单元格 2" xfId="537"/>
    <cellStyle name="链接单元格 2 2" xfId="538"/>
    <cellStyle name="链接单元格 2 3" xfId="539"/>
    <cellStyle name="链接单元格 2 6" xfId="540"/>
    <cellStyle name="强调文字颜色 1 2" xfId="541"/>
    <cellStyle name="强调文字颜色 1 2 2" xfId="542"/>
    <cellStyle name="强调文字颜色 1 3" xfId="543"/>
    <cellStyle name="强调文字颜色 1 3 2" xfId="544"/>
    <cellStyle name="强调文字颜色 1 4 2" xfId="545"/>
    <cellStyle name="强调文字颜色 2 2" xfId="546"/>
    <cellStyle name="强调文字颜色 2 3" xfId="547"/>
    <cellStyle name="强调文字颜色 2 4" xfId="548"/>
    <cellStyle name="强调文字颜色 2 4 2" xfId="549"/>
    <cellStyle name="强调文字颜色 2 5 2" xfId="550"/>
    <cellStyle name="强调文字颜色 3 2" xfId="551"/>
    <cellStyle name="适中 2 3" xfId="552"/>
    <cellStyle name="强调文字颜色 3 2 2" xfId="553"/>
    <cellStyle name="适中 2 6" xfId="554"/>
    <cellStyle name="强调文字颜色 3 2 5" xfId="555"/>
    <cellStyle name="强调文字颜色 3 2 6" xfId="556"/>
    <cellStyle name="强调文字颜色 3 3 2" xfId="557"/>
    <cellStyle name="常规 2 11 2" xfId="558"/>
    <cellStyle name="强调文字颜色 3 4 2" xfId="559"/>
    <cellStyle name="强调文字颜色 3 5 2" xfId="560"/>
    <cellStyle name="强调文字颜色 4 2" xfId="561"/>
    <cellStyle name="强调文字颜色 4 2 2" xfId="562"/>
    <cellStyle name="强调文字颜色 4 2 3" xfId="563"/>
    <cellStyle name="强调文字颜色 4 2 4" xfId="564"/>
    <cellStyle name="强调文字颜色 4 2 6" xfId="565"/>
    <cellStyle name="强调文字颜色 4 3" xfId="566"/>
    <cellStyle name="强调文字颜色 4 3 2" xfId="567"/>
    <cellStyle name="强调文字颜色 4 4" xfId="568"/>
    <cellStyle name="强调文字颜色 4 5" xfId="569"/>
    <cellStyle name="强调文字颜色 4 5 2" xfId="570"/>
    <cellStyle name="强调文字颜色 5 2 2" xfId="571"/>
    <cellStyle name="强调文字颜色 5 2 3" xfId="572"/>
    <cellStyle name="强调文字颜色 5 2 4" xfId="573"/>
    <cellStyle name="强调文字颜色 5 2 5" xfId="574"/>
    <cellStyle name="强调文字颜色 5 2 6" xfId="575"/>
    <cellStyle name="强调文字颜色 5 4" xfId="576"/>
    <cellStyle name="强调文字颜色 5 5" xfId="577"/>
    <cellStyle name="强调文字颜色 5 5 2" xfId="578"/>
    <cellStyle name="强调文字颜色 6 2" xfId="579"/>
    <cellStyle name="强调文字颜色 6 2 2" xfId="580"/>
    <cellStyle name="强调文字颜色 6 2 3" xfId="581"/>
    <cellStyle name="强调文字颜色 6 2 4" xfId="582"/>
    <cellStyle name="强调文字颜色 6 2 5" xfId="583"/>
    <cellStyle name="强调文字颜色 6 2 6" xfId="584"/>
    <cellStyle name="强调文字颜色 6 3" xfId="585"/>
    <cellStyle name="强调文字颜色 6 3 2" xfId="586"/>
    <cellStyle name="强调文字颜色 6 4" xfId="587"/>
    <cellStyle name="强调文字颜色 6 4 2" xfId="588"/>
    <cellStyle name="强调文字颜色 6 5" xfId="589"/>
    <cellStyle name="适中 4" xfId="590"/>
    <cellStyle name="适中 4 2" xfId="591"/>
    <cellStyle name="适中 5" xfId="592"/>
    <cellStyle name="适中 5 2" xfId="593"/>
    <cellStyle name="输出 2" xfId="594"/>
    <cellStyle name="输出 2 2" xfId="595"/>
    <cellStyle name="输出 2 3" xfId="596"/>
    <cellStyle name="输出 2 4" xfId="597"/>
    <cellStyle name="输出 2 5" xfId="598"/>
    <cellStyle name="输出 2 6" xfId="599"/>
    <cellStyle name="输出 3" xfId="600"/>
    <cellStyle name="输出 3 2" xfId="601"/>
    <cellStyle name="输出 5" xfId="602"/>
    <cellStyle name="输出 5 2" xfId="603"/>
    <cellStyle name="输入 2 2" xfId="604"/>
    <cellStyle name="输入 2 4" xfId="605"/>
    <cellStyle name="输入 2 5" xfId="606"/>
    <cellStyle name="输入 4" xfId="607"/>
    <cellStyle name="输入 4 2" xfId="608"/>
    <cellStyle name="输入 5" xfId="609"/>
    <cellStyle name="输入 5 2" xfId="610"/>
    <cellStyle name="注释 2 2" xfId="611"/>
    <cellStyle name="注释 2 3" xfId="612"/>
    <cellStyle name="注释 2 4" xfId="613"/>
    <cellStyle name="注释 2 5" xfId="614"/>
    <cellStyle name="注释 2 6" xfId="615"/>
    <cellStyle name="注释 3" xfId="616"/>
    <cellStyle name="注释 4" xfId="617"/>
    <cellStyle name="常规 2 30" xfId="618"/>
    <cellStyle name="20% - 强调文字颜色 2 2 3 2" xfId="619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T44"/>
  <sheetViews>
    <sheetView zoomScale="85" zoomScaleNormal="85" workbookViewId="0">
      <selection activeCell="R37" sqref="R37"/>
    </sheetView>
  </sheetViews>
  <sheetFormatPr defaultColWidth="8.75" defaultRowHeight="14.25"/>
  <cols>
    <col min="1" max="1" width="3.75" style="3" customWidth="1"/>
    <col min="2" max="3" width="4.25" style="266" customWidth="1"/>
    <col min="4" max="4" width="7.8" style="266" customWidth="1"/>
    <col min="5" max="5" width="7.5" style="266" customWidth="1"/>
    <col min="6" max="6" width="7.16666666666667" style="266" customWidth="1"/>
    <col min="7" max="7" width="6.94166666666667" style="267" customWidth="1"/>
    <col min="8" max="8" width="5.625" style="267" customWidth="1"/>
    <col min="9" max="9" width="6" style="266" customWidth="1"/>
    <col min="10" max="10" width="6.46666666666667" style="266" customWidth="1"/>
    <col min="11" max="11" width="6.5" style="266" customWidth="1"/>
    <col min="12" max="12" width="6.375" style="266" customWidth="1"/>
    <col min="13" max="13" width="6.11666666666667" style="266" customWidth="1"/>
    <col min="14" max="14" width="6.125" style="266" customWidth="1"/>
    <col min="15" max="15" width="6.60833333333333" style="266" customWidth="1"/>
    <col min="16" max="16" width="6.46666666666667" style="266" customWidth="1"/>
    <col min="17" max="17" width="7.5" style="266" customWidth="1"/>
    <col min="18" max="18" width="10.125" style="266" customWidth="1"/>
    <col min="19" max="19" width="10" style="268" customWidth="1"/>
    <col min="20" max="20" width="15.875" style="268" customWidth="1"/>
    <col min="21" max="21" width="12.875" style="268" customWidth="1"/>
    <col min="22" max="22" width="12.25" style="268" customWidth="1"/>
    <col min="23" max="27" width="12.625" style="268"/>
    <col min="28" max="28" width="15" style="268" customWidth="1"/>
    <col min="29" max="29" width="9.375" style="3"/>
    <col min="30" max="30" width="11.5" style="3"/>
    <col min="31" max="43" width="12.625" style="3"/>
    <col min="44" max="44" width="9" style="3"/>
    <col min="45" max="45" width="9.375" style="3"/>
    <col min="46" max="46" width="12.625" style="3"/>
    <col min="47" max="16384" width="8.75" style="3"/>
  </cols>
  <sheetData>
    <row r="1" ht="17" customHeight="1" spans="1:18">
      <c r="A1" s="269" t="s">
        <v>0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</row>
    <row r="2" ht="14" customHeight="1" spans="1:18">
      <c r="A2" s="270">
        <v>45139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</row>
    <row r="3" ht="20.25" customHeight="1" spans="1:46">
      <c r="A3" s="272" t="s">
        <v>1</v>
      </c>
      <c r="B3" s="273" t="s">
        <v>2</v>
      </c>
      <c r="C3" s="273" t="s">
        <v>3</v>
      </c>
      <c r="D3" s="8" t="s">
        <v>4</v>
      </c>
      <c r="E3" s="5" t="s">
        <v>5</v>
      </c>
      <c r="F3" s="5"/>
      <c r="G3" s="5"/>
      <c r="H3" s="273" t="s">
        <v>6</v>
      </c>
      <c r="I3" s="273" t="s">
        <v>7</v>
      </c>
      <c r="J3" s="273" t="s">
        <v>8</v>
      </c>
      <c r="K3" s="273" t="s">
        <v>9</v>
      </c>
      <c r="L3" s="8" t="s">
        <v>10</v>
      </c>
      <c r="M3" s="273" t="s">
        <v>11</v>
      </c>
      <c r="N3" s="273" t="s">
        <v>12</v>
      </c>
      <c r="O3" s="5" t="s">
        <v>13</v>
      </c>
      <c r="P3" s="5"/>
      <c r="Q3" s="8" t="s">
        <v>14</v>
      </c>
      <c r="R3" s="8" t="s">
        <v>15</v>
      </c>
      <c r="T3" s="268" t="s">
        <v>16</v>
      </c>
      <c r="U3" s="268" t="s">
        <v>17</v>
      </c>
      <c r="W3" s="296" t="s">
        <v>18</v>
      </c>
      <c r="X3" s="296" t="s">
        <v>19</v>
      </c>
      <c r="Y3" s="296" t="s">
        <v>20</v>
      </c>
      <c r="Z3" s="296" t="s">
        <v>21</v>
      </c>
      <c r="AA3" s="296" t="s">
        <v>22</v>
      </c>
      <c r="AB3" s="296" t="s">
        <v>23</v>
      </c>
      <c r="AE3" s="3">
        <v>3742</v>
      </c>
      <c r="AF3" s="3" t="s">
        <v>24</v>
      </c>
      <c r="AG3" s="3" t="s">
        <v>25</v>
      </c>
      <c r="AH3" s="3" t="s">
        <v>26</v>
      </c>
      <c r="AI3" s="3" t="s">
        <v>27</v>
      </c>
      <c r="AJ3" s="3" t="s">
        <v>28</v>
      </c>
      <c r="AK3" s="3" t="s">
        <v>29</v>
      </c>
      <c r="AL3" s="3" t="s">
        <v>30</v>
      </c>
      <c r="AM3" s="3" t="s">
        <v>31</v>
      </c>
      <c r="AN3" s="3" t="s">
        <v>32</v>
      </c>
      <c r="AO3" s="3" t="s">
        <v>33</v>
      </c>
      <c r="AP3" s="3" t="s">
        <v>34</v>
      </c>
      <c r="AS3" s="3" t="s">
        <v>35</v>
      </c>
      <c r="AT3" s="3" t="s">
        <v>19</v>
      </c>
    </row>
    <row r="4" ht="21" customHeight="1" spans="1:31">
      <c r="A4" s="274"/>
      <c r="B4" s="275" t="s">
        <v>36</v>
      </c>
      <c r="C4" s="275" t="s">
        <v>37</v>
      </c>
      <c r="D4" s="275"/>
      <c r="E4" s="275" t="s">
        <v>38</v>
      </c>
      <c r="F4" s="275" t="s">
        <v>39</v>
      </c>
      <c r="G4" s="275" t="s">
        <v>40</v>
      </c>
      <c r="H4" s="275" t="s">
        <v>41</v>
      </c>
      <c r="I4" s="275" t="s">
        <v>42</v>
      </c>
      <c r="J4" s="275" t="s">
        <v>43</v>
      </c>
      <c r="K4" s="275" t="s">
        <v>41</v>
      </c>
      <c r="L4" s="275"/>
      <c r="M4" s="275" t="s">
        <v>41</v>
      </c>
      <c r="N4" s="275" t="s">
        <v>41</v>
      </c>
      <c r="O4" s="275" t="s">
        <v>44</v>
      </c>
      <c r="P4" s="275" t="s">
        <v>45</v>
      </c>
      <c r="Q4" s="275"/>
      <c r="R4" s="275"/>
      <c r="T4" s="57" t="s">
        <v>46</v>
      </c>
      <c r="U4" s="297">
        <f>ROUND(J37*W4,2)</f>
        <v>1051697.98</v>
      </c>
      <c r="V4" s="297"/>
      <c r="W4" s="298">
        <v>0.668848882609812</v>
      </c>
      <c r="X4" s="299">
        <f>J36/R36</f>
        <v>0.261777620543983</v>
      </c>
      <c r="Y4" s="296"/>
      <c r="Z4" s="296"/>
      <c r="AA4" s="296"/>
      <c r="AB4" s="331">
        <v>45142</v>
      </c>
      <c r="AC4" s="332"/>
      <c r="AD4" s="3" t="s">
        <v>47</v>
      </c>
      <c r="AE4" s="3">
        <f>AE3/31</f>
        <v>120.709677419355</v>
      </c>
    </row>
    <row r="5" ht="18.6" customHeight="1" spans="1:46">
      <c r="A5" s="6">
        <v>1</v>
      </c>
      <c r="B5" s="276">
        <v>29.6</v>
      </c>
      <c r="C5" s="277" t="s">
        <v>48</v>
      </c>
      <c r="D5" s="278">
        <v>208700</v>
      </c>
      <c r="E5" s="279">
        <v>0</v>
      </c>
      <c r="F5" s="279">
        <v>103.4</v>
      </c>
      <c r="G5" s="279">
        <v>0</v>
      </c>
      <c r="H5" s="280">
        <v>100</v>
      </c>
      <c r="I5" s="6">
        <v>3342</v>
      </c>
      <c r="J5" s="287">
        <v>50100</v>
      </c>
      <c r="K5" s="288">
        <v>31320</v>
      </c>
      <c r="L5" s="289">
        <v>0.2</v>
      </c>
      <c r="M5" s="288">
        <v>4686</v>
      </c>
      <c r="N5" s="288">
        <v>1560</v>
      </c>
      <c r="O5" s="290">
        <v>1.5</v>
      </c>
      <c r="P5" s="290">
        <v>0</v>
      </c>
      <c r="Q5" s="300">
        <v>5504</v>
      </c>
      <c r="R5" s="301">
        <f>D5-Q5</f>
        <v>203196</v>
      </c>
      <c r="S5" s="302"/>
      <c r="T5" s="303" t="s">
        <v>49</v>
      </c>
      <c r="U5" s="304">
        <f>H37*W5/1000</f>
        <v>86100</v>
      </c>
      <c r="V5" s="297"/>
      <c r="W5" s="305">
        <v>28000</v>
      </c>
      <c r="X5" s="297">
        <f>H36/R36*1000</f>
        <v>0.51193473872599</v>
      </c>
      <c r="Y5" s="296">
        <f>J5/R5</f>
        <v>0.246559971652985</v>
      </c>
      <c r="Z5" s="296">
        <f>J5*$W$4</f>
        <v>33509.3290187516</v>
      </c>
      <c r="AA5" s="296">
        <f>Z5/R5</f>
        <v>0.164911361536406</v>
      </c>
      <c r="AB5" s="331">
        <v>45142</v>
      </c>
      <c r="AC5" s="3">
        <f>AD5*(100-进出水!T7)/100</f>
        <v>21.9208</v>
      </c>
      <c r="AD5" s="333">
        <f>E5+F5+G5</f>
        <v>103.4</v>
      </c>
      <c r="AE5" s="3">
        <v>120</v>
      </c>
      <c r="AF5" s="3">
        <f>$W$9*K5/1000/R5</f>
        <v>0.0641209472627414</v>
      </c>
      <c r="AG5" s="3">
        <f>AF5*R5</f>
        <v>13029.12</v>
      </c>
      <c r="AH5" s="3">
        <f>$W$5*H5/1000/R5</f>
        <v>0.0137797988149373</v>
      </c>
      <c r="AI5" s="3">
        <f>AH5*R5</f>
        <v>2800</v>
      </c>
      <c r="AJ5" s="3">
        <f>$W$6*L5/1000/R5</f>
        <v>1.02364219768106e-5</v>
      </c>
      <c r="AK5" s="3">
        <f>AJ5*R5</f>
        <v>2.08</v>
      </c>
      <c r="AL5" s="3">
        <f>$W$7*M5/1000/R5</f>
        <v>0.0107927715112502</v>
      </c>
      <c r="AM5" s="3">
        <f>AL5*R5</f>
        <v>2193.048</v>
      </c>
      <c r="AN5" s="3">
        <f>$W$8*N5/1000/R5</f>
        <v>0.03877044823717</v>
      </c>
      <c r="AO5" s="3">
        <f>AN5*R5</f>
        <v>7878</v>
      </c>
      <c r="AP5" s="3">
        <f>AF5+AH5+AJ5+AL5+AN5</f>
        <v>0.127474202248076</v>
      </c>
      <c r="AQ5" s="3">
        <f>AP5*R5</f>
        <v>25902.248</v>
      </c>
      <c r="AS5" s="3">
        <f>AD5*(100-进出水!T7)/100</f>
        <v>21.9208</v>
      </c>
      <c r="AT5" s="3">
        <f>H5/AS5</f>
        <v>4.56187730374804</v>
      </c>
    </row>
    <row r="6" ht="18.6" customHeight="1" spans="1:46">
      <c r="A6" s="6">
        <v>2</v>
      </c>
      <c r="B6" s="276">
        <v>29.7</v>
      </c>
      <c r="C6" s="277" t="s">
        <v>48</v>
      </c>
      <c r="D6" s="278">
        <v>212057</v>
      </c>
      <c r="E6" s="279">
        <v>0</v>
      </c>
      <c r="F6" s="279">
        <v>105.16</v>
      </c>
      <c r="G6" s="279">
        <v>15</v>
      </c>
      <c r="H6" s="280">
        <v>75</v>
      </c>
      <c r="I6" s="6">
        <v>4282</v>
      </c>
      <c r="J6" s="287">
        <v>51100</v>
      </c>
      <c r="K6" s="288">
        <v>18240</v>
      </c>
      <c r="L6" s="289">
        <v>0.2</v>
      </c>
      <c r="M6" s="288">
        <v>2840</v>
      </c>
      <c r="N6" s="288">
        <v>1008</v>
      </c>
      <c r="O6" s="290">
        <v>1.6</v>
      </c>
      <c r="P6" s="290">
        <v>0</v>
      </c>
      <c r="Q6" s="300">
        <v>5504</v>
      </c>
      <c r="R6" s="301">
        <f t="shared" ref="R6:R36" si="0">D6-Q6</f>
        <v>206553</v>
      </c>
      <c r="S6" s="302"/>
      <c r="T6" s="303" t="s">
        <v>50</v>
      </c>
      <c r="U6" s="304">
        <f>L37*W6/1000</f>
        <v>49.92</v>
      </c>
      <c r="V6" s="297">
        <f>U5+U6</f>
        <v>86149.92</v>
      </c>
      <c r="W6" s="57">
        <v>10400</v>
      </c>
      <c r="X6" s="297">
        <f>L36/R36*1000</f>
        <v>0.000799117640938132</v>
      </c>
      <c r="Y6" s="296">
        <f t="shared" ref="Y6:Y35" si="1">J6/R6</f>
        <v>0.247394131288338</v>
      </c>
      <c r="Z6" s="296">
        <f t="shared" ref="Z6:Z35" si="2">J6*$W$4</f>
        <v>34178.1779013614</v>
      </c>
      <c r="AA6" s="296">
        <f t="shared" ref="AA6:AA35" si="3">Z6/R6</f>
        <v>0.16546928827643</v>
      </c>
      <c r="AB6" s="331">
        <v>45142</v>
      </c>
      <c r="AC6" s="3">
        <f>AD6*(100-进出水!T8)/100</f>
        <v>25.71424</v>
      </c>
      <c r="AD6" s="333">
        <f t="shared" ref="AD6:AD35" si="4">E6+F6+G6</f>
        <v>120.16</v>
      </c>
      <c r="AE6" s="3">
        <v>120</v>
      </c>
      <c r="AF6" s="3">
        <f t="shared" ref="AF6:AF35" si="5">$W$9*K6/1000/R6</f>
        <v>0.0367355593963777</v>
      </c>
      <c r="AG6" s="3">
        <f t="shared" ref="AG6:AG35" si="6">AF6*R6</f>
        <v>7587.84</v>
      </c>
      <c r="AH6" s="3">
        <f t="shared" ref="AH6:AH35" si="7">$W$5*H6/1000/R6</f>
        <v>0.0101668821077399</v>
      </c>
      <c r="AI6" s="3">
        <f t="shared" ref="AI6:AI35" si="8">AH6*R6</f>
        <v>2100</v>
      </c>
      <c r="AJ6" s="3">
        <f t="shared" ref="AJ6:AJ35" si="9">$W$6*L6/1000/R6</f>
        <v>1.00700546590948e-5</v>
      </c>
      <c r="AK6" s="3">
        <f t="shared" ref="AK6:AK35" si="10">AJ6*R6</f>
        <v>2.08</v>
      </c>
      <c r="AL6" s="3">
        <f t="shared" ref="AL6:AL35" si="11">$W$7*M6/1000/R6</f>
        <v>0.00643476492716155</v>
      </c>
      <c r="AM6" s="3">
        <f t="shared" ref="AM6:AM35" si="12">AL6*R6</f>
        <v>1329.12</v>
      </c>
      <c r="AN6" s="3">
        <f t="shared" ref="AN6:AN35" si="13">$W$8*N6/1000/R6</f>
        <v>0.0246445222291615</v>
      </c>
      <c r="AO6" s="3">
        <f t="shared" ref="AO6:AO35" si="14">AN6*R6</f>
        <v>5090.4</v>
      </c>
      <c r="AP6" s="3">
        <f t="shared" ref="AP6:AP35" si="15">AF6+AH6+AJ6+AL6+AN6</f>
        <v>0.0779917987150998</v>
      </c>
      <c r="AQ6" s="3">
        <f t="shared" ref="AQ6:AQ35" si="16">AP6*R6</f>
        <v>16109.44</v>
      </c>
      <c r="AS6" s="3">
        <f>AD6*(100-进出水!T8)/100</f>
        <v>25.71424</v>
      </c>
      <c r="AT6" s="3">
        <f t="shared" ref="AT6:AT35" si="17">H6/AS6</f>
        <v>2.91667185186107</v>
      </c>
    </row>
    <row r="7" ht="18.6" customHeight="1" spans="1:46">
      <c r="A7" s="6">
        <v>3</v>
      </c>
      <c r="B7" s="276">
        <v>28.9</v>
      </c>
      <c r="C7" s="277" t="s">
        <v>48</v>
      </c>
      <c r="D7" s="278">
        <v>211931</v>
      </c>
      <c r="E7" s="279">
        <v>0</v>
      </c>
      <c r="F7" s="279">
        <v>106.54</v>
      </c>
      <c r="G7" s="279">
        <v>0</v>
      </c>
      <c r="H7" s="280">
        <v>75</v>
      </c>
      <c r="I7" s="6">
        <v>3774</v>
      </c>
      <c r="J7" s="287">
        <v>51200</v>
      </c>
      <c r="K7" s="288">
        <v>14040</v>
      </c>
      <c r="L7" s="289">
        <v>0</v>
      </c>
      <c r="M7" s="288">
        <v>2130</v>
      </c>
      <c r="N7" s="288">
        <v>792</v>
      </c>
      <c r="O7" s="290">
        <v>1.7</v>
      </c>
      <c r="P7" s="290">
        <v>0</v>
      </c>
      <c r="Q7" s="300">
        <v>5496</v>
      </c>
      <c r="R7" s="301">
        <f t="shared" si="0"/>
        <v>206435</v>
      </c>
      <c r="S7" s="302"/>
      <c r="T7" s="303" t="s">
        <v>51</v>
      </c>
      <c r="U7" s="304">
        <f>M37*W7/1000</f>
        <v>50008.14</v>
      </c>
      <c r="V7" s="297"/>
      <c r="W7" s="57">
        <v>468</v>
      </c>
      <c r="X7" s="297">
        <f>M36/R36*1000</f>
        <v>17.7895240671758</v>
      </c>
      <c r="Y7" s="296">
        <f t="shared" si="1"/>
        <v>0.248019957855984</v>
      </c>
      <c r="Z7" s="296">
        <f t="shared" si="2"/>
        <v>34245.0627896224</v>
      </c>
      <c r="AA7" s="296">
        <f t="shared" si="3"/>
        <v>0.165887871676907</v>
      </c>
      <c r="AB7" s="331">
        <v>45142</v>
      </c>
      <c r="AC7" s="3">
        <f>AD7*(100-进出水!T9)/100</f>
        <v>23.11918</v>
      </c>
      <c r="AD7" s="333">
        <f t="shared" si="4"/>
        <v>106.54</v>
      </c>
      <c r="AE7" s="3">
        <v>120</v>
      </c>
      <c r="AF7" s="3">
        <f t="shared" si="5"/>
        <v>0.0282928766924213</v>
      </c>
      <c r="AG7" s="3">
        <f t="shared" si="6"/>
        <v>5840.64</v>
      </c>
      <c r="AH7" s="3">
        <f t="shared" si="7"/>
        <v>0.0101726935839368</v>
      </c>
      <c r="AI7" s="3">
        <f t="shared" si="8"/>
        <v>2100</v>
      </c>
      <c r="AJ7" s="3">
        <f t="shared" si="9"/>
        <v>0</v>
      </c>
      <c r="AK7" s="3">
        <f t="shared" si="10"/>
        <v>0</v>
      </c>
      <c r="AL7" s="3">
        <f t="shared" si="11"/>
        <v>0.00482883232010076</v>
      </c>
      <c r="AM7" s="3">
        <f t="shared" si="12"/>
        <v>996.84</v>
      </c>
      <c r="AN7" s="3">
        <f t="shared" si="13"/>
        <v>0.019374621551578</v>
      </c>
      <c r="AO7" s="3">
        <f t="shared" si="14"/>
        <v>3999.6</v>
      </c>
      <c r="AP7" s="3">
        <f t="shared" si="15"/>
        <v>0.0626690241480369</v>
      </c>
      <c r="AQ7" s="3">
        <f t="shared" si="16"/>
        <v>12937.08</v>
      </c>
      <c r="AS7" s="3">
        <f>AD7*(100-进出水!T9)/100</f>
        <v>23.11918</v>
      </c>
      <c r="AT7" s="3">
        <f t="shared" si="17"/>
        <v>3.2440596941587</v>
      </c>
    </row>
    <row r="8" ht="18.6" customHeight="1" spans="1:46">
      <c r="A8" s="6">
        <v>4</v>
      </c>
      <c r="B8" s="276">
        <v>29.9</v>
      </c>
      <c r="C8" s="277" t="s">
        <v>48</v>
      </c>
      <c r="D8" s="278">
        <v>211062</v>
      </c>
      <c r="E8" s="279">
        <v>0</v>
      </c>
      <c r="F8" s="279">
        <v>103.38</v>
      </c>
      <c r="G8" s="279">
        <v>0</v>
      </c>
      <c r="H8" s="280">
        <v>75</v>
      </c>
      <c r="I8" s="6">
        <v>4896</v>
      </c>
      <c r="J8" s="287">
        <v>54400</v>
      </c>
      <c r="K8" s="288">
        <v>7200</v>
      </c>
      <c r="L8" s="289">
        <v>0.2</v>
      </c>
      <c r="M8" s="288">
        <v>1988</v>
      </c>
      <c r="N8" s="288">
        <v>720</v>
      </c>
      <c r="O8" s="290">
        <v>1.6</v>
      </c>
      <c r="P8" s="290">
        <v>0</v>
      </c>
      <c r="Q8" s="300">
        <v>5488</v>
      </c>
      <c r="R8" s="301">
        <f t="shared" si="0"/>
        <v>205574</v>
      </c>
      <c r="S8" s="302"/>
      <c r="T8" s="303" t="s">
        <v>52</v>
      </c>
      <c r="U8" s="304">
        <f>N37*W8/1000</f>
        <v>181800</v>
      </c>
      <c r="V8" s="297">
        <f>U7+U8</f>
        <v>231808.14</v>
      </c>
      <c r="W8" s="57">
        <v>5050</v>
      </c>
      <c r="X8" s="297">
        <f>N36/R36*1000</f>
        <v>5.99338230703599</v>
      </c>
      <c r="Y8" s="296">
        <f t="shared" si="1"/>
        <v>0.264624903927539</v>
      </c>
      <c r="Z8" s="296">
        <f t="shared" si="2"/>
        <v>36385.3792139738</v>
      </c>
      <c r="AA8" s="296">
        <f t="shared" si="3"/>
        <v>0.176994071302664</v>
      </c>
      <c r="AB8" s="331">
        <v>45142</v>
      </c>
      <c r="AC8" s="3">
        <f>AD8*(100-进出水!T10)/100</f>
        <v>21.81318</v>
      </c>
      <c r="AD8" s="333">
        <f t="shared" si="4"/>
        <v>103.38</v>
      </c>
      <c r="AE8" s="3">
        <v>120</v>
      </c>
      <c r="AF8" s="3">
        <f t="shared" si="5"/>
        <v>0.0145699358868339</v>
      </c>
      <c r="AG8" s="3">
        <f t="shared" si="6"/>
        <v>2995.2</v>
      </c>
      <c r="AH8" s="3">
        <f t="shared" si="7"/>
        <v>0.010215299600144</v>
      </c>
      <c r="AI8" s="3">
        <f t="shared" si="8"/>
        <v>2100</v>
      </c>
      <c r="AJ8" s="3">
        <f t="shared" si="9"/>
        <v>1.01180110325236e-5</v>
      </c>
      <c r="AK8" s="3">
        <f t="shared" si="10"/>
        <v>2.08</v>
      </c>
      <c r="AL8" s="3">
        <f t="shared" si="11"/>
        <v>0.00452578633484779</v>
      </c>
      <c r="AM8" s="3">
        <f t="shared" si="12"/>
        <v>930.384</v>
      </c>
      <c r="AN8" s="3">
        <f t="shared" si="13"/>
        <v>0.0176870615933922</v>
      </c>
      <c r="AO8" s="3">
        <f t="shared" si="14"/>
        <v>3636</v>
      </c>
      <c r="AP8" s="3">
        <f t="shared" si="15"/>
        <v>0.0470082014262504</v>
      </c>
      <c r="AQ8" s="3">
        <f t="shared" si="16"/>
        <v>9663.66399999999</v>
      </c>
      <c r="AS8" s="3">
        <f>AD8*(100-进出水!T10)/100</f>
        <v>21.81318</v>
      </c>
      <c r="AT8" s="3">
        <f t="shared" si="17"/>
        <v>3.43828822757617</v>
      </c>
    </row>
    <row r="9" ht="18.6" customHeight="1" spans="1:46">
      <c r="A9" s="6">
        <v>5</v>
      </c>
      <c r="B9" s="276">
        <v>29</v>
      </c>
      <c r="C9" s="277" t="s">
        <v>48</v>
      </c>
      <c r="D9" s="278">
        <v>209663</v>
      </c>
      <c r="E9" s="279">
        <v>0</v>
      </c>
      <c r="F9" s="279">
        <v>88.26</v>
      </c>
      <c r="G9" s="279">
        <v>0</v>
      </c>
      <c r="H9" s="280">
        <v>75</v>
      </c>
      <c r="I9" s="6">
        <v>4176</v>
      </c>
      <c r="J9" s="291">
        <v>55200</v>
      </c>
      <c r="K9" s="288">
        <v>5400</v>
      </c>
      <c r="L9" s="289">
        <v>0.2</v>
      </c>
      <c r="M9" s="288">
        <v>1278</v>
      </c>
      <c r="N9" s="288">
        <v>480</v>
      </c>
      <c r="O9" s="290">
        <v>1.4</v>
      </c>
      <c r="P9" s="290">
        <v>0</v>
      </c>
      <c r="Q9" s="300">
        <v>5480</v>
      </c>
      <c r="R9" s="301">
        <f t="shared" si="0"/>
        <v>204183</v>
      </c>
      <c r="S9" s="302"/>
      <c r="T9" s="303" t="s">
        <v>53</v>
      </c>
      <c r="U9" s="304">
        <f>K37*W9/1000</f>
        <v>98841.6</v>
      </c>
      <c r="V9" s="297"/>
      <c r="W9" s="57">
        <v>416</v>
      </c>
      <c r="X9" s="297">
        <f>K36/R36*1000</f>
        <v>39.5563232264375</v>
      </c>
      <c r="Y9" s="296">
        <f t="shared" si="1"/>
        <v>0.270345719281233</v>
      </c>
      <c r="Z9" s="296">
        <f t="shared" si="2"/>
        <v>36920.4583200616</v>
      </c>
      <c r="AA9" s="296">
        <f t="shared" si="3"/>
        <v>0.180820432259599</v>
      </c>
      <c r="AB9" s="331">
        <v>45142</v>
      </c>
      <c r="AC9" s="3">
        <f>AD9*(100-进出水!T11)/100</f>
        <v>19.15242</v>
      </c>
      <c r="AD9" s="333">
        <f t="shared" si="4"/>
        <v>88.26</v>
      </c>
      <c r="AE9" s="3">
        <v>120</v>
      </c>
      <c r="AF9" s="3">
        <f t="shared" si="5"/>
        <v>0.0110018953585754</v>
      </c>
      <c r="AG9" s="3">
        <f t="shared" si="6"/>
        <v>2246.4</v>
      </c>
      <c r="AH9" s="3">
        <f t="shared" si="7"/>
        <v>0.0102848914943947</v>
      </c>
      <c r="AI9" s="3">
        <f t="shared" si="8"/>
        <v>2100</v>
      </c>
      <c r="AJ9" s="3">
        <f t="shared" si="9"/>
        <v>1.01869401468291e-5</v>
      </c>
      <c r="AK9" s="3">
        <f t="shared" si="10"/>
        <v>2.08</v>
      </c>
      <c r="AL9" s="3">
        <f t="shared" si="11"/>
        <v>0.0029292546392207</v>
      </c>
      <c r="AM9" s="3">
        <f t="shared" si="12"/>
        <v>598.104</v>
      </c>
      <c r="AN9" s="3">
        <f t="shared" si="13"/>
        <v>0.0118717033249585</v>
      </c>
      <c r="AO9" s="3">
        <f t="shared" si="14"/>
        <v>2424</v>
      </c>
      <c r="AP9" s="3">
        <f t="shared" si="15"/>
        <v>0.0360979317572961</v>
      </c>
      <c r="AQ9" s="3">
        <f t="shared" si="16"/>
        <v>7370.58399999999</v>
      </c>
      <c r="AS9" s="3">
        <f>AD9*(100-进出水!T11)/100</f>
        <v>19.15242</v>
      </c>
      <c r="AT9" s="3">
        <f t="shared" si="17"/>
        <v>3.9159542240615</v>
      </c>
    </row>
    <row r="10" ht="18.6" customHeight="1" spans="1:46">
      <c r="A10" s="6">
        <v>6</v>
      </c>
      <c r="B10" s="276">
        <v>29.6</v>
      </c>
      <c r="C10" s="277" t="s">
        <v>48</v>
      </c>
      <c r="D10" s="278">
        <v>213088</v>
      </c>
      <c r="E10" s="279">
        <v>0</v>
      </c>
      <c r="F10" s="279">
        <v>87.44</v>
      </c>
      <c r="G10" s="279">
        <v>0</v>
      </c>
      <c r="H10" s="280">
        <v>75</v>
      </c>
      <c r="I10" s="6">
        <v>4634</v>
      </c>
      <c r="J10" s="287">
        <v>53900</v>
      </c>
      <c r="K10" s="288">
        <v>5760</v>
      </c>
      <c r="L10" s="289">
        <v>0.2</v>
      </c>
      <c r="M10" s="288">
        <v>2485</v>
      </c>
      <c r="N10" s="288">
        <v>984</v>
      </c>
      <c r="O10" s="290">
        <v>1.4</v>
      </c>
      <c r="P10" s="290">
        <v>0</v>
      </c>
      <c r="Q10" s="300">
        <v>5488</v>
      </c>
      <c r="R10" s="301">
        <f t="shared" si="0"/>
        <v>207600</v>
      </c>
      <c r="S10" s="302"/>
      <c r="T10" s="303" t="s">
        <v>54</v>
      </c>
      <c r="U10" s="304">
        <f>T18</f>
        <v>32425.53</v>
      </c>
      <c r="V10" s="297" t="s">
        <v>55</v>
      </c>
      <c r="W10" s="306"/>
      <c r="X10" s="306"/>
      <c r="Y10" s="296">
        <f t="shared" si="1"/>
        <v>0.259633911368015</v>
      </c>
      <c r="Z10" s="296">
        <f t="shared" si="2"/>
        <v>36050.9547726689</v>
      </c>
      <c r="AA10" s="296">
        <f t="shared" si="3"/>
        <v>0.173655851506112</v>
      </c>
      <c r="AB10" s="334"/>
      <c r="AC10" s="3">
        <f>AD10*(100-进出水!T12)/100</f>
        <v>18.71216</v>
      </c>
      <c r="AD10" s="333">
        <f t="shared" si="4"/>
        <v>87.44</v>
      </c>
      <c r="AE10" s="3">
        <v>120</v>
      </c>
      <c r="AF10" s="3">
        <f t="shared" si="5"/>
        <v>0.0115421965317919</v>
      </c>
      <c r="AG10" s="3">
        <f t="shared" si="6"/>
        <v>2396.16</v>
      </c>
      <c r="AH10" s="3">
        <f t="shared" si="7"/>
        <v>0.0101156069364162</v>
      </c>
      <c r="AI10" s="3">
        <f t="shared" si="8"/>
        <v>2100</v>
      </c>
      <c r="AJ10" s="3">
        <f t="shared" si="9"/>
        <v>1.0019267822736e-5</v>
      </c>
      <c r="AK10" s="3">
        <f t="shared" si="10"/>
        <v>2.08</v>
      </c>
      <c r="AL10" s="3">
        <f t="shared" si="11"/>
        <v>0.00560202312138728</v>
      </c>
      <c r="AM10" s="3">
        <f t="shared" si="12"/>
        <v>1162.98</v>
      </c>
      <c r="AN10" s="3">
        <f t="shared" si="13"/>
        <v>0.0239364161849711</v>
      </c>
      <c r="AO10" s="3">
        <f t="shared" si="14"/>
        <v>4969.2</v>
      </c>
      <c r="AP10" s="3">
        <f t="shared" si="15"/>
        <v>0.0512062620423892</v>
      </c>
      <c r="AQ10" s="3">
        <f t="shared" si="16"/>
        <v>10630.42</v>
      </c>
      <c r="AS10" s="3">
        <f>AD10*(100-进出水!T12)/100</f>
        <v>18.71216</v>
      </c>
      <c r="AT10" s="3">
        <f t="shared" si="17"/>
        <v>4.00808885772674</v>
      </c>
    </row>
    <row r="11" ht="18.6" customHeight="1" spans="1:46">
      <c r="A11" s="6">
        <v>7</v>
      </c>
      <c r="B11" s="276">
        <v>29.3</v>
      </c>
      <c r="C11" s="277" t="s">
        <v>48</v>
      </c>
      <c r="D11" s="278">
        <v>198888</v>
      </c>
      <c r="E11" s="279">
        <v>0</v>
      </c>
      <c r="F11" s="279">
        <v>91.28</v>
      </c>
      <c r="G11" s="279">
        <v>0</v>
      </c>
      <c r="H11" s="280">
        <v>75</v>
      </c>
      <c r="I11" s="13">
        <v>4340</v>
      </c>
      <c r="J11" s="291">
        <v>52100</v>
      </c>
      <c r="K11" s="288">
        <v>5880</v>
      </c>
      <c r="L11" s="289">
        <v>0</v>
      </c>
      <c r="M11" s="288">
        <v>3550</v>
      </c>
      <c r="N11" s="288">
        <v>1248</v>
      </c>
      <c r="O11" s="290">
        <v>1.36</v>
      </c>
      <c r="P11" s="290">
        <v>0</v>
      </c>
      <c r="Q11" s="300">
        <v>5488</v>
      </c>
      <c r="R11" s="301">
        <f t="shared" si="0"/>
        <v>193400</v>
      </c>
      <c r="S11" s="302"/>
      <c r="T11" s="303" t="s">
        <v>56</v>
      </c>
      <c r="U11" s="304">
        <f>汇总!J5*W11</f>
        <v>17887.8</v>
      </c>
      <c r="V11" s="297"/>
      <c r="W11" s="57">
        <v>4.2</v>
      </c>
      <c r="X11" s="57"/>
      <c r="Y11" s="296">
        <f t="shared" si="1"/>
        <v>0.269389865563599</v>
      </c>
      <c r="Z11" s="296">
        <f t="shared" si="2"/>
        <v>34847.0267839712</v>
      </c>
      <c r="AA11" s="296">
        <f t="shared" si="3"/>
        <v>0.18018111056862</v>
      </c>
      <c r="AB11" s="296"/>
      <c r="AC11" s="3">
        <f>AD11*(100-进出水!T13)/100</f>
        <v>19.80776</v>
      </c>
      <c r="AD11" s="333">
        <f t="shared" si="4"/>
        <v>91.28</v>
      </c>
      <c r="AE11" s="3">
        <v>120</v>
      </c>
      <c r="AF11" s="3">
        <f t="shared" si="5"/>
        <v>0.0126477766287487</v>
      </c>
      <c r="AG11" s="3">
        <f t="shared" si="6"/>
        <v>2446.08</v>
      </c>
      <c r="AH11" s="3">
        <f t="shared" si="7"/>
        <v>0.0108583247156153</v>
      </c>
      <c r="AI11" s="3">
        <f t="shared" si="8"/>
        <v>2100</v>
      </c>
      <c r="AJ11" s="3">
        <f t="shared" si="9"/>
        <v>0</v>
      </c>
      <c r="AK11" s="3">
        <f t="shared" si="10"/>
        <v>0</v>
      </c>
      <c r="AL11" s="3">
        <f t="shared" si="11"/>
        <v>0.00859048603929679</v>
      </c>
      <c r="AM11" s="3">
        <f t="shared" si="12"/>
        <v>1661.4</v>
      </c>
      <c r="AN11" s="3">
        <f t="shared" si="13"/>
        <v>0.0325873836608066</v>
      </c>
      <c r="AO11" s="3">
        <f t="shared" si="14"/>
        <v>6302.4</v>
      </c>
      <c r="AP11" s="3">
        <f t="shared" si="15"/>
        <v>0.0646839710444674</v>
      </c>
      <c r="AQ11" s="3">
        <f t="shared" si="16"/>
        <v>12509.88</v>
      </c>
      <c r="AS11" s="3">
        <f>AD11*(100-进出水!T13)/100</f>
        <v>19.80776</v>
      </c>
      <c r="AT11" s="3">
        <f t="shared" si="17"/>
        <v>3.78639482707787</v>
      </c>
    </row>
    <row r="12" ht="18.6" customHeight="1" spans="1:46">
      <c r="A12" s="6">
        <v>8</v>
      </c>
      <c r="B12" s="276">
        <v>30.6</v>
      </c>
      <c r="C12" s="277" t="s">
        <v>48</v>
      </c>
      <c r="D12" s="280">
        <v>201072</v>
      </c>
      <c r="E12" s="279">
        <v>0</v>
      </c>
      <c r="F12" s="279">
        <v>71.76</v>
      </c>
      <c r="G12" s="279">
        <v>0</v>
      </c>
      <c r="H12" s="280">
        <v>100</v>
      </c>
      <c r="I12" s="6">
        <v>4188</v>
      </c>
      <c r="J12" s="287">
        <v>52400</v>
      </c>
      <c r="K12" s="288">
        <v>6000</v>
      </c>
      <c r="L12" s="289">
        <v>0.2</v>
      </c>
      <c r="M12" s="288">
        <v>4260</v>
      </c>
      <c r="N12" s="288">
        <v>1488</v>
      </c>
      <c r="O12" s="290">
        <v>1.5</v>
      </c>
      <c r="P12" s="290">
        <v>0</v>
      </c>
      <c r="Q12" s="300">
        <v>5488</v>
      </c>
      <c r="R12" s="301">
        <f t="shared" si="0"/>
        <v>195584</v>
      </c>
      <c r="S12" s="302"/>
      <c r="T12" s="307"/>
      <c r="U12" s="308"/>
      <c r="V12" s="306"/>
      <c r="W12" s="306"/>
      <c r="X12" s="306"/>
      <c r="Y12" s="296">
        <f t="shared" si="1"/>
        <v>0.26791557591623</v>
      </c>
      <c r="Z12" s="296">
        <f t="shared" si="2"/>
        <v>35047.6814487541</v>
      </c>
      <c r="AA12" s="296">
        <f t="shared" si="3"/>
        <v>0.179195033585335</v>
      </c>
      <c r="AC12" s="3">
        <f>AD12*(100-进出水!T14)/100</f>
        <v>15.21312</v>
      </c>
      <c r="AD12" s="333">
        <f t="shared" si="4"/>
        <v>71.76</v>
      </c>
      <c r="AE12" s="3">
        <v>120</v>
      </c>
      <c r="AF12" s="3">
        <f t="shared" si="5"/>
        <v>0.012761780104712</v>
      </c>
      <c r="AG12" s="3">
        <f t="shared" si="6"/>
        <v>2496</v>
      </c>
      <c r="AH12" s="3">
        <f t="shared" si="7"/>
        <v>0.0143160994764398</v>
      </c>
      <c r="AI12" s="3">
        <f t="shared" si="8"/>
        <v>2800</v>
      </c>
      <c r="AJ12" s="3">
        <f t="shared" si="9"/>
        <v>1.06348167539267e-5</v>
      </c>
      <c r="AK12" s="3">
        <f t="shared" si="10"/>
        <v>2.08</v>
      </c>
      <c r="AL12" s="3">
        <f t="shared" si="11"/>
        <v>0.0101934718586387</v>
      </c>
      <c r="AM12" s="3">
        <f t="shared" si="12"/>
        <v>1993.68</v>
      </c>
      <c r="AN12" s="3">
        <f t="shared" si="13"/>
        <v>0.0384203206806283</v>
      </c>
      <c r="AO12" s="3">
        <f t="shared" si="14"/>
        <v>7514.4</v>
      </c>
      <c r="AP12" s="3">
        <f t="shared" si="15"/>
        <v>0.0757023069371727</v>
      </c>
      <c r="AQ12" s="3">
        <f t="shared" si="16"/>
        <v>14806.16</v>
      </c>
      <c r="AS12" s="3">
        <f>AD12*(100-进出水!T14)/100</f>
        <v>15.21312</v>
      </c>
      <c r="AT12" s="3">
        <f t="shared" si="17"/>
        <v>6.5732735954229</v>
      </c>
    </row>
    <row r="13" ht="18.6" customHeight="1" spans="1:46">
      <c r="A13" s="6">
        <v>9</v>
      </c>
      <c r="B13" s="276">
        <v>30.4</v>
      </c>
      <c r="C13" s="277" t="s">
        <v>48</v>
      </c>
      <c r="D13" s="278">
        <v>196081</v>
      </c>
      <c r="E13" s="279">
        <v>0</v>
      </c>
      <c r="F13" s="279">
        <v>143.16</v>
      </c>
      <c r="G13" s="279">
        <v>0</v>
      </c>
      <c r="H13" s="280">
        <v>75</v>
      </c>
      <c r="I13" s="6">
        <v>4384</v>
      </c>
      <c r="J13" s="287">
        <v>52600</v>
      </c>
      <c r="K13" s="288">
        <v>5880</v>
      </c>
      <c r="L13" s="289">
        <v>0.2</v>
      </c>
      <c r="M13" s="288">
        <v>3195</v>
      </c>
      <c r="N13" s="288">
        <v>1056</v>
      </c>
      <c r="O13" s="290">
        <v>1.5</v>
      </c>
      <c r="P13" s="290">
        <v>0</v>
      </c>
      <c r="Q13" s="300">
        <v>5496</v>
      </c>
      <c r="R13" s="301">
        <f t="shared" si="0"/>
        <v>190585</v>
      </c>
      <c r="S13" s="302"/>
      <c r="T13" s="303"/>
      <c r="U13" s="309">
        <f>U14/R37</f>
        <v>0.0693899918839615</v>
      </c>
      <c r="V13" s="57"/>
      <c r="W13" s="57"/>
      <c r="X13" s="306"/>
      <c r="Y13" s="296">
        <f t="shared" si="1"/>
        <v>0.275992339376131</v>
      </c>
      <c r="Z13" s="296">
        <f t="shared" si="2"/>
        <v>35181.4512252761</v>
      </c>
      <c r="AA13" s="296">
        <f t="shared" si="3"/>
        <v>0.184597167800594</v>
      </c>
      <c r="AC13" s="3">
        <f>AD13*(100-进出水!T15)/100</f>
        <v>30.49308</v>
      </c>
      <c r="AD13" s="333">
        <f t="shared" si="4"/>
        <v>143.16</v>
      </c>
      <c r="AE13" s="3">
        <v>120</v>
      </c>
      <c r="AF13" s="3">
        <f t="shared" si="5"/>
        <v>0.0128345882414671</v>
      </c>
      <c r="AG13" s="3">
        <f t="shared" si="6"/>
        <v>2446.08</v>
      </c>
      <c r="AH13" s="3">
        <f t="shared" si="7"/>
        <v>0.0110187055644463</v>
      </c>
      <c r="AI13" s="3">
        <f t="shared" si="8"/>
        <v>2100</v>
      </c>
      <c r="AJ13" s="3">
        <f t="shared" si="9"/>
        <v>1.09137655114516e-5</v>
      </c>
      <c r="AK13" s="3">
        <f t="shared" si="10"/>
        <v>2.08</v>
      </c>
      <c r="AL13" s="3">
        <f t="shared" si="11"/>
        <v>0.00784563318204476</v>
      </c>
      <c r="AM13" s="3">
        <f t="shared" si="12"/>
        <v>1495.26</v>
      </c>
      <c r="AN13" s="3">
        <f t="shared" si="13"/>
        <v>0.0279812157305139</v>
      </c>
      <c r="AO13" s="3">
        <f t="shared" si="14"/>
        <v>5332.8</v>
      </c>
      <c r="AP13" s="3">
        <f t="shared" si="15"/>
        <v>0.0596910564839836</v>
      </c>
      <c r="AQ13" s="3">
        <f t="shared" si="16"/>
        <v>11376.22</v>
      </c>
      <c r="AS13" s="3">
        <f>AD13*(100-进出水!T15)/100</f>
        <v>30.49308</v>
      </c>
      <c r="AT13" s="3">
        <f t="shared" si="17"/>
        <v>2.45957443459303</v>
      </c>
    </row>
    <row r="14" ht="18.6" customHeight="1" spans="1:46">
      <c r="A14" s="6">
        <v>10</v>
      </c>
      <c r="B14" s="276">
        <v>30.6</v>
      </c>
      <c r="C14" s="277" t="s">
        <v>48</v>
      </c>
      <c r="D14" s="278">
        <v>174580</v>
      </c>
      <c r="E14" s="279">
        <v>0</v>
      </c>
      <c r="F14" s="279">
        <v>126.78</v>
      </c>
      <c r="G14" s="279">
        <v>0</v>
      </c>
      <c r="H14" s="280">
        <v>125</v>
      </c>
      <c r="I14" s="6">
        <v>3912</v>
      </c>
      <c r="J14" s="287">
        <v>49000</v>
      </c>
      <c r="K14" s="288">
        <v>5760</v>
      </c>
      <c r="L14" s="289">
        <v>0.2</v>
      </c>
      <c r="M14" s="288">
        <v>4260</v>
      </c>
      <c r="N14" s="288">
        <v>1392</v>
      </c>
      <c r="O14" s="290">
        <v>1.5</v>
      </c>
      <c r="P14" s="290">
        <v>0</v>
      </c>
      <c r="Q14" s="300">
        <v>5488</v>
      </c>
      <c r="R14" s="301">
        <f t="shared" si="0"/>
        <v>169092</v>
      </c>
      <c r="S14" s="302"/>
      <c r="T14" s="310" t="s">
        <v>57</v>
      </c>
      <c r="U14" s="311">
        <f>U5+U6+U7+U8+U9</f>
        <v>416799.66</v>
      </c>
      <c r="V14" s="312" t="s">
        <v>58</v>
      </c>
      <c r="W14" s="313">
        <f>U6+U9</f>
        <v>98891.52</v>
      </c>
      <c r="X14" s="306"/>
      <c r="Y14" s="296">
        <f t="shared" si="1"/>
        <v>0.289783076668323</v>
      </c>
      <c r="Z14" s="296">
        <f t="shared" si="2"/>
        <v>32773.5952478808</v>
      </c>
      <c r="AA14" s="296">
        <f t="shared" si="3"/>
        <v>0.193821087028841</v>
      </c>
      <c r="AC14" s="3">
        <f>AD14*(100-进出水!T16)/100</f>
        <v>26.87736</v>
      </c>
      <c r="AD14" s="333">
        <f t="shared" si="4"/>
        <v>126.78</v>
      </c>
      <c r="AE14" s="3">
        <v>120</v>
      </c>
      <c r="AF14" s="3">
        <f t="shared" si="5"/>
        <v>0.0141707472855014</v>
      </c>
      <c r="AG14" s="3">
        <f t="shared" si="6"/>
        <v>2396.16</v>
      </c>
      <c r="AH14" s="3">
        <f t="shared" si="7"/>
        <v>0.0206987911905945</v>
      </c>
      <c r="AI14" s="3">
        <f t="shared" si="8"/>
        <v>3500</v>
      </c>
      <c r="AJ14" s="3">
        <f t="shared" si="9"/>
        <v>1.23009959075533e-5</v>
      </c>
      <c r="AK14" s="3">
        <f t="shared" si="10"/>
        <v>2.08</v>
      </c>
      <c r="AL14" s="3">
        <f t="shared" si="11"/>
        <v>0.0117905045773898</v>
      </c>
      <c r="AM14" s="3">
        <f t="shared" si="12"/>
        <v>1993.68</v>
      </c>
      <c r="AN14" s="3">
        <f t="shared" si="13"/>
        <v>0.041572635015258</v>
      </c>
      <c r="AO14" s="3">
        <f t="shared" si="14"/>
        <v>7029.6</v>
      </c>
      <c r="AP14" s="3">
        <f t="shared" si="15"/>
        <v>0.0882449790646512</v>
      </c>
      <c r="AQ14" s="3">
        <f t="shared" si="16"/>
        <v>14921.52</v>
      </c>
      <c r="AS14" s="3">
        <f>AD14*(100-进出水!T16)/100</f>
        <v>26.87736</v>
      </c>
      <c r="AT14" s="3">
        <f t="shared" si="17"/>
        <v>4.65075438956802</v>
      </c>
    </row>
    <row r="15" ht="18.6" customHeight="1" spans="1:46">
      <c r="A15" s="6">
        <v>11</v>
      </c>
      <c r="B15" s="276">
        <v>30.3</v>
      </c>
      <c r="C15" s="277" t="s">
        <v>48</v>
      </c>
      <c r="D15" s="278">
        <v>179136</v>
      </c>
      <c r="E15" s="279">
        <v>0</v>
      </c>
      <c r="F15" s="279">
        <v>104.36</v>
      </c>
      <c r="G15" s="279">
        <v>0</v>
      </c>
      <c r="H15" s="280">
        <v>125</v>
      </c>
      <c r="I15" s="6">
        <v>5316</v>
      </c>
      <c r="J15" s="291">
        <v>49900</v>
      </c>
      <c r="K15" s="288">
        <v>9120</v>
      </c>
      <c r="L15" s="289">
        <v>0.2</v>
      </c>
      <c r="M15" s="288">
        <v>2343</v>
      </c>
      <c r="N15" s="288">
        <v>840</v>
      </c>
      <c r="O15" s="290">
        <v>1.5</v>
      </c>
      <c r="P15" s="290">
        <v>0</v>
      </c>
      <c r="Q15" s="300">
        <v>5488</v>
      </c>
      <c r="R15" s="301">
        <f t="shared" si="0"/>
        <v>173648</v>
      </c>
      <c r="S15" s="302"/>
      <c r="T15" s="310" t="s">
        <v>59</v>
      </c>
      <c r="U15" s="314" t="s">
        <v>60</v>
      </c>
      <c r="V15" s="314" t="s">
        <v>61</v>
      </c>
      <c r="W15" s="315" t="s">
        <v>62</v>
      </c>
      <c r="X15" s="306"/>
      <c r="Y15" s="296">
        <f t="shared" si="1"/>
        <v>0.28736294112227</v>
      </c>
      <c r="Z15" s="296">
        <f t="shared" si="2"/>
        <v>33375.5592422296</v>
      </c>
      <c r="AA15" s="296">
        <f t="shared" si="3"/>
        <v>0.1922023820731</v>
      </c>
      <c r="AC15" s="3">
        <f>AD15*(100-进出水!T17)/100</f>
        <v>22.01996</v>
      </c>
      <c r="AD15" s="333">
        <f t="shared" si="4"/>
        <v>104.36</v>
      </c>
      <c r="AE15" s="3">
        <v>120</v>
      </c>
      <c r="AF15" s="3">
        <f t="shared" si="5"/>
        <v>0.0218483368653828</v>
      </c>
      <c r="AG15" s="3">
        <f t="shared" si="6"/>
        <v>3793.92</v>
      </c>
      <c r="AH15" s="3">
        <f t="shared" si="7"/>
        <v>0.0201557173131853</v>
      </c>
      <c r="AI15" s="3">
        <f t="shared" si="8"/>
        <v>3500</v>
      </c>
      <c r="AJ15" s="3">
        <f t="shared" si="9"/>
        <v>1.19782548604073e-5</v>
      </c>
      <c r="AK15" s="3">
        <f t="shared" si="10"/>
        <v>2.08</v>
      </c>
      <c r="AL15" s="3">
        <f t="shared" si="11"/>
        <v>0.0063146365060352</v>
      </c>
      <c r="AM15" s="3">
        <f t="shared" si="12"/>
        <v>1096.524</v>
      </c>
      <c r="AN15" s="3">
        <f t="shared" si="13"/>
        <v>0.0244287293835806</v>
      </c>
      <c r="AO15" s="3">
        <f t="shared" si="14"/>
        <v>4242</v>
      </c>
      <c r="AP15" s="3">
        <f t="shared" si="15"/>
        <v>0.0727593983230443</v>
      </c>
      <c r="AQ15" s="3">
        <f t="shared" si="16"/>
        <v>12634.524</v>
      </c>
      <c r="AS15" s="3">
        <f>AD15*(100-进出水!T17)/100</f>
        <v>22.01996</v>
      </c>
      <c r="AT15" s="3">
        <f t="shared" si="17"/>
        <v>5.67666789585449</v>
      </c>
    </row>
    <row r="16" ht="18.6" customHeight="1" spans="1:46">
      <c r="A16" s="6">
        <v>12</v>
      </c>
      <c r="B16" s="276">
        <v>31.2</v>
      </c>
      <c r="C16" s="277" t="s">
        <v>48</v>
      </c>
      <c r="D16" s="278">
        <v>155260</v>
      </c>
      <c r="E16" s="279">
        <v>0</v>
      </c>
      <c r="F16" s="279">
        <v>70.18</v>
      </c>
      <c r="G16" s="279">
        <v>0</v>
      </c>
      <c r="H16" s="280">
        <v>75</v>
      </c>
      <c r="I16" s="6">
        <v>5046</v>
      </c>
      <c r="J16" s="292">
        <v>45700</v>
      </c>
      <c r="K16" s="288">
        <v>10800</v>
      </c>
      <c r="L16" s="289">
        <v>0</v>
      </c>
      <c r="M16" s="288">
        <v>1846</v>
      </c>
      <c r="N16" s="288">
        <v>648</v>
      </c>
      <c r="O16" s="290">
        <v>1.5</v>
      </c>
      <c r="P16" s="290">
        <v>0</v>
      </c>
      <c r="Q16" s="300">
        <v>5496</v>
      </c>
      <c r="R16" s="301">
        <f t="shared" si="0"/>
        <v>149764</v>
      </c>
      <c r="S16" s="302"/>
      <c r="T16" s="316">
        <f>U16+V16+W16</f>
        <v>3422.66</v>
      </c>
      <c r="U16" s="313">
        <f>F37</f>
        <v>2253.24</v>
      </c>
      <c r="V16" s="313">
        <f>E37</f>
        <v>1124.42</v>
      </c>
      <c r="W16" s="313">
        <f>G37</f>
        <v>45</v>
      </c>
      <c r="X16" s="306"/>
      <c r="Y16" s="296">
        <f t="shared" si="1"/>
        <v>0.305146764242408</v>
      </c>
      <c r="Z16" s="296">
        <f t="shared" si="2"/>
        <v>30566.3939352684</v>
      </c>
      <c r="AA16" s="296">
        <f t="shared" si="3"/>
        <v>0.204097072295534</v>
      </c>
      <c r="AC16" s="3">
        <f>AD16*(100-进出水!T18)/100</f>
        <v>14.94834</v>
      </c>
      <c r="AD16" s="333">
        <f t="shared" si="4"/>
        <v>70.18</v>
      </c>
      <c r="AE16" s="3">
        <v>120</v>
      </c>
      <c r="AF16" s="3">
        <f t="shared" si="5"/>
        <v>0.0299991987393499</v>
      </c>
      <c r="AG16" s="3">
        <f t="shared" si="6"/>
        <v>4492.8</v>
      </c>
      <c r="AH16" s="3">
        <f t="shared" si="7"/>
        <v>0.0140220613765658</v>
      </c>
      <c r="AI16" s="3">
        <f t="shared" si="8"/>
        <v>2100</v>
      </c>
      <c r="AJ16" s="3">
        <f t="shared" si="9"/>
        <v>0</v>
      </c>
      <c r="AK16" s="3">
        <f t="shared" si="10"/>
        <v>0</v>
      </c>
      <c r="AL16" s="3">
        <f t="shared" si="11"/>
        <v>0.00576859592425416</v>
      </c>
      <c r="AM16" s="3">
        <f t="shared" si="12"/>
        <v>863.928</v>
      </c>
      <c r="AN16" s="3">
        <f t="shared" si="13"/>
        <v>0.02185037792794</v>
      </c>
      <c r="AO16" s="3">
        <f t="shared" si="14"/>
        <v>3272.4</v>
      </c>
      <c r="AP16" s="3">
        <f t="shared" si="15"/>
        <v>0.0716402339681098</v>
      </c>
      <c r="AQ16" s="3">
        <f t="shared" si="16"/>
        <v>10729.128</v>
      </c>
      <c r="AS16" s="3">
        <f>AD16*(100-进出水!T18)/100</f>
        <v>14.94834</v>
      </c>
      <c r="AT16" s="3">
        <f t="shared" si="17"/>
        <v>5.01727951063463</v>
      </c>
    </row>
    <row r="17" ht="18.6" customHeight="1" spans="1:46">
      <c r="A17" s="6">
        <v>13</v>
      </c>
      <c r="B17" s="276">
        <v>29.7</v>
      </c>
      <c r="C17" s="277" t="s">
        <v>48</v>
      </c>
      <c r="D17" s="278">
        <v>156754</v>
      </c>
      <c r="E17" s="279">
        <v>0</v>
      </c>
      <c r="F17" s="279">
        <v>105.32</v>
      </c>
      <c r="G17" s="279">
        <v>0</v>
      </c>
      <c r="H17" s="280">
        <v>75</v>
      </c>
      <c r="I17" s="6">
        <v>3516</v>
      </c>
      <c r="J17" s="292">
        <v>46600</v>
      </c>
      <c r="K17" s="288">
        <v>11640</v>
      </c>
      <c r="L17" s="289">
        <v>0.2</v>
      </c>
      <c r="M17" s="288">
        <v>4970</v>
      </c>
      <c r="N17" s="288">
        <v>1632</v>
      </c>
      <c r="O17" s="290">
        <v>1.5</v>
      </c>
      <c r="P17" s="290">
        <v>0</v>
      </c>
      <c r="Q17" s="300">
        <v>5480</v>
      </c>
      <c r="R17" s="301">
        <f t="shared" si="0"/>
        <v>151274</v>
      </c>
      <c r="S17" s="302"/>
      <c r="T17" s="310" t="s">
        <v>63</v>
      </c>
      <c r="U17" s="317">
        <v>9.6</v>
      </c>
      <c r="V17" s="317">
        <v>9.6</v>
      </c>
      <c r="W17" s="312"/>
      <c r="X17" s="306"/>
      <c r="Y17" s="296">
        <f t="shared" si="1"/>
        <v>0.308050292846094</v>
      </c>
      <c r="Z17" s="296">
        <f t="shared" si="2"/>
        <v>31168.3579296172</v>
      </c>
      <c r="AA17" s="296">
        <f t="shared" si="3"/>
        <v>0.206039094157735</v>
      </c>
      <c r="AC17" s="3">
        <f>AD17*(100-进出水!T19)/100</f>
        <v>22.53848</v>
      </c>
      <c r="AD17" s="333">
        <f t="shared" si="4"/>
        <v>105.32</v>
      </c>
      <c r="AE17" s="3">
        <v>120</v>
      </c>
      <c r="AF17" s="3">
        <f t="shared" si="5"/>
        <v>0.032009730687362</v>
      </c>
      <c r="AG17" s="3">
        <f t="shared" si="6"/>
        <v>4842.24</v>
      </c>
      <c r="AH17" s="3">
        <f t="shared" si="7"/>
        <v>0.0138820947419914</v>
      </c>
      <c r="AI17" s="3">
        <f t="shared" si="8"/>
        <v>2100</v>
      </c>
      <c r="AJ17" s="3">
        <f t="shared" si="9"/>
        <v>1.37498843158772e-5</v>
      </c>
      <c r="AK17" s="3">
        <f t="shared" si="10"/>
        <v>2.08</v>
      </c>
      <c r="AL17" s="3">
        <f t="shared" si="11"/>
        <v>0.0153758081362296</v>
      </c>
      <c r="AM17" s="3">
        <f t="shared" si="12"/>
        <v>2325.96</v>
      </c>
      <c r="AN17" s="3">
        <f t="shared" si="13"/>
        <v>0.0544812723931409</v>
      </c>
      <c r="AO17" s="3">
        <f t="shared" si="14"/>
        <v>8241.6</v>
      </c>
      <c r="AP17" s="3">
        <f t="shared" si="15"/>
        <v>0.11576265584304</v>
      </c>
      <c r="AQ17" s="3">
        <f t="shared" si="16"/>
        <v>17511.88</v>
      </c>
      <c r="AS17" s="3">
        <f>AD17*(100-进出水!T19)/100</f>
        <v>22.53848</v>
      </c>
      <c r="AT17" s="3">
        <f t="shared" si="17"/>
        <v>3.32764232548069</v>
      </c>
    </row>
    <row r="18" ht="18.6" customHeight="1" spans="1:46">
      <c r="A18" s="6">
        <v>14</v>
      </c>
      <c r="B18" s="276">
        <v>31.1</v>
      </c>
      <c r="C18" s="277" t="s">
        <v>64</v>
      </c>
      <c r="D18" s="278">
        <v>153086</v>
      </c>
      <c r="E18" s="279">
        <v>0</v>
      </c>
      <c r="F18" s="279">
        <v>107.22</v>
      </c>
      <c r="G18" s="279">
        <v>0</v>
      </c>
      <c r="H18" s="280">
        <v>75</v>
      </c>
      <c r="I18" s="6">
        <v>4876</v>
      </c>
      <c r="J18" s="292">
        <v>49000</v>
      </c>
      <c r="K18" s="288">
        <v>11040</v>
      </c>
      <c r="L18" s="289">
        <v>0.2</v>
      </c>
      <c r="M18" s="288">
        <v>4260</v>
      </c>
      <c r="N18" s="288">
        <v>1392</v>
      </c>
      <c r="O18" s="290">
        <v>1.3</v>
      </c>
      <c r="P18" s="290">
        <v>0</v>
      </c>
      <c r="Q18" s="300">
        <v>4424</v>
      </c>
      <c r="R18" s="301">
        <f t="shared" si="0"/>
        <v>148662</v>
      </c>
      <c r="S18" s="302"/>
      <c r="T18" s="316">
        <f>U18+V18</f>
        <v>32425.53</v>
      </c>
      <c r="U18" s="318">
        <f>ROUND(U16*U17,2)</f>
        <v>21631.1</v>
      </c>
      <c r="V18" s="315">
        <f>ROUND(V16*V17,2)</f>
        <v>10794.43</v>
      </c>
      <c r="W18" s="312"/>
      <c r="X18" s="306"/>
      <c r="Y18" s="296">
        <f t="shared" si="1"/>
        <v>0.329606758956559</v>
      </c>
      <c r="Z18" s="296">
        <f t="shared" si="2"/>
        <v>32773.5952478808</v>
      </c>
      <c r="AA18" s="296">
        <f t="shared" si="3"/>
        <v>0.220457112428736</v>
      </c>
      <c r="AC18" s="3">
        <f>AD18*(100-进出水!T20)/100</f>
        <v>23.0523</v>
      </c>
      <c r="AD18" s="333">
        <f t="shared" si="4"/>
        <v>107.22</v>
      </c>
      <c r="AE18" s="3">
        <v>120</v>
      </c>
      <c r="AF18" s="3">
        <f t="shared" si="5"/>
        <v>0.0308931670500868</v>
      </c>
      <c r="AG18" s="3">
        <f t="shared" si="6"/>
        <v>4592.64</v>
      </c>
      <c r="AH18" s="3">
        <f t="shared" si="7"/>
        <v>0.0141260039552811</v>
      </c>
      <c r="AI18" s="3">
        <f t="shared" si="8"/>
        <v>2100</v>
      </c>
      <c r="AJ18" s="3">
        <f t="shared" si="9"/>
        <v>1.39914705842784e-5</v>
      </c>
      <c r="AK18" s="3">
        <f t="shared" si="10"/>
        <v>2.08</v>
      </c>
      <c r="AL18" s="3">
        <f t="shared" si="11"/>
        <v>0.0134108245550309</v>
      </c>
      <c r="AM18" s="3">
        <f t="shared" si="12"/>
        <v>1993.68</v>
      </c>
      <c r="AN18" s="3">
        <f t="shared" si="13"/>
        <v>0.047285789240021</v>
      </c>
      <c r="AO18" s="3">
        <f t="shared" si="14"/>
        <v>7029.6</v>
      </c>
      <c r="AP18" s="3">
        <f t="shared" si="15"/>
        <v>0.105729776271004</v>
      </c>
      <c r="AQ18" s="3">
        <f t="shared" si="16"/>
        <v>15718</v>
      </c>
      <c r="AS18" s="3">
        <f>AD18*(100-进出水!T20)/100</f>
        <v>23.0523</v>
      </c>
      <c r="AT18" s="3">
        <f t="shared" si="17"/>
        <v>3.25347145404146</v>
      </c>
    </row>
    <row r="19" ht="18.6" customHeight="1" spans="1:46">
      <c r="A19" s="6">
        <v>15</v>
      </c>
      <c r="B19" s="276">
        <v>30.2</v>
      </c>
      <c r="C19" s="277" t="s">
        <v>48</v>
      </c>
      <c r="D19" s="278">
        <v>179776</v>
      </c>
      <c r="E19" s="279">
        <v>0</v>
      </c>
      <c r="F19" s="279">
        <v>104.6</v>
      </c>
      <c r="G19" s="279">
        <v>0</v>
      </c>
      <c r="H19" s="280">
        <v>75</v>
      </c>
      <c r="I19" s="6">
        <v>4006</v>
      </c>
      <c r="J19" s="292">
        <v>48500</v>
      </c>
      <c r="K19" s="288">
        <v>11040</v>
      </c>
      <c r="L19" s="289">
        <v>0.2</v>
      </c>
      <c r="M19" s="288">
        <v>4828</v>
      </c>
      <c r="N19" s="288">
        <v>1608</v>
      </c>
      <c r="O19" s="290">
        <v>1.79999999999995</v>
      </c>
      <c r="P19" s="290">
        <v>0</v>
      </c>
      <c r="Q19" s="300">
        <v>5264</v>
      </c>
      <c r="R19" s="301">
        <f t="shared" si="0"/>
        <v>174512</v>
      </c>
      <c r="S19" s="302"/>
      <c r="T19" s="310" t="s">
        <v>65</v>
      </c>
      <c r="U19" s="314"/>
      <c r="V19" s="317">
        <v>0</v>
      </c>
      <c r="W19" s="312"/>
      <c r="X19" s="306"/>
      <c r="Y19" s="296">
        <f t="shared" si="1"/>
        <v>0.277917850921427</v>
      </c>
      <c r="Z19" s="296">
        <f t="shared" si="2"/>
        <v>32439.1708065759</v>
      </c>
      <c r="AA19" s="296">
        <f t="shared" si="3"/>
        <v>0.185885044046116</v>
      </c>
      <c r="AC19" s="3">
        <f>AD19*(100-进出水!T21)/100</f>
        <v>22.1752</v>
      </c>
      <c r="AD19" s="333">
        <f t="shared" si="4"/>
        <v>104.6</v>
      </c>
      <c r="AE19" s="3">
        <v>120</v>
      </c>
      <c r="AF19" s="3">
        <f t="shared" si="5"/>
        <v>0.0263170441001192</v>
      </c>
      <c r="AG19" s="3">
        <f t="shared" si="6"/>
        <v>4592.64</v>
      </c>
      <c r="AH19" s="3">
        <f t="shared" si="7"/>
        <v>0.0120335564316494</v>
      </c>
      <c r="AI19" s="3">
        <f t="shared" si="8"/>
        <v>2100</v>
      </c>
      <c r="AJ19" s="3">
        <f t="shared" si="9"/>
        <v>1.19189511323004e-5</v>
      </c>
      <c r="AK19" s="3">
        <f t="shared" si="10"/>
        <v>2.08</v>
      </c>
      <c r="AL19" s="3">
        <f t="shared" si="11"/>
        <v>0.0129475566150179</v>
      </c>
      <c r="AM19" s="3">
        <f t="shared" si="12"/>
        <v>2259.504</v>
      </c>
      <c r="AN19" s="3">
        <f t="shared" si="13"/>
        <v>0.046532043641698</v>
      </c>
      <c r="AO19" s="3">
        <f t="shared" si="14"/>
        <v>8120.4</v>
      </c>
      <c r="AP19" s="3">
        <f t="shared" si="15"/>
        <v>0.0978421197396168</v>
      </c>
      <c r="AQ19" s="3">
        <f t="shared" si="16"/>
        <v>17074.624</v>
      </c>
      <c r="AS19" s="3">
        <f>AD19*(100-进出水!T21)/100</f>
        <v>22.1752</v>
      </c>
      <c r="AT19" s="3">
        <f t="shared" si="17"/>
        <v>3.38215664345756</v>
      </c>
    </row>
    <row r="20" ht="18.6" customHeight="1" spans="1:46">
      <c r="A20" s="6">
        <v>16</v>
      </c>
      <c r="B20" s="276">
        <v>31.3</v>
      </c>
      <c r="C20" s="277" t="s">
        <v>48</v>
      </c>
      <c r="D20" s="278">
        <v>202339</v>
      </c>
      <c r="E20" s="279">
        <v>17.92</v>
      </c>
      <c r="F20" s="279">
        <v>87.46</v>
      </c>
      <c r="G20" s="279">
        <v>0</v>
      </c>
      <c r="H20" s="280">
        <v>125</v>
      </c>
      <c r="I20" s="6">
        <v>4994</v>
      </c>
      <c r="J20" s="292">
        <v>53100</v>
      </c>
      <c r="K20" s="288">
        <v>11280</v>
      </c>
      <c r="L20" s="289">
        <v>0.2</v>
      </c>
      <c r="M20" s="288">
        <v>5325</v>
      </c>
      <c r="N20" s="288">
        <v>1680</v>
      </c>
      <c r="O20" s="290">
        <v>1.84999999999991</v>
      </c>
      <c r="P20" s="290">
        <v>0</v>
      </c>
      <c r="Q20" s="300">
        <v>5304</v>
      </c>
      <c r="R20" s="301">
        <f t="shared" si="0"/>
        <v>197035</v>
      </c>
      <c r="S20" s="302"/>
      <c r="T20" s="316">
        <f>U20+V20</f>
        <v>0</v>
      </c>
      <c r="U20" s="314"/>
      <c r="V20" s="315">
        <f>ROUND(V16*V19,2)</f>
        <v>0</v>
      </c>
      <c r="W20" s="312"/>
      <c r="X20" s="306"/>
      <c r="Y20" s="296">
        <f t="shared" si="1"/>
        <v>0.26949526733829</v>
      </c>
      <c r="Z20" s="296">
        <f t="shared" si="2"/>
        <v>35515.875666581</v>
      </c>
      <c r="AA20" s="296">
        <f t="shared" si="3"/>
        <v>0.180251608427848</v>
      </c>
      <c r="AC20" s="3">
        <f>AD20*(100-进出水!T22)/100</f>
        <v>22.55132</v>
      </c>
      <c r="AD20" s="333">
        <f t="shared" si="4"/>
        <v>105.38</v>
      </c>
      <c r="AE20" s="3">
        <v>120</v>
      </c>
      <c r="AF20" s="3">
        <f t="shared" si="5"/>
        <v>0.0238154642576192</v>
      </c>
      <c r="AG20" s="3">
        <f t="shared" si="6"/>
        <v>4692.48</v>
      </c>
      <c r="AH20" s="3">
        <f t="shared" si="7"/>
        <v>0.0177633415383054</v>
      </c>
      <c r="AI20" s="3">
        <f t="shared" si="8"/>
        <v>3500</v>
      </c>
      <c r="AJ20" s="3">
        <f t="shared" si="9"/>
        <v>1.05565001141929e-5</v>
      </c>
      <c r="AK20" s="3">
        <f t="shared" si="10"/>
        <v>2.08</v>
      </c>
      <c r="AL20" s="3">
        <f t="shared" si="11"/>
        <v>0.0126480066993174</v>
      </c>
      <c r="AM20" s="3">
        <f t="shared" si="12"/>
        <v>2492.1</v>
      </c>
      <c r="AN20" s="3">
        <f t="shared" si="13"/>
        <v>0.0430583398888522</v>
      </c>
      <c r="AO20" s="3">
        <f t="shared" si="14"/>
        <v>8484</v>
      </c>
      <c r="AP20" s="3">
        <f t="shared" si="15"/>
        <v>0.0972957088842084</v>
      </c>
      <c r="AQ20" s="3">
        <f t="shared" si="16"/>
        <v>19170.66</v>
      </c>
      <c r="AS20" s="3">
        <f>AD20*(100-进出水!T22)/100</f>
        <v>22.55132</v>
      </c>
      <c r="AT20" s="3">
        <f t="shared" si="17"/>
        <v>5.54291278736677</v>
      </c>
    </row>
    <row r="21" ht="18.6" customHeight="1" spans="1:46">
      <c r="A21" s="6">
        <v>17</v>
      </c>
      <c r="B21" s="276">
        <v>31.1</v>
      </c>
      <c r="C21" s="277" t="s">
        <v>48</v>
      </c>
      <c r="D21" s="278">
        <v>208273</v>
      </c>
      <c r="E21" s="279">
        <v>82.96</v>
      </c>
      <c r="F21" s="279">
        <v>53.4</v>
      </c>
      <c r="G21" s="279">
        <v>0</v>
      </c>
      <c r="H21" s="280">
        <v>150</v>
      </c>
      <c r="I21" s="6">
        <v>4364</v>
      </c>
      <c r="J21" s="292">
        <v>52800</v>
      </c>
      <c r="K21" s="288">
        <v>10800</v>
      </c>
      <c r="L21" s="289">
        <v>0</v>
      </c>
      <c r="M21" s="288">
        <v>2556</v>
      </c>
      <c r="N21" s="288">
        <v>912</v>
      </c>
      <c r="O21" s="290">
        <v>1.75</v>
      </c>
      <c r="P21" s="290">
        <v>0</v>
      </c>
      <c r="Q21" s="300">
        <v>5312</v>
      </c>
      <c r="R21" s="301">
        <f t="shared" si="0"/>
        <v>202961</v>
      </c>
      <c r="S21" s="302"/>
      <c r="T21" s="310" t="s">
        <v>66</v>
      </c>
      <c r="U21" s="319" t="s">
        <v>67</v>
      </c>
      <c r="V21" s="298">
        <f>V17+V19</f>
        <v>9.6</v>
      </c>
      <c r="W21" s="57" t="s">
        <v>68</v>
      </c>
      <c r="X21" s="306"/>
      <c r="Y21" s="296">
        <f t="shared" si="1"/>
        <v>0.260148501436237</v>
      </c>
      <c r="Z21" s="296">
        <f t="shared" si="2"/>
        <v>35315.2210017981</v>
      </c>
      <c r="AA21" s="296">
        <f t="shared" si="3"/>
        <v>0.174000034498244</v>
      </c>
      <c r="AC21" s="3">
        <f>AD21*(100-进出水!T23)/100</f>
        <v>29.72648</v>
      </c>
      <c r="AD21" s="333">
        <f t="shared" si="4"/>
        <v>136.36</v>
      </c>
      <c r="AE21" s="3">
        <v>120</v>
      </c>
      <c r="AF21" s="3">
        <f t="shared" si="5"/>
        <v>0.022136272485847</v>
      </c>
      <c r="AG21" s="3">
        <f t="shared" si="6"/>
        <v>4492.8</v>
      </c>
      <c r="AH21" s="3">
        <f t="shared" si="7"/>
        <v>0.0206936307960643</v>
      </c>
      <c r="AI21" s="3">
        <f t="shared" si="8"/>
        <v>4200</v>
      </c>
      <c r="AJ21" s="3">
        <f t="shared" si="9"/>
        <v>0</v>
      </c>
      <c r="AK21" s="3">
        <f t="shared" si="10"/>
        <v>0</v>
      </c>
      <c r="AL21" s="3">
        <f t="shared" si="11"/>
        <v>0.00589378254935677</v>
      </c>
      <c r="AM21" s="3">
        <f t="shared" si="12"/>
        <v>1196.208</v>
      </c>
      <c r="AN21" s="3">
        <f t="shared" si="13"/>
        <v>0.0226920442843699</v>
      </c>
      <c r="AO21" s="3">
        <f t="shared" si="14"/>
        <v>4605.6</v>
      </c>
      <c r="AP21" s="3">
        <f t="shared" si="15"/>
        <v>0.071415730115638</v>
      </c>
      <c r="AQ21" s="3">
        <f t="shared" si="16"/>
        <v>14494.608</v>
      </c>
      <c r="AS21" s="3">
        <f>AD21*(100-进出水!T23)/100</f>
        <v>29.72648</v>
      </c>
      <c r="AT21" s="3">
        <f t="shared" si="17"/>
        <v>5.04600611979622</v>
      </c>
    </row>
    <row r="22" ht="18.6" customHeight="1" spans="1:46">
      <c r="A22" s="6">
        <v>18</v>
      </c>
      <c r="B22" s="276">
        <v>31.1</v>
      </c>
      <c r="C22" s="277" t="s">
        <v>48</v>
      </c>
      <c r="D22" s="278">
        <v>212838</v>
      </c>
      <c r="E22" s="279">
        <v>122.48</v>
      </c>
      <c r="F22" s="279">
        <v>34.76</v>
      </c>
      <c r="G22" s="279">
        <v>0</v>
      </c>
      <c r="H22" s="280">
        <v>150</v>
      </c>
      <c r="I22" s="6">
        <v>4136</v>
      </c>
      <c r="J22" s="64">
        <v>48200</v>
      </c>
      <c r="K22" s="288">
        <v>0</v>
      </c>
      <c r="L22" s="289">
        <v>0.2</v>
      </c>
      <c r="M22" s="288">
        <v>2485</v>
      </c>
      <c r="N22" s="288">
        <v>864</v>
      </c>
      <c r="O22" s="290">
        <v>1.80000000000018</v>
      </c>
      <c r="P22" s="290">
        <v>0</v>
      </c>
      <c r="Q22" s="300">
        <v>5304</v>
      </c>
      <c r="R22" s="301">
        <f t="shared" si="0"/>
        <v>207534</v>
      </c>
      <c r="S22" s="302"/>
      <c r="T22" s="316">
        <f>T18+T20</f>
        <v>32425.53</v>
      </c>
      <c r="U22" s="319"/>
      <c r="V22" s="57"/>
      <c r="W22" s="320">
        <f>T16-E37-F37-G37</f>
        <v>0</v>
      </c>
      <c r="X22" s="306"/>
      <c r="Y22" s="296">
        <f t="shared" si="1"/>
        <v>0.23225110102441</v>
      </c>
      <c r="Z22" s="296">
        <f t="shared" si="2"/>
        <v>32238.5161417929</v>
      </c>
      <c r="AA22" s="296">
        <f t="shared" si="3"/>
        <v>0.155340889405075</v>
      </c>
      <c r="AC22" s="3">
        <f>AD22*(100-进出水!T24)/100</f>
        <v>33.64936</v>
      </c>
      <c r="AD22" s="333">
        <f t="shared" si="4"/>
        <v>157.24</v>
      </c>
      <c r="AE22" s="3">
        <v>120</v>
      </c>
      <c r="AF22" s="3">
        <f t="shared" si="5"/>
        <v>0</v>
      </c>
      <c r="AG22" s="3">
        <f t="shared" si="6"/>
        <v>0</v>
      </c>
      <c r="AH22" s="3">
        <f t="shared" si="7"/>
        <v>0.0202376478071063</v>
      </c>
      <c r="AI22" s="3">
        <f t="shared" si="8"/>
        <v>4200</v>
      </c>
      <c r="AJ22" s="3">
        <f t="shared" si="9"/>
        <v>1.00224541520907e-5</v>
      </c>
      <c r="AK22" s="3">
        <f t="shared" si="10"/>
        <v>2.08</v>
      </c>
      <c r="AL22" s="3">
        <f t="shared" si="11"/>
        <v>0.00560380467778774</v>
      </c>
      <c r="AM22" s="3">
        <f t="shared" si="12"/>
        <v>1162.98</v>
      </c>
      <c r="AN22" s="3">
        <f t="shared" si="13"/>
        <v>0.0210240249790396</v>
      </c>
      <c r="AO22" s="3">
        <f t="shared" si="14"/>
        <v>4363.2</v>
      </c>
      <c r="AP22" s="3">
        <f t="shared" si="15"/>
        <v>0.0468754999180857</v>
      </c>
      <c r="AQ22" s="3">
        <f t="shared" si="16"/>
        <v>9728.26</v>
      </c>
      <c r="AS22" s="3">
        <f>AD22*(100-进出水!T24)/100</f>
        <v>33.64936</v>
      </c>
      <c r="AT22" s="3">
        <f t="shared" si="17"/>
        <v>4.45773708623284</v>
      </c>
    </row>
    <row r="23" ht="18.6" customHeight="1" spans="1:46">
      <c r="A23" s="6">
        <v>19</v>
      </c>
      <c r="B23" s="276">
        <v>30.5</v>
      </c>
      <c r="C23" s="277" t="s">
        <v>48</v>
      </c>
      <c r="D23" s="278">
        <v>215360</v>
      </c>
      <c r="E23" s="279">
        <v>79.22</v>
      </c>
      <c r="F23" s="279">
        <v>49.8</v>
      </c>
      <c r="G23" s="279">
        <v>0</v>
      </c>
      <c r="H23" s="280">
        <v>150</v>
      </c>
      <c r="I23" s="6">
        <v>3824</v>
      </c>
      <c r="J23" s="64">
        <v>51000</v>
      </c>
      <c r="K23" s="288">
        <v>0</v>
      </c>
      <c r="L23" s="289">
        <v>0.2</v>
      </c>
      <c r="M23" s="288">
        <v>1988</v>
      </c>
      <c r="N23" s="288">
        <v>720</v>
      </c>
      <c r="O23" s="290">
        <v>1.84999999999991</v>
      </c>
      <c r="P23" s="290">
        <v>0</v>
      </c>
      <c r="Q23" s="300">
        <v>5320</v>
      </c>
      <c r="R23" s="301">
        <f t="shared" si="0"/>
        <v>210040</v>
      </c>
      <c r="S23" s="302"/>
      <c r="T23" s="303"/>
      <c r="U23" s="321"/>
      <c r="V23" s="57"/>
      <c r="W23" s="57"/>
      <c r="X23" s="57"/>
      <c r="Y23" s="296">
        <f t="shared" si="1"/>
        <v>0.242810893163207</v>
      </c>
      <c r="Z23" s="296">
        <f t="shared" si="2"/>
        <v>34111.2930131004</v>
      </c>
      <c r="AA23" s="296">
        <f t="shared" si="3"/>
        <v>0.162403794577701</v>
      </c>
      <c r="AC23" s="3">
        <f>AD23*(100-进出水!T25)/100</f>
        <v>27.86832</v>
      </c>
      <c r="AD23" s="333">
        <f t="shared" si="4"/>
        <v>129.02</v>
      </c>
      <c r="AE23" s="3">
        <v>120</v>
      </c>
      <c r="AF23" s="3">
        <f t="shared" si="5"/>
        <v>0</v>
      </c>
      <c r="AG23" s="3">
        <f t="shared" si="6"/>
        <v>0</v>
      </c>
      <c r="AH23" s="3">
        <f t="shared" si="7"/>
        <v>0.0199961912016759</v>
      </c>
      <c r="AI23" s="3">
        <f t="shared" si="8"/>
        <v>4200</v>
      </c>
      <c r="AJ23" s="3">
        <f t="shared" si="9"/>
        <v>9.90287564273472e-6</v>
      </c>
      <c r="AK23" s="3">
        <f t="shared" si="10"/>
        <v>2.08</v>
      </c>
      <c r="AL23" s="3">
        <f t="shared" si="11"/>
        <v>0.00442955627499524</v>
      </c>
      <c r="AM23" s="3">
        <f t="shared" si="12"/>
        <v>930.384</v>
      </c>
      <c r="AN23" s="3">
        <f t="shared" si="13"/>
        <v>0.0173109883831651</v>
      </c>
      <c r="AO23" s="3">
        <f t="shared" si="14"/>
        <v>3636</v>
      </c>
      <c r="AP23" s="3">
        <f t="shared" si="15"/>
        <v>0.041746638735479</v>
      </c>
      <c r="AQ23" s="3">
        <f t="shared" si="16"/>
        <v>8768.46400000001</v>
      </c>
      <c r="AS23" s="3">
        <f>AD23*(100-进出水!T25)/100</f>
        <v>27.86832</v>
      </c>
      <c r="AT23" s="3">
        <f t="shared" si="17"/>
        <v>5.38245577774333</v>
      </c>
    </row>
    <row r="24" ht="18.6" customHeight="1" spans="1:46">
      <c r="A24" s="6">
        <v>20</v>
      </c>
      <c r="B24" s="276">
        <v>30.9</v>
      </c>
      <c r="C24" s="277" t="s">
        <v>48</v>
      </c>
      <c r="D24" s="278">
        <v>213868</v>
      </c>
      <c r="E24" s="279">
        <v>98.42</v>
      </c>
      <c r="F24" s="279">
        <v>32</v>
      </c>
      <c r="G24" s="279">
        <v>0</v>
      </c>
      <c r="H24" s="280">
        <v>150</v>
      </c>
      <c r="I24" s="6">
        <v>3986</v>
      </c>
      <c r="J24" s="64">
        <v>51500</v>
      </c>
      <c r="K24" s="288">
        <v>0</v>
      </c>
      <c r="L24" s="289">
        <v>0.2</v>
      </c>
      <c r="M24" s="288">
        <v>4118</v>
      </c>
      <c r="N24" s="288">
        <v>1440</v>
      </c>
      <c r="O24" s="290">
        <v>1.80000000000018</v>
      </c>
      <c r="P24" s="290">
        <v>0</v>
      </c>
      <c r="Q24" s="300">
        <v>5312</v>
      </c>
      <c r="R24" s="301">
        <f t="shared" si="0"/>
        <v>208556</v>
      </c>
      <c r="S24" s="302"/>
      <c r="T24" s="303" t="s">
        <v>69</v>
      </c>
      <c r="U24" s="321" t="s">
        <v>70</v>
      </c>
      <c r="V24" s="322">
        <f>H37</f>
        <v>3075</v>
      </c>
      <c r="W24" s="57">
        <f>L37</f>
        <v>4.8</v>
      </c>
      <c r="X24" s="57"/>
      <c r="Y24" s="296">
        <f t="shared" si="1"/>
        <v>0.246936074723336</v>
      </c>
      <c r="Z24" s="296">
        <f t="shared" si="2"/>
        <v>34445.7174544053</v>
      </c>
      <c r="AA24" s="296">
        <f t="shared" si="3"/>
        <v>0.165162917654756</v>
      </c>
      <c r="AC24" s="3">
        <f>AD24*(100-进出水!T26)/100</f>
        <v>27.64904</v>
      </c>
      <c r="AD24" s="333">
        <f t="shared" si="4"/>
        <v>130.42</v>
      </c>
      <c r="AE24" s="3">
        <v>120</v>
      </c>
      <c r="AF24" s="3">
        <f t="shared" si="5"/>
        <v>0</v>
      </c>
      <c r="AG24" s="3">
        <f t="shared" si="6"/>
        <v>0</v>
      </c>
      <c r="AH24" s="3">
        <f t="shared" si="7"/>
        <v>0.0201384759968546</v>
      </c>
      <c r="AI24" s="3">
        <f t="shared" si="8"/>
        <v>4200</v>
      </c>
      <c r="AJ24" s="3">
        <f t="shared" si="9"/>
        <v>9.97334049368036e-6</v>
      </c>
      <c r="AK24" s="3">
        <f t="shared" si="10"/>
        <v>2.08</v>
      </c>
      <c r="AL24" s="3">
        <f t="shared" si="11"/>
        <v>0.00924079863441953</v>
      </c>
      <c r="AM24" s="3">
        <f t="shared" si="12"/>
        <v>1927.224</v>
      </c>
      <c r="AN24" s="3">
        <f t="shared" si="13"/>
        <v>0.0348683327259825</v>
      </c>
      <c r="AO24" s="3">
        <f t="shared" si="14"/>
        <v>7272</v>
      </c>
      <c r="AP24" s="3">
        <f t="shared" si="15"/>
        <v>0.0642575806977503</v>
      </c>
      <c r="AQ24" s="3">
        <f t="shared" si="16"/>
        <v>13401.304</v>
      </c>
      <c r="AS24" s="3">
        <f>AD24*(100-进出水!T26)/100</f>
        <v>27.64904</v>
      </c>
      <c r="AT24" s="3">
        <f t="shared" si="17"/>
        <v>5.42514315144396</v>
      </c>
    </row>
    <row r="25" ht="18.6" customHeight="1" spans="1:46">
      <c r="A25" s="6">
        <v>21</v>
      </c>
      <c r="B25" s="276">
        <v>31.2</v>
      </c>
      <c r="C25" s="277" t="s">
        <v>48</v>
      </c>
      <c r="D25" s="278">
        <v>209817</v>
      </c>
      <c r="E25" s="279">
        <v>112.16</v>
      </c>
      <c r="F25" s="279">
        <v>16.02</v>
      </c>
      <c r="G25" s="279">
        <v>0</v>
      </c>
      <c r="H25" s="280">
        <v>150</v>
      </c>
      <c r="I25" s="6">
        <v>4368</v>
      </c>
      <c r="J25" s="292">
        <v>50700</v>
      </c>
      <c r="K25" s="288">
        <v>0</v>
      </c>
      <c r="L25" s="289">
        <v>0</v>
      </c>
      <c r="M25" s="288">
        <v>4473</v>
      </c>
      <c r="N25" s="288">
        <v>1488</v>
      </c>
      <c r="O25" s="290">
        <v>1.79999999999995</v>
      </c>
      <c r="P25" s="290">
        <v>0</v>
      </c>
      <c r="Q25" s="300">
        <v>3648</v>
      </c>
      <c r="R25" s="301">
        <f t="shared" si="0"/>
        <v>206169</v>
      </c>
      <c r="S25" s="302"/>
      <c r="T25" s="303"/>
      <c r="U25" s="321" t="s">
        <v>71</v>
      </c>
      <c r="V25" s="297">
        <f>汇总!F6</f>
        <v>4.19824314378427</v>
      </c>
      <c r="W25" s="297">
        <f>W24/R37*1000</f>
        <v>0.000799117640938131</v>
      </c>
      <c r="X25" s="57"/>
      <c r="Y25" s="296">
        <f t="shared" si="1"/>
        <v>0.245914759250906</v>
      </c>
      <c r="Z25" s="296">
        <f t="shared" si="2"/>
        <v>33910.6383483175</v>
      </c>
      <c r="AA25" s="296">
        <f t="shared" si="3"/>
        <v>0.164479811942229</v>
      </c>
      <c r="AC25" s="3">
        <f>AD25*(100-进出水!T27)/100</f>
        <v>27.30234</v>
      </c>
      <c r="AD25" s="333">
        <f t="shared" si="4"/>
        <v>128.18</v>
      </c>
      <c r="AE25" s="3">
        <v>120</v>
      </c>
      <c r="AF25" s="3">
        <f t="shared" si="5"/>
        <v>0</v>
      </c>
      <c r="AG25" s="3">
        <f t="shared" si="6"/>
        <v>0</v>
      </c>
      <c r="AH25" s="3">
        <f t="shared" si="7"/>
        <v>0.0203716368610218</v>
      </c>
      <c r="AI25" s="3">
        <f t="shared" si="8"/>
        <v>4200</v>
      </c>
      <c r="AJ25" s="3">
        <f t="shared" si="9"/>
        <v>0</v>
      </c>
      <c r="AK25" s="3">
        <f t="shared" si="10"/>
        <v>0</v>
      </c>
      <c r="AL25" s="3">
        <f t="shared" si="11"/>
        <v>0.0101536312442705</v>
      </c>
      <c r="AM25" s="3">
        <f t="shared" si="12"/>
        <v>2093.364</v>
      </c>
      <c r="AN25" s="3">
        <f t="shared" si="13"/>
        <v>0.0364477685782053</v>
      </c>
      <c r="AO25" s="3">
        <f t="shared" si="14"/>
        <v>7514.4</v>
      </c>
      <c r="AP25" s="3">
        <f t="shared" si="15"/>
        <v>0.0669730366834976</v>
      </c>
      <c r="AQ25" s="3">
        <f t="shared" si="16"/>
        <v>13807.764</v>
      </c>
      <c r="AS25" s="3">
        <f>AD25*(100-进出水!T27)/100</f>
        <v>27.30234</v>
      </c>
      <c r="AT25" s="3">
        <f t="shared" si="17"/>
        <v>5.49403457725602</v>
      </c>
    </row>
    <row r="26" ht="18.6" customHeight="1" spans="1:46">
      <c r="A26" s="6">
        <v>22</v>
      </c>
      <c r="B26" s="276">
        <v>30.6</v>
      </c>
      <c r="C26" s="277" t="s">
        <v>64</v>
      </c>
      <c r="D26" s="278">
        <v>208774</v>
      </c>
      <c r="E26" s="279">
        <v>99.98</v>
      </c>
      <c r="F26" s="279">
        <v>66.62</v>
      </c>
      <c r="G26" s="279">
        <v>0</v>
      </c>
      <c r="H26" s="280">
        <v>150</v>
      </c>
      <c r="I26" s="6">
        <v>3986</v>
      </c>
      <c r="J26" s="64">
        <v>50600</v>
      </c>
      <c r="K26" s="288">
        <v>0</v>
      </c>
      <c r="L26" s="289">
        <v>0.2</v>
      </c>
      <c r="M26" s="288">
        <v>2982</v>
      </c>
      <c r="N26" s="288">
        <v>960</v>
      </c>
      <c r="O26" s="290">
        <v>1.85000000000036</v>
      </c>
      <c r="P26" s="290">
        <v>0</v>
      </c>
      <c r="Q26" s="300">
        <v>1568</v>
      </c>
      <c r="R26" s="301">
        <f t="shared" si="0"/>
        <v>207206</v>
      </c>
      <c r="S26" s="302"/>
      <c r="T26" s="303" t="s">
        <v>9</v>
      </c>
      <c r="U26" s="321" t="s">
        <v>70</v>
      </c>
      <c r="V26" s="322">
        <f>K37</f>
        <v>237600</v>
      </c>
      <c r="W26" s="57"/>
      <c r="X26" s="57"/>
      <c r="Y26" s="296">
        <f t="shared" si="1"/>
        <v>0.244201422738724</v>
      </c>
      <c r="Z26" s="296">
        <f t="shared" si="2"/>
        <v>33843.7534600565</v>
      </c>
      <c r="AA26" s="296">
        <f t="shared" si="3"/>
        <v>0.163333848730522</v>
      </c>
      <c r="AC26" s="3">
        <f>AD26*(100-进出水!T28)/100</f>
        <v>35.819</v>
      </c>
      <c r="AD26" s="333">
        <f t="shared" si="4"/>
        <v>166.6</v>
      </c>
      <c r="AE26" s="3">
        <v>120</v>
      </c>
      <c r="AF26" s="3">
        <f t="shared" si="5"/>
        <v>0</v>
      </c>
      <c r="AG26" s="3">
        <f t="shared" si="6"/>
        <v>0</v>
      </c>
      <c r="AH26" s="3">
        <f t="shared" si="7"/>
        <v>0.0202696833103289</v>
      </c>
      <c r="AI26" s="3">
        <f t="shared" si="8"/>
        <v>4200</v>
      </c>
      <c r="AJ26" s="3">
        <f t="shared" si="9"/>
        <v>1.00383193536867e-5</v>
      </c>
      <c r="AK26" s="3">
        <f t="shared" si="10"/>
        <v>2.08</v>
      </c>
      <c r="AL26" s="3">
        <f t="shared" si="11"/>
        <v>0.00673521037035607</v>
      </c>
      <c r="AM26" s="3">
        <f t="shared" si="12"/>
        <v>1395.576</v>
      </c>
      <c r="AN26" s="3">
        <f t="shared" si="13"/>
        <v>0.0233970058782082</v>
      </c>
      <c r="AO26" s="3">
        <f t="shared" si="14"/>
        <v>4848</v>
      </c>
      <c r="AP26" s="3">
        <f t="shared" si="15"/>
        <v>0.0504119378782468</v>
      </c>
      <c r="AQ26" s="3">
        <f t="shared" si="16"/>
        <v>10445.656</v>
      </c>
      <c r="AS26" s="3">
        <f>AD26*(100-进出水!T28)/100</f>
        <v>35.819</v>
      </c>
      <c r="AT26" s="3">
        <f t="shared" si="17"/>
        <v>4.18772160026801</v>
      </c>
    </row>
    <row r="27" ht="18.6" customHeight="1" spans="1:46">
      <c r="A27" s="6">
        <v>23</v>
      </c>
      <c r="B27" s="276">
        <v>30.5</v>
      </c>
      <c r="C27" s="277" t="s">
        <v>48</v>
      </c>
      <c r="D27" s="278">
        <v>212141</v>
      </c>
      <c r="E27" s="279">
        <v>66.26</v>
      </c>
      <c r="F27" s="279">
        <v>52.3</v>
      </c>
      <c r="G27" s="279">
        <v>30</v>
      </c>
      <c r="H27" s="280">
        <v>150</v>
      </c>
      <c r="I27" s="6">
        <v>3144</v>
      </c>
      <c r="J27" s="64">
        <v>50600</v>
      </c>
      <c r="K27" s="288">
        <v>0</v>
      </c>
      <c r="L27" s="289">
        <v>0.2</v>
      </c>
      <c r="M27" s="288">
        <v>3905</v>
      </c>
      <c r="N27" s="288">
        <v>1200</v>
      </c>
      <c r="O27" s="290">
        <v>1.79999999999995</v>
      </c>
      <c r="P27" s="290">
        <v>0</v>
      </c>
      <c r="Q27" s="300">
        <v>5376</v>
      </c>
      <c r="R27" s="301">
        <f t="shared" si="0"/>
        <v>206765</v>
      </c>
      <c r="S27" s="302"/>
      <c r="T27" s="303"/>
      <c r="U27" s="321" t="s">
        <v>72</v>
      </c>
      <c r="V27" s="320">
        <f>ROUND(K37/R37*1000,1)</f>
        <v>39.6</v>
      </c>
      <c r="W27" s="57"/>
      <c r="X27" s="57"/>
      <c r="Y27" s="296">
        <f t="shared" si="1"/>
        <v>0.24472226924286</v>
      </c>
      <c r="Z27" s="296">
        <f t="shared" si="2"/>
        <v>33843.7534600565</v>
      </c>
      <c r="AA27" s="296">
        <f t="shared" si="3"/>
        <v>0.163682216332825</v>
      </c>
      <c r="AC27" s="3">
        <f>AD27*(100-进出水!T29)/100</f>
        <v>31.79184</v>
      </c>
      <c r="AD27" s="333">
        <f t="shared" si="4"/>
        <v>148.56</v>
      </c>
      <c r="AE27" s="3">
        <v>120</v>
      </c>
      <c r="AF27" s="3">
        <f t="shared" si="5"/>
        <v>0</v>
      </c>
      <c r="AG27" s="3">
        <f t="shared" si="6"/>
        <v>0</v>
      </c>
      <c r="AH27" s="3">
        <f t="shared" si="7"/>
        <v>0.020312915628854</v>
      </c>
      <c r="AI27" s="3">
        <f t="shared" si="8"/>
        <v>4200</v>
      </c>
      <c r="AJ27" s="3">
        <f t="shared" si="9"/>
        <v>1.00597296447658e-5</v>
      </c>
      <c r="AK27" s="3">
        <f t="shared" si="10"/>
        <v>2.08</v>
      </c>
      <c r="AL27" s="3">
        <f t="shared" si="11"/>
        <v>0.00883872995913235</v>
      </c>
      <c r="AM27" s="3">
        <f t="shared" si="12"/>
        <v>1827.54</v>
      </c>
      <c r="AN27" s="3">
        <f t="shared" si="13"/>
        <v>0.0293086354073465</v>
      </c>
      <c r="AO27" s="3">
        <f t="shared" si="14"/>
        <v>6060</v>
      </c>
      <c r="AP27" s="3">
        <f t="shared" si="15"/>
        <v>0.0584703407249776</v>
      </c>
      <c r="AQ27" s="3">
        <f t="shared" si="16"/>
        <v>12089.62</v>
      </c>
      <c r="AS27" s="3">
        <f>AD27*(100-进出水!T29)/100</f>
        <v>31.79184</v>
      </c>
      <c r="AT27" s="3">
        <f t="shared" si="17"/>
        <v>4.71819183790557</v>
      </c>
    </row>
    <row r="28" ht="18.6" customHeight="1" spans="1:46">
      <c r="A28" s="6">
        <v>24</v>
      </c>
      <c r="B28" s="276">
        <v>30.3</v>
      </c>
      <c r="C28" s="277" t="s">
        <v>48</v>
      </c>
      <c r="D28" s="278">
        <v>211128</v>
      </c>
      <c r="E28" s="279">
        <v>115.98</v>
      </c>
      <c r="F28" s="279">
        <v>51.52</v>
      </c>
      <c r="G28" s="279">
        <v>0</v>
      </c>
      <c r="H28" s="280">
        <v>100</v>
      </c>
      <c r="I28" s="6">
        <v>3674</v>
      </c>
      <c r="J28" s="64">
        <v>53500</v>
      </c>
      <c r="K28" s="288">
        <v>0</v>
      </c>
      <c r="L28" s="289">
        <v>0.2</v>
      </c>
      <c r="M28" s="288">
        <v>4260</v>
      </c>
      <c r="N28" s="288">
        <v>1392</v>
      </c>
      <c r="O28" s="290">
        <v>1.80000000000018</v>
      </c>
      <c r="P28" s="290">
        <v>0</v>
      </c>
      <c r="Q28" s="300">
        <v>5384</v>
      </c>
      <c r="R28" s="301">
        <f t="shared" si="0"/>
        <v>205744</v>
      </c>
      <c r="S28" s="302"/>
      <c r="T28" s="303" t="s">
        <v>11</v>
      </c>
      <c r="U28" s="321" t="s">
        <v>70</v>
      </c>
      <c r="V28" s="322">
        <f>M37</f>
        <v>106855</v>
      </c>
      <c r="W28" s="57"/>
      <c r="X28" s="57"/>
      <c r="Y28" s="296">
        <f t="shared" si="1"/>
        <v>0.260031884283381</v>
      </c>
      <c r="Z28" s="296">
        <f t="shared" si="2"/>
        <v>35783.4152196249</v>
      </c>
      <c r="AA28" s="296">
        <f t="shared" si="3"/>
        <v>0.173922035245863</v>
      </c>
      <c r="AC28" s="3">
        <f>AD28*(100-进出水!T30)/100</f>
        <v>35.3425</v>
      </c>
      <c r="AD28" s="333">
        <f t="shared" si="4"/>
        <v>167.5</v>
      </c>
      <c r="AE28" s="3">
        <v>120</v>
      </c>
      <c r="AF28" s="3">
        <f t="shared" si="5"/>
        <v>0</v>
      </c>
      <c r="AG28" s="3">
        <f t="shared" si="6"/>
        <v>0</v>
      </c>
      <c r="AH28" s="3">
        <f t="shared" si="7"/>
        <v>0.0136091453456723</v>
      </c>
      <c r="AI28" s="3">
        <f t="shared" si="8"/>
        <v>2800</v>
      </c>
      <c r="AJ28" s="3">
        <f t="shared" si="9"/>
        <v>1.01096508282137e-5</v>
      </c>
      <c r="AK28" s="3">
        <f t="shared" si="10"/>
        <v>2.08</v>
      </c>
      <c r="AL28" s="3">
        <f t="shared" si="11"/>
        <v>0.00969010031884283</v>
      </c>
      <c r="AM28" s="3">
        <f t="shared" si="12"/>
        <v>1993.68</v>
      </c>
      <c r="AN28" s="3">
        <f t="shared" si="13"/>
        <v>0.0341667314721207</v>
      </c>
      <c r="AO28" s="3">
        <f t="shared" si="14"/>
        <v>7029.6</v>
      </c>
      <c r="AP28" s="3">
        <f t="shared" si="15"/>
        <v>0.057476086787464</v>
      </c>
      <c r="AQ28" s="3">
        <f t="shared" si="16"/>
        <v>11825.36</v>
      </c>
      <c r="AS28" s="3">
        <f>AD28*(100-进出水!T30)/100</f>
        <v>35.3425</v>
      </c>
      <c r="AT28" s="3">
        <f t="shared" si="17"/>
        <v>2.82945462262149</v>
      </c>
    </row>
    <row r="29" ht="18.6" customHeight="1" spans="1:46">
      <c r="A29" s="6">
        <v>25</v>
      </c>
      <c r="B29" s="276">
        <v>30.5</v>
      </c>
      <c r="C29" s="277" t="s">
        <v>48</v>
      </c>
      <c r="D29" s="278">
        <v>208112</v>
      </c>
      <c r="E29" s="279">
        <v>88.26</v>
      </c>
      <c r="F29" s="279">
        <v>52.78</v>
      </c>
      <c r="G29" s="279">
        <v>0</v>
      </c>
      <c r="H29" s="280">
        <v>75</v>
      </c>
      <c r="I29" s="6">
        <v>3448</v>
      </c>
      <c r="J29" s="64">
        <v>52800</v>
      </c>
      <c r="K29" s="288">
        <v>0</v>
      </c>
      <c r="L29" s="289">
        <v>0</v>
      </c>
      <c r="M29" s="288">
        <v>2130</v>
      </c>
      <c r="N29" s="288">
        <v>768</v>
      </c>
      <c r="O29" s="290">
        <v>1.85000000000014</v>
      </c>
      <c r="P29" s="290">
        <v>0</v>
      </c>
      <c r="Q29" s="300">
        <v>5384</v>
      </c>
      <c r="R29" s="301">
        <f t="shared" si="0"/>
        <v>202728</v>
      </c>
      <c r="S29" s="302"/>
      <c r="T29" s="303"/>
      <c r="U29" s="321" t="s">
        <v>72</v>
      </c>
      <c r="V29" s="323">
        <f>ROUND(M37/R37*1000,1)</f>
        <v>17.8</v>
      </c>
      <c r="W29" s="57"/>
      <c r="X29" s="57"/>
      <c r="Y29" s="296">
        <f t="shared" si="1"/>
        <v>0.26044749615248</v>
      </c>
      <c r="Z29" s="296">
        <f t="shared" si="2"/>
        <v>35315.2210017981</v>
      </c>
      <c r="AA29" s="296">
        <f t="shared" si="3"/>
        <v>0.17420001678011</v>
      </c>
      <c r="AC29" s="3">
        <f>AD29*(100-进出水!T31)/100</f>
        <v>30.04152</v>
      </c>
      <c r="AD29" s="333">
        <f t="shared" si="4"/>
        <v>141.04</v>
      </c>
      <c r="AE29" s="3">
        <v>120</v>
      </c>
      <c r="AF29" s="3">
        <f t="shared" si="5"/>
        <v>0</v>
      </c>
      <c r="AG29" s="3">
        <f t="shared" si="6"/>
        <v>0</v>
      </c>
      <c r="AH29" s="3">
        <f t="shared" si="7"/>
        <v>0.0103587072333373</v>
      </c>
      <c r="AI29" s="3">
        <f t="shared" si="8"/>
        <v>2100</v>
      </c>
      <c r="AJ29" s="3">
        <f t="shared" si="9"/>
        <v>0</v>
      </c>
      <c r="AK29" s="3">
        <f t="shared" si="10"/>
        <v>0</v>
      </c>
      <c r="AL29" s="3">
        <f t="shared" si="11"/>
        <v>0.0049171303421333</v>
      </c>
      <c r="AM29" s="3">
        <f t="shared" si="12"/>
        <v>996.84</v>
      </c>
      <c r="AN29" s="3">
        <f t="shared" si="13"/>
        <v>0.0191310524446549</v>
      </c>
      <c r="AO29" s="3">
        <f t="shared" si="14"/>
        <v>3878.4</v>
      </c>
      <c r="AP29" s="3">
        <f t="shared" si="15"/>
        <v>0.0344068900201255</v>
      </c>
      <c r="AQ29" s="3">
        <f t="shared" si="16"/>
        <v>6975.24</v>
      </c>
      <c r="AS29" s="3">
        <f>AD29*(100-进出水!T31)/100</f>
        <v>30.04152</v>
      </c>
      <c r="AT29" s="3">
        <f t="shared" si="17"/>
        <v>2.49654478202168</v>
      </c>
    </row>
    <row r="30" ht="18.6" customHeight="1" spans="1:46">
      <c r="A30" s="6">
        <v>26</v>
      </c>
      <c r="B30" s="276">
        <v>31.1</v>
      </c>
      <c r="C30" s="277" t="s">
        <v>48</v>
      </c>
      <c r="D30" s="278">
        <v>188448</v>
      </c>
      <c r="E30" s="279">
        <v>16.62</v>
      </c>
      <c r="F30" s="279">
        <v>54.48</v>
      </c>
      <c r="G30" s="279">
        <v>0</v>
      </c>
      <c r="H30" s="280">
        <v>75</v>
      </c>
      <c r="I30" s="6">
        <v>3642</v>
      </c>
      <c r="J30" s="64">
        <v>48500</v>
      </c>
      <c r="K30" s="288">
        <v>1320</v>
      </c>
      <c r="L30" s="289">
        <v>0.2</v>
      </c>
      <c r="M30" s="288">
        <v>1988</v>
      </c>
      <c r="N30" s="288">
        <v>648</v>
      </c>
      <c r="O30" s="290">
        <v>1.75</v>
      </c>
      <c r="P30" s="290">
        <v>0</v>
      </c>
      <c r="Q30" s="300">
        <v>5376</v>
      </c>
      <c r="R30" s="301">
        <f t="shared" si="0"/>
        <v>183072</v>
      </c>
      <c r="S30" s="302"/>
      <c r="T30" s="303" t="s">
        <v>12</v>
      </c>
      <c r="U30" s="321" t="s">
        <v>70</v>
      </c>
      <c r="V30" s="322">
        <f>处理量!N37</f>
        <v>36000</v>
      </c>
      <c r="W30" s="57"/>
      <c r="X30" s="57"/>
      <c r="Y30" s="296">
        <f t="shared" si="1"/>
        <v>0.264923090368817</v>
      </c>
      <c r="Z30" s="296">
        <f t="shared" si="2"/>
        <v>32439.1708065759</v>
      </c>
      <c r="AA30" s="296">
        <f t="shared" si="3"/>
        <v>0.177193512970721</v>
      </c>
      <c r="AC30" s="3">
        <f>AD30*(100-进出水!T32)/100</f>
        <v>15.2865</v>
      </c>
      <c r="AD30" s="333">
        <f t="shared" si="4"/>
        <v>71.1</v>
      </c>
      <c r="AE30" s="3">
        <v>120</v>
      </c>
      <c r="AF30" s="3">
        <f t="shared" si="5"/>
        <v>0.00299947561615102</v>
      </c>
      <c r="AG30" s="3">
        <f t="shared" si="6"/>
        <v>549.12</v>
      </c>
      <c r="AH30" s="3">
        <f t="shared" si="7"/>
        <v>0.0114708966963818</v>
      </c>
      <c r="AI30" s="3">
        <f t="shared" si="8"/>
        <v>2100</v>
      </c>
      <c r="AJ30" s="3">
        <f t="shared" si="9"/>
        <v>1.13616500611781e-5</v>
      </c>
      <c r="AK30" s="3">
        <f t="shared" si="10"/>
        <v>2.08</v>
      </c>
      <c r="AL30" s="3">
        <f t="shared" si="11"/>
        <v>0.00508206607236497</v>
      </c>
      <c r="AM30" s="3">
        <f t="shared" si="12"/>
        <v>930.384</v>
      </c>
      <c r="AN30" s="3">
        <f t="shared" si="13"/>
        <v>0.0178749344520189</v>
      </c>
      <c r="AO30" s="3">
        <f t="shared" si="14"/>
        <v>3272.4</v>
      </c>
      <c r="AP30" s="3">
        <f t="shared" si="15"/>
        <v>0.0374387344869778</v>
      </c>
      <c r="AQ30" s="3">
        <f t="shared" si="16"/>
        <v>6853.98400000001</v>
      </c>
      <c r="AS30" s="3">
        <f>AD30*(100-进出水!T32)/100</f>
        <v>15.2865</v>
      </c>
      <c r="AT30" s="3">
        <f t="shared" si="17"/>
        <v>4.90628986360514</v>
      </c>
    </row>
    <row r="31" ht="18.6" customHeight="1" spans="1:46">
      <c r="A31" s="6">
        <v>27</v>
      </c>
      <c r="B31" s="276">
        <v>29.3</v>
      </c>
      <c r="C31" s="277" t="s">
        <v>64</v>
      </c>
      <c r="D31" s="278">
        <v>178494</v>
      </c>
      <c r="E31" s="279">
        <v>52.86</v>
      </c>
      <c r="F31" s="279">
        <v>32.36</v>
      </c>
      <c r="G31" s="279">
        <v>0</v>
      </c>
      <c r="H31" s="280">
        <v>75</v>
      </c>
      <c r="I31" s="6">
        <v>4114</v>
      </c>
      <c r="J31" s="64">
        <v>50600</v>
      </c>
      <c r="K31" s="288">
        <v>16680</v>
      </c>
      <c r="L31" s="289">
        <v>0.2</v>
      </c>
      <c r="M31" s="288">
        <v>4828</v>
      </c>
      <c r="N31" s="288">
        <v>1560</v>
      </c>
      <c r="O31" s="290">
        <v>1.80000000000018</v>
      </c>
      <c r="P31" s="290">
        <v>0</v>
      </c>
      <c r="Q31" s="300">
        <v>5376</v>
      </c>
      <c r="R31" s="301">
        <f t="shared" si="0"/>
        <v>173118</v>
      </c>
      <c r="S31" s="302"/>
      <c r="T31" s="303"/>
      <c r="U31" s="321" t="s">
        <v>72</v>
      </c>
      <c r="V31" s="320">
        <f>ROUND(N37/R37*1000,2)</f>
        <v>5.99</v>
      </c>
      <c r="W31" s="57"/>
      <c r="X31" s="57"/>
      <c r="Y31" s="296">
        <f t="shared" si="1"/>
        <v>0.292286186300674</v>
      </c>
      <c r="Z31" s="296">
        <f t="shared" si="2"/>
        <v>33843.7534600565</v>
      </c>
      <c r="AA31" s="296">
        <f t="shared" si="3"/>
        <v>0.195495289109489</v>
      </c>
      <c r="AC31" s="3">
        <f>AD31*(100-进出水!T33)/100</f>
        <v>18.49274</v>
      </c>
      <c r="AD31" s="333">
        <f t="shared" si="4"/>
        <v>85.22</v>
      </c>
      <c r="AE31" s="3">
        <v>120</v>
      </c>
      <c r="AF31" s="3">
        <f t="shared" si="5"/>
        <v>0.0400817939209094</v>
      </c>
      <c r="AG31" s="3">
        <f t="shared" si="6"/>
        <v>6938.88</v>
      </c>
      <c r="AH31" s="3">
        <f t="shared" si="7"/>
        <v>0.0121304543721623</v>
      </c>
      <c r="AI31" s="3">
        <f t="shared" si="8"/>
        <v>2100</v>
      </c>
      <c r="AJ31" s="3">
        <f t="shared" si="9"/>
        <v>1.20149262352846e-5</v>
      </c>
      <c r="AK31" s="3">
        <f t="shared" si="10"/>
        <v>2.08</v>
      </c>
      <c r="AL31" s="3">
        <f t="shared" si="11"/>
        <v>0.0130518143693897</v>
      </c>
      <c r="AM31" s="3">
        <f t="shared" si="12"/>
        <v>2259.504</v>
      </c>
      <c r="AN31" s="3">
        <f t="shared" si="13"/>
        <v>0.0455065331161404</v>
      </c>
      <c r="AO31" s="3">
        <f t="shared" si="14"/>
        <v>7878</v>
      </c>
      <c r="AP31" s="3">
        <f t="shared" si="15"/>
        <v>0.110782610704837</v>
      </c>
      <c r="AQ31" s="3">
        <f t="shared" si="16"/>
        <v>19178.464</v>
      </c>
      <c r="AS31" s="3">
        <f>AD31*(100-进出水!T33)/100</f>
        <v>18.49274</v>
      </c>
      <c r="AT31" s="3">
        <f t="shared" si="17"/>
        <v>4.05564562093016</v>
      </c>
    </row>
    <row r="32" ht="18.6" customHeight="1" spans="1:46">
      <c r="A32" s="6">
        <v>28</v>
      </c>
      <c r="B32" s="276">
        <v>30.6</v>
      </c>
      <c r="C32" s="277" t="s">
        <v>64</v>
      </c>
      <c r="D32" s="278">
        <v>204298</v>
      </c>
      <c r="E32" s="279">
        <v>53.14</v>
      </c>
      <c r="F32" s="279">
        <v>15.04</v>
      </c>
      <c r="G32" s="279">
        <v>0</v>
      </c>
      <c r="H32" s="280">
        <v>75</v>
      </c>
      <c r="I32" s="6">
        <v>4492</v>
      </c>
      <c r="J32" s="64">
        <v>49600</v>
      </c>
      <c r="K32" s="288">
        <v>11280</v>
      </c>
      <c r="L32" s="289">
        <v>0.2</v>
      </c>
      <c r="M32" s="288">
        <v>4118</v>
      </c>
      <c r="N32" s="288">
        <v>1416</v>
      </c>
      <c r="O32" s="290">
        <v>1.75000000000023</v>
      </c>
      <c r="P32" s="290">
        <v>0</v>
      </c>
      <c r="Q32" s="300">
        <v>5376</v>
      </c>
      <c r="R32" s="301">
        <f t="shared" si="0"/>
        <v>198922</v>
      </c>
      <c r="S32" s="302"/>
      <c r="T32" s="303" t="s">
        <v>73</v>
      </c>
      <c r="U32" s="321" t="s">
        <v>74</v>
      </c>
      <c r="V32" s="57">
        <f>O37</f>
        <v>51.4100000000013</v>
      </c>
      <c r="W32" s="57"/>
      <c r="X32" s="57"/>
      <c r="Y32" s="296">
        <f t="shared" si="1"/>
        <v>0.249343963965776</v>
      </c>
      <c r="Z32" s="296">
        <f t="shared" si="2"/>
        <v>33174.9045774467</v>
      </c>
      <c r="AA32" s="296">
        <f t="shared" si="3"/>
        <v>0.16677343168401</v>
      </c>
      <c r="AC32" s="3">
        <f>AD32*(100-进出水!T34)/100</f>
        <v>14.59052</v>
      </c>
      <c r="AD32" s="333">
        <f t="shared" si="4"/>
        <v>68.18</v>
      </c>
      <c r="AE32" s="3">
        <v>120</v>
      </c>
      <c r="AF32" s="3">
        <f t="shared" si="5"/>
        <v>0.0235895476618976</v>
      </c>
      <c r="AG32" s="3">
        <f t="shared" si="6"/>
        <v>4692.48</v>
      </c>
      <c r="AH32" s="3">
        <f t="shared" si="7"/>
        <v>0.0105569017001639</v>
      </c>
      <c r="AI32" s="3">
        <f t="shared" si="8"/>
        <v>2100</v>
      </c>
      <c r="AJ32" s="3">
        <f t="shared" si="9"/>
        <v>1.04563597792099e-5</v>
      </c>
      <c r="AK32" s="3">
        <f t="shared" si="10"/>
        <v>2.08</v>
      </c>
      <c r="AL32" s="3">
        <f t="shared" si="11"/>
        <v>0.00968834015342697</v>
      </c>
      <c r="AM32" s="3">
        <f t="shared" si="12"/>
        <v>1927.224</v>
      </c>
      <c r="AN32" s="3">
        <f t="shared" si="13"/>
        <v>0.0359477584178723</v>
      </c>
      <c r="AO32" s="3">
        <f t="shared" si="14"/>
        <v>7150.8</v>
      </c>
      <c r="AP32" s="3">
        <f t="shared" si="15"/>
        <v>0.07979300429314</v>
      </c>
      <c r="AQ32" s="3">
        <f t="shared" si="16"/>
        <v>15872.584</v>
      </c>
      <c r="AS32" s="3">
        <f>AD32*(100-进出水!T34)/100</f>
        <v>14.59052</v>
      </c>
      <c r="AT32" s="3">
        <f t="shared" si="17"/>
        <v>5.14032399119428</v>
      </c>
    </row>
    <row r="33" ht="18.6" customHeight="1" spans="1:46">
      <c r="A33" s="6">
        <v>29</v>
      </c>
      <c r="B33" s="276">
        <v>30.1</v>
      </c>
      <c r="C33" s="277" t="s">
        <v>64</v>
      </c>
      <c r="D33" s="278">
        <v>210620</v>
      </c>
      <c r="E33" s="279">
        <v>34.16</v>
      </c>
      <c r="F33" s="279">
        <v>50.12</v>
      </c>
      <c r="G33" s="279">
        <v>0</v>
      </c>
      <c r="H33" s="280">
        <v>75</v>
      </c>
      <c r="I33" s="6">
        <v>4586</v>
      </c>
      <c r="J33" s="64">
        <v>51000</v>
      </c>
      <c r="K33" s="288">
        <v>9120</v>
      </c>
      <c r="L33" s="289">
        <v>0.2</v>
      </c>
      <c r="M33" s="288">
        <v>4970</v>
      </c>
      <c r="N33" s="288">
        <v>1560</v>
      </c>
      <c r="O33" s="290">
        <v>1.79999999999995</v>
      </c>
      <c r="P33" s="290">
        <v>0</v>
      </c>
      <c r="Q33" s="300">
        <v>5384</v>
      </c>
      <c r="R33" s="301">
        <f t="shared" si="0"/>
        <v>205236</v>
      </c>
      <c r="S33" s="302"/>
      <c r="T33" s="303"/>
      <c r="U33" s="321" t="s">
        <v>72</v>
      </c>
      <c r="V33" s="320">
        <f>ROUND(V32/R37*1000000,2)</f>
        <v>8.56</v>
      </c>
      <c r="W33" s="57"/>
      <c r="X33" s="57"/>
      <c r="Y33" s="296">
        <f t="shared" si="1"/>
        <v>0.248494416184295</v>
      </c>
      <c r="Z33" s="296">
        <f t="shared" si="2"/>
        <v>34111.2930131004</v>
      </c>
      <c r="AA33" s="296">
        <f t="shared" si="3"/>
        <v>0.166205212599643</v>
      </c>
      <c r="AC33" s="3">
        <f>AD33*(100-进出水!T35)/100</f>
        <v>18.20448</v>
      </c>
      <c r="AD33" s="333">
        <f t="shared" si="4"/>
        <v>84.28</v>
      </c>
      <c r="AE33" s="3">
        <v>120</v>
      </c>
      <c r="AF33" s="3">
        <f t="shared" si="5"/>
        <v>0.0184856457931357</v>
      </c>
      <c r="AG33" s="3">
        <f t="shared" si="6"/>
        <v>3793.92</v>
      </c>
      <c r="AH33" s="3">
        <f t="shared" si="7"/>
        <v>0.0102321230193533</v>
      </c>
      <c r="AI33" s="3">
        <f t="shared" si="8"/>
        <v>2100</v>
      </c>
      <c r="AJ33" s="3">
        <f t="shared" si="9"/>
        <v>1.01346742286928e-5</v>
      </c>
      <c r="AK33" s="3">
        <f t="shared" si="10"/>
        <v>2.08</v>
      </c>
      <c r="AL33" s="3">
        <f t="shared" si="11"/>
        <v>0.0113330994562357</v>
      </c>
      <c r="AM33" s="3">
        <f t="shared" si="12"/>
        <v>2325.96</v>
      </c>
      <c r="AN33" s="3">
        <f t="shared" si="13"/>
        <v>0.0383850786411741</v>
      </c>
      <c r="AO33" s="3">
        <f t="shared" si="14"/>
        <v>7878</v>
      </c>
      <c r="AP33" s="3">
        <f t="shared" si="15"/>
        <v>0.0784460815841275</v>
      </c>
      <c r="AQ33" s="3">
        <f t="shared" si="16"/>
        <v>16099.96</v>
      </c>
      <c r="AS33" s="3">
        <f>AD33*(100-进出水!T35)/100</f>
        <v>18.20448</v>
      </c>
      <c r="AT33" s="3">
        <f t="shared" si="17"/>
        <v>4.11986500026367</v>
      </c>
    </row>
    <row r="34" ht="18.6" customHeight="1" spans="1:46">
      <c r="A34" s="6">
        <v>30</v>
      </c>
      <c r="B34" s="276">
        <v>29.4</v>
      </c>
      <c r="C34" s="277" t="s">
        <v>75</v>
      </c>
      <c r="D34" s="278">
        <v>212360</v>
      </c>
      <c r="E34" s="279">
        <v>34.62</v>
      </c>
      <c r="F34" s="279">
        <v>50.08</v>
      </c>
      <c r="G34" s="279">
        <v>0</v>
      </c>
      <c r="H34" s="280">
        <v>75</v>
      </c>
      <c r="I34" s="6">
        <v>3562</v>
      </c>
      <c r="J34" s="64">
        <v>49600</v>
      </c>
      <c r="K34" s="288">
        <v>9000</v>
      </c>
      <c r="L34" s="289">
        <v>0</v>
      </c>
      <c r="M34" s="288">
        <v>4260</v>
      </c>
      <c r="N34" s="288">
        <v>1392</v>
      </c>
      <c r="O34" s="290">
        <v>1.80000000000018</v>
      </c>
      <c r="P34" s="290">
        <v>0</v>
      </c>
      <c r="Q34" s="300">
        <v>5376</v>
      </c>
      <c r="R34" s="301">
        <f t="shared" si="0"/>
        <v>206984</v>
      </c>
      <c r="S34" s="302"/>
      <c r="T34" s="303"/>
      <c r="U34" s="321"/>
      <c r="V34" s="320"/>
      <c r="W34" s="57"/>
      <c r="X34" s="57"/>
      <c r="Y34" s="296">
        <f t="shared" si="1"/>
        <v>0.239632048854018</v>
      </c>
      <c r="Z34" s="296">
        <f t="shared" si="2"/>
        <v>33174.9045774467</v>
      </c>
      <c r="AA34" s="296">
        <f t="shared" si="3"/>
        <v>0.16027762811351</v>
      </c>
      <c r="AC34" s="3">
        <f>AD34*(100-进出水!T36)/100</f>
        <v>18.0411</v>
      </c>
      <c r="AD34" s="333">
        <f t="shared" si="4"/>
        <v>84.7</v>
      </c>
      <c r="AE34" s="3">
        <v>120</v>
      </c>
      <c r="AF34" s="3">
        <f t="shared" si="5"/>
        <v>0.0180883546554323</v>
      </c>
      <c r="AG34" s="3">
        <f t="shared" si="6"/>
        <v>3744</v>
      </c>
      <c r="AH34" s="3">
        <f t="shared" si="7"/>
        <v>0.0101457117458354</v>
      </c>
      <c r="AI34" s="3">
        <f t="shared" si="8"/>
        <v>2100</v>
      </c>
      <c r="AJ34" s="3">
        <f t="shared" si="9"/>
        <v>0</v>
      </c>
      <c r="AK34" s="3">
        <f t="shared" si="10"/>
        <v>0</v>
      </c>
      <c r="AL34" s="3">
        <f t="shared" si="11"/>
        <v>0.0096320488540177</v>
      </c>
      <c r="AM34" s="3">
        <f t="shared" si="12"/>
        <v>1993.68</v>
      </c>
      <c r="AN34" s="3">
        <f t="shared" si="13"/>
        <v>0.033962045375488</v>
      </c>
      <c r="AO34" s="3">
        <f t="shared" si="14"/>
        <v>7029.6</v>
      </c>
      <c r="AP34" s="3">
        <f t="shared" si="15"/>
        <v>0.0718281606307734</v>
      </c>
      <c r="AQ34" s="3">
        <f t="shared" si="16"/>
        <v>14867.28</v>
      </c>
      <c r="AS34" s="3">
        <f>AD34*(100-进出水!T36)/100</f>
        <v>18.0411</v>
      </c>
      <c r="AT34" s="3">
        <f t="shared" si="17"/>
        <v>4.15717445166869</v>
      </c>
    </row>
    <row r="35" ht="18.6" customHeight="1" spans="1:46">
      <c r="A35" s="6">
        <v>31</v>
      </c>
      <c r="B35" s="276">
        <v>28.7</v>
      </c>
      <c r="C35" s="277" t="s">
        <v>48</v>
      </c>
      <c r="D35" s="278">
        <v>209861</v>
      </c>
      <c r="E35" s="279">
        <v>49.38</v>
      </c>
      <c r="F35" s="279">
        <v>35.66</v>
      </c>
      <c r="G35" s="279">
        <v>0</v>
      </c>
      <c r="H35" s="280">
        <v>75</v>
      </c>
      <c r="I35" s="6">
        <v>3980</v>
      </c>
      <c r="J35" s="64">
        <v>46600</v>
      </c>
      <c r="K35" s="288">
        <v>9000</v>
      </c>
      <c r="L35" s="289">
        <v>0.2</v>
      </c>
      <c r="M35" s="288">
        <v>3550</v>
      </c>
      <c r="N35" s="288">
        <v>1152</v>
      </c>
      <c r="O35" s="290">
        <v>1.70000000000005</v>
      </c>
      <c r="P35" s="290">
        <v>0</v>
      </c>
      <c r="Q35" s="300">
        <v>5368</v>
      </c>
      <c r="R35" s="301">
        <f t="shared" si="0"/>
        <v>204493</v>
      </c>
      <c r="S35" s="302"/>
      <c r="T35" s="303"/>
      <c r="U35" s="321"/>
      <c r="V35" s="57"/>
      <c r="W35" s="57"/>
      <c r="X35" s="57"/>
      <c r="Y35" s="296">
        <f t="shared" si="1"/>
        <v>0.22788066095172</v>
      </c>
      <c r="Z35" s="296">
        <f t="shared" si="2"/>
        <v>31168.3579296172</v>
      </c>
      <c r="AA35" s="296">
        <f t="shared" si="3"/>
        <v>0.152417725445943</v>
      </c>
      <c r="AC35" s="3">
        <f>AD35*(100-进出水!T37)/100</f>
        <v>18.19856</v>
      </c>
      <c r="AD35" s="333">
        <f t="shared" si="4"/>
        <v>85.04</v>
      </c>
      <c r="AE35" s="3">
        <v>142</v>
      </c>
      <c r="AF35" s="3">
        <f t="shared" si="5"/>
        <v>0.0183086951631596</v>
      </c>
      <c r="AG35" s="3">
        <f t="shared" si="6"/>
        <v>3744</v>
      </c>
      <c r="AH35" s="3">
        <f t="shared" si="7"/>
        <v>0.010269300171644</v>
      </c>
      <c r="AI35" s="3">
        <f t="shared" si="8"/>
        <v>2100</v>
      </c>
      <c r="AJ35" s="3">
        <f t="shared" si="9"/>
        <v>1.01714973128665e-5</v>
      </c>
      <c r="AK35" s="3">
        <f t="shared" si="10"/>
        <v>2.08</v>
      </c>
      <c r="AL35" s="3">
        <f t="shared" si="11"/>
        <v>0.00812448347865208</v>
      </c>
      <c r="AM35" s="3">
        <f t="shared" si="12"/>
        <v>1661.4</v>
      </c>
      <c r="AN35" s="3">
        <f t="shared" si="13"/>
        <v>0.0284488955612173</v>
      </c>
      <c r="AO35" s="3">
        <f t="shared" si="14"/>
        <v>5817.6</v>
      </c>
      <c r="AP35" s="3">
        <f t="shared" si="15"/>
        <v>0.0651615458719858</v>
      </c>
      <c r="AQ35" s="3">
        <f t="shared" si="16"/>
        <v>13325.08</v>
      </c>
      <c r="AS35" s="3">
        <f>AD35*(100-进出水!T37)/100</f>
        <v>18.19856</v>
      </c>
      <c r="AT35" s="3">
        <f t="shared" si="17"/>
        <v>4.12120519425713</v>
      </c>
    </row>
    <row r="36" ht="19" customHeight="1" spans="1:20">
      <c r="A36" s="5" t="s">
        <v>76</v>
      </c>
      <c r="B36" s="61">
        <f>AVERAGE(B5:B35)</f>
        <v>30.2354838709677</v>
      </c>
      <c r="C36" s="8" t="s">
        <v>77</v>
      </c>
      <c r="D36" s="281">
        <f>AVERAGE(D5:D35)</f>
        <v>198963.387096774</v>
      </c>
      <c r="E36" s="282">
        <f>AVERAGE(E5:E35)</f>
        <v>36.2716129032258</v>
      </c>
      <c r="F36" s="282">
        <f>AVERAGE(F5:F35)</f>
        <v>72.6851612903226</v>
      </c>
      <c r="G36" s="282">
        <f>AVERAGE(G5:G35)</f>
        <v>1.45161290322581</v>
      </c>
      <c r="H36" s="281">
        <f t="shared" ref="H36:Q36" si="18">AVERAGE(H5:H35)</f>
        <v>99.1935483870968</v>
      </c>
      <c r="I36" s="281">
        <f t="shared" si="18"/>
        <v>4160.90322580645</v>
      </c>
      <c r="J36" s="281">
        <f t="shared" si="18"/>
        <v>50722.5806451613</v>
      </c>
      <c r="K36" s="281">
        <f t="shared" si="18"/>
        <v>7664.51612903226</v>
      </c>
      <c r="L36" s="281">
        <f t="shared" si="18"/>
        <v>0.154838709677419</v>
      </c>
      <c r="M36" s="281">
        <f t="shared" si="18"/>
        <v>3446.93548387097</v>
      </c>
      <c r="N36" s="281">
        <f t="shared" si="18"/>
        <v>1161.29032258065</v>
      </c>
      <c r="O36" s="293">
        <f t="shared" si="18"/>
        <v>1.65838709677424</v>
      </c>
      <c r="P36" s="282">
        <f t="shared" si="18"/>
        <v>0</v>
      </c>
      <c r="Q36" s="281">
        <f t="shared" si="18"/>
        <v>5201.29032258064</v>
      </c>
      <c r="R36" s="324">
        <f t="shared" si="0"/>
        <v>193762.096774193</v>
      </c>
      <c r="S36" s="325"/>
      <c r="T36" s="326"/>
    </row>
    <row r="37" ht="17" customHeight="1" spans="1:30">
      <c r="A37" s="5" t="s">
        <v>34</v>
      </c>
      <c r="B37" s="6" t="s">
        <v>77</v>
      </c>
      <c r="C37" s="6" t="s">
        <v>77</v>
      </c>
      <c r="D37" s="283">
        <f>SUM(D5:D35)</f>
        <v>6167865</v>
      </c>
      <c r="E37" s="284">
        <f>SUM(E5:E35)</f>
        <v>1124.42</v>
      </c>
      <c r="F37" s="284">
        <f>SUM(F5:F35)</f>
        <v>2253.24</v>
      </c>
      <c r="G37" s="284">
        <f>SUM(G5:G35)</f>
        <v>45</v>
      </c>
      <c r="H37" s="283">
        <f>SUM(H5:H35)</f>
        <v>3075</v>
      </c>
      <c r="I37" s="6" t="s">
        <v>77</v>
      </c>
      <c r="J37" s="281">
        <f t="shared" ref="J37:R37" si="19">SUM(J5:J35)</f>
        <v>1572400</v>
      </c>
      <c r="K37" s="281">
        <f t="shared" si="19"/>
        <v>237600</v>
      </c>
      <c r="L37" s="294">
        <f t="shared" si="19"/>
        <v>4.8</v>
      </c>
      <c r="M37" s="281">
        <f t="shared" si="19"/>
        <v>106855</v>
      </c>
      <c r="N37" s="281">
        <f t="shared" si="19"/>
        <v>36000</v>
      </c>
      <c r="O37" s="282">
        <f t="shared" si="19"/>
        <v>51.4100000000013</v>
      </c>
      <c r="P37" s="282">
        <f t="shared" si="19"/>
        <v>0</v>
      </c>
      <c r="Q37" s="281">
        <f t="shared" si="19"/>
        <v>161240</v>
      </c>
      <c r="R37" s="281">
        <f t="shared" si="19"/>
        <v>6006625</v>
      </c>
      <c r="S37" s="327"/>
      <c r="T37" s="328"/>
      <c r="AD37" s="3">
        <f>SUM(AD5:AD36)</f>
        <v>3422.66</v>
      </c>
    </row>
    <row r="38" ht="18.6" customHeight="1" spans="1:18">
      <c r="A38" s="285" t="s">
        <v>78</v>
      </c>
      <c r="B38" s="285"/>
      <c r="C38" s="285"/>
      <c r="D38" s="285"/>
      <c r="E38" s="286"/>
      <c r="F38" s="286"/>
      <c r="I38" s="295" t="s">
        <v>79</v>
      </c>
      <c r="Q38" s="329" t="s">
        <v>80</v>
      </c>
      <c r="R38" s="330">
        <v>45173</v>
      </c>
    </row>
    <row r="39" ht="18.6" customHeight="1" spans="13:13">
      <c r="M39" s="266">
        <f>M37*0.31</f>
        <v>33125.05</v>
      </c>
    </row>
    <row r="40" spans="7:30">
      <c r="G40" s="266"/>
      <c r="H40" s="266"/>
      <c r="Q40" s="266" t="s">
        <v>81</v>
      </c>
      <c r="R40" s="266">
        <f>MAX(R5:R35)</f>
        <v>210040</v>
      </c>
      <c r="AD40" s="3">
        <f>(100-进出水!T38)*AD37/100</f>
        <v>732.44924</v>
      </c>
    </row>
    <row r="41" spans="7:18">
      <c r="G41" s="266"/>
      <c r="H41" s="266"/>
      <c r="O41" s="266">
        <f>O37*1000</f>
        <v>51410.0000000013</v>
      </c>
      <c r="Q41" s="266" t="s">
        <v>82</v>
      </c>
      <c r="R41" s="266">
        <f>MIN(R5:R35)</f>
        <v>148662</v>
      </c>
    </row>
    <row r="42" spans="12:12">
      <c r="L42" s="266">
        <f>L37*1000/R37</f>
        <v>0.000799117640938131</v>
      </c>
    </row>
    <row r="43" spans="18:18">
      <c r="R43" s="266">
        <f>O37*1000</f>
        <v>51410.0000000013</v>
      </c>
    </row>
    <row r="44" spans="18:18">
      <c r="R44" s="266">
        <f>L37/R37*1000</f>
        <v>0.000799117640938131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1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O22" sqref="O22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8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15" width="9" style="27"/>
    <col min="16" max="16" width="9.25" style="27"/>
    <col min="17" max="29" width="9" style="27"/>
    <col min="30" max="16384" width="8.75" style="27"/>
  </cols>
  <sheetData>
    <row r="1" ht="18.75" spans="1:13">
      <c r="A1" s="211" t="s">
        <v>83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</row>
    <row r="2" s="190" customFormat="1" ht="20.1" customHeight="1" spans="1:13">
      <c r="A2" s="212">
        <f>处理量!A2</f>
        <v>45139</v>
      </c>
      <c r="B2" s="212"/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</row>
    <row r="3" s="190" customFormat="1" ht="24" customHeight="1" spans="1:22">
      <c r="A3" s="213" t="s">
        <v>84</v>
      </c>
      <c r="B3" s="214" t="s">
        <v>85</v>
      </c>
      <c r="C3" s="215">
        <f>处理量!R37</f>
        <v>6006625</v>
      </c>
      <c r="D3" s="216" t="s">
        <v>86</v>
      </c>
      <c r="E3" s="214" t="s">
        <v>87</v>
      </c>
      <c r="F3" s="217">
        <f>处理量!E37+处理量!F37+处理量!G37</f>
        <v>3422.66</v>
      </c>
      <c r="G3" s="213" t="s">
        <v>88</v>
      </c>
      <c r="H3" s="214" t="s">
        <v>89</v>
      </c>
      <c r="I3" s="214"/>
      <c r="J3" s="37">
        <f>处理量!J37</f>
        <v>1572400</v>
      </c>
      <c r="K3" s="216" t="s">
        <v>90</v>
      </c>
      <c r="L3" s="214" t="s">
        <v>91</v>
      </c>
      <c r="M3" s="251">
        <f>J3/C3</f>
        <v>0.261777620543983</v>
      </c>
      <c r="P3" s="190" t="s">
        <v>92</v>
      </c>
      <c r="Q3" s="264">
        <v>1773.2</v>
      </c>
      <c r="R3" s="190">
        <f>J5-Q3</f>
        <v>2485.8</v>
      </c>
      <c r="V3" s="190">
        <v>188314</v>
      </c>
    </row>
    <row r="4" s="190" customFormat="1" ht="24" customHeight="1" spans="1:22">
      <c r="A4" s="213"/>
      <c r="B4" s="214" t="s">
        <v>93</v>
      </c>
      <c r="C4" s="218">
        <f>处理量!R36</f>
        <v>193762.096774193</v>
      </c>
      <c r="D4" s="219"/>
      <c r="E4" s="214" t="s">
        <v>94</v>
      </c>
      <c r="F4" s="220">
        <f>处理量!H37</f>
        <v>3075</v>
      </c>
      <c r="G4" s="213"/>
      <c r="H4" s="214" t="s">
        <v>95</v>
      </c>
      <c r="I4" s="214"/>
      <c r="J4" s="220">
        <f>J3/M15</f>
        <v>50722.5806451613</v>
      </c>
      <c r="K4" s="219"/>
      <c r="L4" s="214" t="s">
        <v>96</v>
      </c>
      <c r="M4" s="252">
        <f>J3/I12</f>
        <v>2.10771031033802</v>
      </c>
      <c r="P4" s="190" t="s">
        <v>97</v>
      </c>
      <c r="Q4" s="264">
        <v>50535.9999999999</v>
      </c>
      <c r="V4" s="190">
        <v>193894</v>
      </c>
    </row>
    <row r="5" s="190" customFormat="1" ht="24" customHeight="1" spans="1:22">
      <c r="A5" s="213"/>
      <c r="B5" s="214"/>
      <c r="C5" s="221"/>
      <c r="D5" s="219"/>
      <c r="E5" s="214" t="s">
        <v>98</v>
      </c>
      <c r="F5" s="222">
        <f>进出水!T38</f>
        <v>78.6</v>
      </c>
      <c r="G5" s="213"/>
      <c r="H5" s="214" t="s">
        <v>99</v>
      </c>
      <c r="I5" s="214"/>
      <c r="J5" s="253">
        <v>4259</v>
      </c>
      <c r="K5" s="219"/>
      <c r="L5" s="214"/>
      <c r="M5" s="254"/>
      <c r="V5" s="190">
        <f>V4-V3</f>
        <v>5580</v>
      </c>
    </row>
    <row r="6" s="190" customFormat="1" ht="24" customHeight="1" spans="1:13">
      <c r="A6" s="213"/>
      <c r="B6" s="214" t="s">
        <v>100</v>
      </c>
      <c r="C6" s="223">
        <f>处理量!R40</f>
        <v>210040</v>
      </c>
      <c r="D6" s="219"/>
      <c r="E6" s="213" t="s">
        <v>101</v>
      </c>
      <c r="F6" s="217">
        <f>F4/(F3*(100-F5)/100)</f>
        <v>4.19824314378427</v>
      </c>
      <c r="G6" s="216" t="s">
        <v>102</v>
      </c>
      <c r="H6" s="214" t="s">
        <v>103</v>
      </c>
      <c r="I6" s="214"/>
      <c r="J6" s="226">
        <f>处理量!M37/1000</f>
        <v>106.855</v>
      </c>
      <c r="K6" s="219"/>
      <c r="L6" s="214" t="s">
        <v>104</v>
      </c>
      <c r="M6" s="226">
        <f>J3/I13</f>
        <v>4.05291253358078</v>
      </c>
    </row>
    <row r="7" s="190" customFormat="1" ht="24" customHeight="1" spans="1:13">
      <c r="A7" s="213"/>
      <c r="B7" s="214" t="s">
        <v>105</v>
      </c>
      <c r="C7" s="37">
        <f>处理量!R41</f>
        <v>148662</v>
      </c>
      <c r="D7" s="224"/>
      <c r="E7" s="213" t="s">
        <v>106</v>
      </c>
      <c r="F7" s="225">
        <f>F3*(100-F5)/100*1000/(C3/1000)</f>
        <v>121.940230994943</v>
      </c>
      <c r="G7" s="219"/>
      <c r="H7" s="214" t="s">
        <v>107</v>
      </c>
      <c r="I7" s="214"/>
      <c r="J7" s="240">
        <f>J6*1000/(C3/1000)</f>
        <v>17.7895240671758</v>
      </c>
      <c r="K7" s="219"/>
      <c r="L7" s="255" t="s">
        <v>108</v>
      </c>
      <c r="M7" s="226">
        <f>J3/I14</f>
        <v>4.52824114416161</v>
      </c>
    </row>
    <row r="8" s="190" customFormat="1" ht="24" customHeight="1" spans="1:13">
      <c r="A8" s="213"/>
      <c r="B8" s="214" t="s">
        <v>109</v>
      </c>
      <c r="C8" s="226">
        <f>C4/200000*100</f>
        <v>96.8810483870967</v>
      </c>
      <c r="D8" s="213" t="s">
        <v>110</v>
      </c>
      <c r="E8" s="214" t="s">
        <v>111</v>
      </c>
      <c r="F8" s="226">
        <f>处理量!K37/1000</f>
        <v>237.6</v>
      </c>
      <c r="G8" s="219"/>
      <c r="H8" s="214" t="s">
        <v>112</v>
      </c>
      <c r="I8" s="214"/>
      <c r="J8" s="226">
        <f>处理量!N37/1000</f>
        <v>36</v>
      </c>
      <c r="K8" s="256" t="s">
        <v>113</v>
      </c>
      <c r="L8" s="235" t="s">
        <v>114</v>
      </c>
      <c r="M8" s="257">
        <f>处理量!O37</f>
        <v>51.4100000000013</v>
      </c>
    </row>
    <row r="9" s="190" customFormat="1" ht="24" customHeight="1" spans="1:13">
      <c r="A9" s="213"/>
      <c r="B9" s="227" t="s">
        <v>115</v>
      </c>
      <c r="C9" s="228">
        <f>处理量!B36</f>
        <v>30.2354838709677</v>
      </c>
      <c r="D9" s="213"/>
      <c r="E9" s="214" t="s">
        <v>107</v>
      </c>
      <c r="F9" s="226">
        <f>F8*1000/(C3/1000)</f>
        <v>39.5563232264375</v>
      </c>
      <c r="G9" s="224"/>
      <c r="H9" s="214" t="s">
        <v>107</v>
      </c>
      <c r="I9" s="214"/>
      <c r="J9" s="217">
        <f>J8*1000/(C3/1000)</f>
        <v>5.99338230703598</v>
      </c>
      <c r="K9" s="232"/>
      <c r="L9" s="37" t="s">
        <v>107</v>
      </c>
      <c r="M9" s="257">
        <f>M8*1000000/C3</f>
        <v>8.55888290013132</v>
      </c>
    </row>
    <row r="10" s="190" customFormat="1" ht="24" customHeight="1" spans="1:13">
      <c r="A10" s="213" t="s">
        <v>116</v>
      </c>
      <c r="B10" s="229" t="s">
        <v>117</v>
      </c>
      <c r="C10" s="230" t="s">
        <v>118</v>
      </c>
      <c r="D10" s="231"/>
      <c r="E10" s="230" t="s">
        <v>119</v>
      </c>
      <c r="F10" s="231"/>
      <c r="G10" s="230" t="s">
        <v>120</v>
      </c>
      <c r="H10" s="231"/>
      <c r="I10" s="230" t="s">
        <v>121</v>
      </c>
      <c r="J10" s="231"/>
      <c r="K10" s="216" t="s">
        <v>122</v>
      </c>
      <c r="L10" s="235" t="s">
        <v>114</v>
      </c>
      <c r="M10" s="37">
        <v>0</v>
      </c>
    </row>
    <row r="11" s="190" customFormat="1" ht="24" customHeight="1" spans="1:13">
      <c r="A11" s="213"/>
      <c r="B11" s="232"/>
      <c r="C11" s="233"/>
      <c r="D11" s="234"/>
      <c r="E11" s="233"/>
      <c r="F11" s="234"/>
      <c r="G11" s="233"/>
      <c r="H11" s="234"/>
      <c r="I11" s="233"/>
      <c r="J11" s="234"/>
      <c r="K11" s="224"/>
      <c r="L11" s="37" t="s">
        <v>107</v>
      </c>
      <c r="M11" s="37">
        <v>0</v>
      </c>
    </row>
    <row r="12" s="190" customFormat="1" ht="24" customHeight="1" spans="1:19">
      <c r="A12" s="213"/>
      <c r="B12" s="235" t="s">
        <v>123</v>
      </c>
      <c r="C12" s="220">
        <f>进出水!B38</f>
        <v>146</v>
      </c>
      <c r="D12" s="220"/>
      <c r="E12" s="236">
        <f>进出水!N38</f>
        <v>21.8</v>
      </c>
      <c r="F12" s="237"/>
      <c r="G12" s="236">
        <f t="shared" ref="G12:G17" si="0">(C12-E12)/C12*100</f>
        <v>85.0684931506849</v>
      </c>
      <c r="H12" s="237"/>
      <c r="I12" s="220">
        <f>$C$3*(C12-E12)/1000</f>
        <v>746022.825</v>
      </c>
      <c r="J12" s="220"/>
      <c r="K12" s="213" t="s">
        <v>124</v>
      </c>
      <c r="L12" s="214" t="s">
        <v>38</v>
      </c>
      <c r="M12" s="217">
        <f>处理量!V16</f>
        <v>1124.42</v>
      </c>
      <c r="O12" s="190">
        <f t="shared" ref="O12:O17" si="1">C12</f>
        <v>146</v>
      </c>
      <c r="P12" s="258">
        <f t="shared" ref="P12:P17" si="2">ROUND(E12,2)</f>
        <v>21.8</v>
      </c>
      <c r="Q12" s="265">
        <f>C3</f>
        <v>6006625</v>
      </c>
      <c r="R12" s="258">
        <f t="shared" ref="R12:R17" si="3">P12*Q12/1000000</f>
        <v>130.944425</v>
      </c>
      <c r="S12" s="235" t="s">
        <v>123</v>
      </c>
    </row>
    <row r="13" s="190" customFormat="1" ht="24" customHeight="1" spans="1:19">
      <c r="A13" s="213"/>
      <c r="B13" s="235" t="s">
        <v>125</v>
      </c>
      <c r="C13" s="220">
        <f>进出水!C38</f>
        <v>67</v>
      </c>
      <c r="D13" s="220"/>
      <c r="E13" s="238">
        <f>进出水!O38</f>
        <v>2.41</v>
      </c>
      <c r="F13" s="239"/>
      <c r="G13" s="236">
        <f t="shared" si="0"/>
        <v>96.4029850746269</v>
      </c>
      <c r="H13" s="237"/>
      <c r="I13" s="220">
        <f>$C$3*(C13-E13)/1000</f>
        <v>387967.90875</v>
      </c>
      <c r="J13" s="220"/>
      <c r="K13" s="213"/>
      <c r="L13" s="34" t="s">
        <v>39</v>
      </c>
      <c r="M13" s="217">
        <f>处理量!U16</f>
        <v>2253.24</v>
      </c>
      <c r="O13" s="190">
        <f t="shared" si="1"/>
        <v>67</v>
      </c>
      <c r="P13" s="258">
        <f t="shared" si="2"/>
        <v>2.41</v>
      </c>
      <c r="Q13" s="265">
        <f t="shared" ref="Q13:Q17" si="4">Q12</f>
        <v>6006625</v>
      </c>
      <c r="R13" s="258">
        <f t="shared" si="3"/>
        <v>14.47596625</v>
      </c>
      <c r="S13" s="235" t="s">
        <v>125</v>
      </c>
    </row>
    <row r="14" s="190" customFormat="1" ht="24" customHeight="1" spans="1:19">
      <c r="A14" s="213"/>
      <c r="B14" s="235" t="s">
        <v>126</v>
      </c>
      <c r="C14" s="220">
        <f>进出水!D38</f>
        <v>63</v>
      </c>
      <c r="D14" s="220"/>
      <c r="E14" s="238">
        <f>进出水!P38</f>
        <v>5.19</v>
      </c>
      <c r="F14" s="239"/>
      <c r="G14" s="236">
        <f t="shared" si="0"/>
        <v>91.7619047619048</v>
      </c>
      <c r="H14" s="237"/>
      <c r="I14" s="220">
        <f>$C$3*(C14-E14)/1000</f>
        <v>347242.99125</v>
      </c>
      <c r="J14" s="220"/>
      <c r="K14" s="213"/>
      <c r="L14" s="34" t="s">
        <v>127</v>
      </c>
      <c r="M14" s="217">
        <f>处理量!W16</f>
        <v>45</v>
      </c>
      <c r="O14" s="190">
        <f t="shared" si="1"/>
        <v>63</v>
      </c>
      <c r="P14" s="258">
        <f t="shared" si="2"/>
        <v>5.19</v>
      </c>
      <c r="Q14" s="265">
        <f t="shared" si="4"/>
        <v>6006625</v>
      </c>
      <c r="R14" s="258">
        <f t="shared" si="3"/>
        <v>31.17438375</v>
      </c>
      <c r="S14" s="235" t="s">
        <v>126</v>
      </c>
    </row>
    <row r="15" s="190" customFormat="1" ht="24" customHeight="1" spans="1:19">
      <c r="A15" s="213"/>
      <c r="B15" s="235" t="s">
        <v>128</v>
      </c>
      <c r="C15" s="217">
        <f>进出水!E38</f>
        <v>2.15</v>
      </c>
      <c r="D15" s="217"/>
      <c r="E15" s="238">
        <f>进出水!Q38</f>
        <v>0.2</v>
      </c>
      <c r="F15" s="239"/>
      <c r="G15" s="236">
        <f t="shared" si="0"/>
        <v>90.6976744186047</v>
      </c>
      <c r="H15" s="237"/>
      <c r="I15" s="220">
        <f>$C$3*(C15-E15)/1000</f>
        <v>11712.91875</v>
      </c>
      <c r="J15" s="220"/>
      <c r="K15" s="216" t="s">
        <v>129</v>
      </c>
      <c r="L15" s="259" t="s">
        <v>130</v>
      </c>
      <c r="M15" s="36">
        <v>31</v>
      </c>
      <c r="O15" s="190">
        <f t="shared" si="1"/>
        <v>2.15</v>
      </c>
      <c r="P15" s="258">
        <f t="shared" si="2"/>
        <v>0.2</v>
      </c>
      <c r="Q15" s="265">
        <f t="shared" si="4"/>
        <v>6006625</v>
      </c>
      <c r="R15" s="258">
        <f t="shared" si="3"/>
        <v>1.201325</v>
      </c>
      <c r="S15" s="235" t="s">
        <v>128</v>
      </c>
    </row>
    <row r="16" s="190" customFormat="1" ht="24" customHeight="1" spans="1:19">
      <c r="A16" s="213"/>
      <c r="B16" s="235" t="s">
        <v>131</v>
      </c>
      <c r="C16" s="240">
        <f>进出水!G38</f>
        <v>25.7</v>
      </c>
      <c r="D16" s="240"/>
      <c r="E16" s="238">
        <f>进出水!S38</f>
        <v>7.09</v>
      </c>
      <c r="F16" s="239"/>
      <c r="G16" s="236">
        <f t="shared" si="0"/>
        <v>72.4124513618677</v>
      </c>
      <c r="H16" s="237"/>
      <c r="I16" s="220">
        <f>$C$3*(C16-E16)/1000</f>
        <v>111783.29125</v>
      </c>
      <c r="J16" s="220"/>
      <c r="K16" s="219"/>
      <c r="L16" s="260" t="s">
        <v>132</v>
      </c>
      <c r="M16" s="37">
        <v>31</v>
      </c>
      <c r="O16" s="190">
        <f t="shared" si="1"/>
        <v>25.7</v>
      </c>
      <c r="P16" s="258">
        <f t="shared" si="2"/>
        <v>7.09</v>
      </c>
      <c r="Q16" s="265">
        <f t="shared" si="4"/>
        <v>6006625</v>
      </c>
      <c r="R16" s="258">
        <f t="shared" si="3"/>
        <v>42.58697125</v>
      </c>
      <c r="S16" s="235" t="s">
        <v>131</v>
      </c>
    </row>
    <row r="17" s="190" customFormat="1" ht="24" customHeight="1" spans="1:19">
      <c r="A17" s="213"/>
      <c r="B17" s="235" t="s">
        <v>133</v>
      </c>
      <c r="C17" s="240">
        <f>进出水!F38</f>
        <v>19.2</v>
      </c>
      <c r="D17" s="240"/>
      <c r="E17" s="238">
        <f>进出水!R38</f>
        <v>0.31</v>
      </c>
      <c r="F17" s="239"/>
      <c r="G17" s="236">
        <f t="shared" si="0"/>
        <v>98.3854166666667</v>
      </c>
      <c r="H17" s="237"/>
      <c r="I17" s="220">
        <f>$C$3*(C17-E17)/1000</f>
        <v>113465.14625</v>
      </c>
      <c r="J17" s="220"/>
      <c r="K17" s="219"/>
      <c r="L17" s="260" t="s">
        <v>134</v>
      </c>
      <c r="M17" s="36">
        <v>31</v>
      </c>
      <c r="O17" s="190">
        <f t="shared" si="1"/>
        <v>19.2</v>
      </c>
      <c r="P17" s="258">
        <f t="shared" si="2"/>
        <v>0.31</v>
      </c>
      <c r="Q17" s="265">
        <f t="shared" si="4"/>
        <v>6006625</v>
      </c>
      <c r="R17" s="258">
        <f t="shared" si="3"/>
        <v>1.86205375</v>
      </c>
      <c r="S17" s="235" t="s">
        <v>133</v>
      </c>
    </row>
    <row r="18" s="190" customFormat="1" ht="24" customHeight="1" spans="1:13">
      <c r="A18" s="213"/>
      <c r="B18" s="227" t="s">
        <v>135</v>
      </c>
      <c r="C18" s="241"/>
      <c r="D18" s="242"/>
      <c r="E18" s="243" t="s">
        <v>136</v>
      </c>
      <c r="F18" s="244"/>
      <c r="G18" s="241"/>
      <c r="H18" s="242"/>
      <c r="I18" s="241"/>
      <c r="J18" s="242"/>
      <c r="K18" s="224"/>
      <c r="L18" s="255" t="s">
        <v>137</v>
      </c>
      <c r="M18" s="37">
        <v>100</v>
      </c>
    </row>
    <row r="19" s="190" customFormat="1" ht="20.1" customHeight="1" spans="1:16">
      <c r="A19" s="213" t="s">
        <v>138</v>
      </c>
      <c r="B19" s="245" t="s">
        <v>139</v>
      </c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61"/>
      <c r="P19" s="190">
        <f>F3*(100-F5)/100</f>
        <v>732.44924</v>
      </c>
    </row>
    <row r="20" s="190" customFormat="1" ht="20.1" customHeight="1" spans="1:13">
      <c r="A20" s="213"/>
      <c r="B20" s="247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62"/>
    </row>
    <row r="21" ht="20.1" customHeight="1" spans="1:13">
      <c r="A21" s="249" t="s">
        <v>140</v>
      </c>
      <c r="B21" s="249"/>
      <c r="C21" s="249"/>
      <c r="D21" s="249"/>
      <c r="E21" s="249"/>
      <c r="F21" s="249"/>
      <c r="G21" s="249"/>
      <c r="H21" s="249"/>
      <c r="I21" s="249"/>
      <c r="J21" s="249"/>
      <c r="K21" s="249"/>
      <c r="L21" s="249"/>
      <c r="M21" s="249"/>
    </row>
    <row r="22" ht="17.25" customHeight="1" spans="9:9">
      <c r="I22" s="263"/>
    </row>
    <row r="23" ht="17.25" customHeight="1" spans="5:9">
      <c r="E23" s="250"/>
      <c r="I23" s="263"/>
    </row>
    <row r="24" ht="17.25" customHeight="1" spans="5:9">
      <c r="E24" s="250"/>
      <c r="I24" s="263"/>
    </row>
    <row r="25" ht="17.25" customHeight="1" spans="5:9">
      <c r="E25" s="250"/>
      <c r="I25" s="263"/>
    </row>
    <row r="26" ht="17.25" customHeight="1" spans="5:9">
      <c r="E26" s="250"/>
      <c r="I26" s="263"/>
    </row>
    <row r="27" ht="17.25" customHeight="1" spans="5:9">
      <c r="E27" s="250"/>
      <c r="I27" s="263"/>
    </row>
    <row r="28" ht="17.25" customHeight="1" spans="5:9">
      <c r="E28" s="250"/>
      <c r="I28" s="263"/>
    </row>
    <row r="29" ht="17.25" customHeight="1" spans="9:9">
      <c r="I29" s="263"/>
    </row>
    <row r="30" ht="17.25" customHeight="1" spans="9:9">
      <c r="I30" s="263"/>
    </row>
    <row r="31" ht="17.25" customHeight="1" spans="9:9">
      <c r="I31" s="263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68"/>
  <sheetViews>
    <sheetView tabSelected="1" zoomScale="115" zoomScaleNormal="115" workbookViewId="0">
      <selection activeCell="C7" sqref="C7:C37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4" customWidth="1"/>
    <col min="9" max="9" width="5.5" style="95" customWidth="1"/>
    <col min="10" max="10" width="6.25" style="95" customWidth="1"/>
    <col min="11" max="11" width="7" style="94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6" customWidth="1"/>
    <col min="21" max="21" width="8.75" customWidth="1"/>
    <col min="23" max="23" width="12.625"/>
  </cols>
  <sheetData>
    <row r="1" ht="21.75" customHeight="1" spans="1:21">
      <c r="A1" s="97" t="s">
        <v>141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</row>
    <row r="2" hidden="1" spans="1:21">
      <c r="A2" s="98"/>
      <c r="B2" s="98"/>
      <c r="C2" s="98"/>
      <c r="D2" s="98"/>
      <c r="E2" s="98"/>
      <c r="F2" s="98"/>
      <c r="G2" s="98"/>
      <c r="H2" s="99"/>
      <c r="I2" s="159"/>
      <c r="J2" s="159"/>
      <c r="K2" s="99"/>
      <c r="L2" s="98"/>
      <c r="M2" s="98"/>
      <c r="N2" s="98"/>
      <c r="O2" s="98"/>
      <c r="P2" s="98"/>
      <c r="Q2" s="98"/>
      <c r="R2" s="98"/>
      <c r="S2" s="98"/>
      <c r="T2" s="98"/>
      <c r="U2" s="27"/>
    </row>
    <row r="3" spans="1:21">
      <c r="A3" s="33" t="s">
        <v>142</v>
      </c>
      <c r="B3" s="33"/>
      <c r="C3" s="33"/>
      <c r="D3" s="33"/>
      <c r="E3" s="33"/>
      <c r="F3" s="33"/>
      <c r="G3" s="33"/>
      <c r="H3" s="100"/>
      <c r="I3" s="160"/>
      <c r="J3" s="161">
        <f>处理量!A2</f>
        <v>45139</v>
      </c>
      <c r="K3" s="162"/>
      <c r="L3" s="33"/>
      <c r="M3" s="33"/>
      <c r="N3" s="33"/>
      <c r="O3" s="33"/>
      <c r="P3" s="33"/>
      <c r="Q3" s="33"/>
      <c r="R3" s="33"/>
      <c r="S3" s="33"/>
      <c r="T3" s="182"/>
      <c r="U3" s="27"/>
    </row>
    <row r="4" ht="12.75" customHeight="1" spans="1:21">
      <c r="A4" s="101" t="s">
        <v>143</v>
      </c>
      <c r="B4" s="102" t="s">
        <v>118</v>
      </c>
      <c r="C4" s="103"/>
      <c r="D4" s="103"/>
      <c r="E4" s="103"/>
      <c r="F4" s="103"/>
      <c r="G4" s="104"/>
      <c r="H4" s="105" t="s">
        <v>144</v>
      </c>
      <c r="I4" s="105"/>
      <c r="J4" s="105"/>
      <c r="K4" s="105"/>
      <c r="L4" s="105"/>
      <c r="M4" s="105"/>
      <c r="N4" s="163" t="s">
        <v>145</v>
      </c>
      <c r="O4" s="163"/>
      <c r="P4" s="163"/>
      <c r="Q4" s="163"/>
      <c r="R4" s="163"/>
      <c r="S4" s="163"/>
      <c r="T4" s="183" t="s">
        <v>146</v>
      </c>
      <c r="U4" s="183" t="s">
        <v>147</v>
      </c>
    </row>
    <row r="5" ht="15" customHeight="1" spans="1:42">
      <c r="A5" s="106"/>
      <c r="B5" s="107" t="s">
        <v>148</v>
      </c>
      <c r="C5" s="107" t="s">
        <v>125</v>
      </c>
      <c r="D5" s="107" t="s">
        <v>126</v>
      </c>
      <c r="E5" s="107" t="s">
        <v>128</v>
      </c>
      <c r="F5" s="107" t="s">
        <v>133</v>
      </c>
      <c r="G5" s="107" t="s">
        <v>131</v>
      </c>
      <c r="H5" s="108" t="s">
        <v>148</v>
      </c>
      <c r="I5" s="108" t="s">
        <v>125</v>
      </c>
      <c r="J5" s="108" t="s">
        <v>126</v>
      </c>
      <c r="K5" s="108" t="s">
        <v>128</v>
      </c>
      <c r="L5" s="107" t="s">
        <v>133</v>
      </c>
      <c r="M5" s="107" t="s">
        <v>131</v>
      </c>
      <c r="N5" s="101" t="s">
        <v>149</v>
      </c>
      <c r="O5" s="101" t="s">
        <v>150</v>
      </c>
      <c r="P5" s="101" t="s">
        <v>126</v>
      </c>
      <c r="Q5" s="101" t="s">
        <v>128</v>
      </c>
      <c r="R5" s="101" t="s">
        <v>151</v>
      </c>
      <c r="S5" s="101" t="s">
        <v>131</v>
      </c>
      <c r="T5" s="184"/>
      <c r="U5" s="184"/>
      <c r="Y5" s="194" t="s">
        <v>152</v>
      </c>
      <c r="Z5" s="195"/>
      <c r="AA5" s="196"/>
      <c r="AB5" s="194" t="s">
        <v>153</v>
      </c>
      <c r="AC5" s="195"/>
      <c r="AD5" s="196"/>
      <c r="AE5" s="194" t="s">
        <v>154</v>
      </c>
      <c r="AF5" s="195"/>
      <c r="AG5" s="196"/>
      <c r="AH5" s="194" t="s">
        <v>155</v>
      </c>
      <c r="AI5" s="195"/>
      <c r="AJ5" s="196"/>
      <c r="AK5" s="194" t="s">
        <v>131</v>
      </c>
      <c r="AL5" s="195"/>
      <c r="AM5" s="196"/>
      <c r="AN5" s="194" t="s">
        <v>128</v>
      </c>
      <c r="AO5" s="195"/>
      <c r="AP5" s="196"/>
    </row>
    <row r="6" ht="22.5" customHeight="1" spans="1:42">
      <c r="A6" s="109"/>
      <c r="B6" s="110" t="s">
        <v>156</v>
      </c>
      <c r="C6" s="110" t="s">
        <v>156</v>
      </c>
      <c r="D6" s="110" t="s">
        <v>156</v>
      </c>
      <c r="E6" s="110" t="s">
        <v>156</v>
      </c>
      <c r="F6" s="110" t="s">
        <v>156</v>
      </c>
      <c r="G6" s="110" t="s">
        <v>156</v>
      </c>
      <c r="H6" s="111" t="s">
        <v>156</v>
      </c>
      <c r="I6" s="111" t="s">
        <v>156</v>
      </c>
      <c r="J6" s="111" t="s">
        <v>156</v>
      </c>
      <c r="K6" s="111" t="s">
        <v>156</v>
      </c>
      <c r="L6" s="110" t="s">
        <v>156</v>
      </c>
      <c r="M6" s="110" t="s">
        <v>156</v>
      </c>
      <c r="N6" s="110" t="s">
        <v>156</v>
      </c>
      <c r="O6" s="110" t="s">
        <v>156</v>
      </c>
      <c r="P6" s="110" t="s">
        <v>156</v>
      </c>
      <c r="Q6" s="110" t="s">
        <v>156</v>
      </c>
      <c r="R6" s="110" t="s">
        <v>156</v>
      </c>
      <c r="S6" s="110" t="s">
        <v>156</v>
      </c>
      <c r="T6" s="109" t="s">
        <v>157</v>
      </c>
      <c r="U6" s="109" t="s">
        <v>158</v>
      </c>
      <c r="Y6" s="197" t="s">
        <v>118</v>
      </c>
      <c r="Z6" s="198" t="s">
        <v>159</v>
      </c>
      <c r="AA6" s="199" t="s">
        <v>119</v>
      </c>
      <c r="AB6" s="197" t="s">
        <v>118</v>
      </c>
      <c r="AC6" s="198" t="s">
        <v>159</v>
      </c>
      <c r="AD6" s="197" t="s">
        <v>119</v>
      </c>
      <c r="AE6" s="197" t="s">
        <v>118</v>
      </c>
      <c r="AF6" s="198" t="s">
        <v>159</v>
      </c>
      <c r="AG6" s="197" t="s">
        <v>119</v>
      </c>
      <c r="AH6" s="201" t="s">
        <v>118</v>
      </c>
      <c r="AI6" s="202" t="s">
        <v>159</v>
      </c>
      <c r="AJ6" s="203" t="s">
        <v>119</v>
      </c>
      <c r="AK6" s="204" t="s">
        <v>118</v>
      </c>
      <c r="AL6" s="198" t="s">
        <v>159</v>
      </c>
      <c r="AM6" s="197" t="s">
        <v>119</v>
      </c>
      <c r="AN6" s="198" t="s">
        <v>118</v>
      </c>
      <c r="AO6" s="198" t="s">
        <v>159</v>
      </c>
      <c r="AP6" s="197" t="s">
        <v>119</v>
      </c>
    </row>
    <row r="7" ht="12.95" customHeight="1" spans="1:44">
      <c r="A7" s="112">
        <v>1</v>
      </c>
      <c r="B7" s="113">
        <f>Y7</f>
        <v>140</v>
      </c>
      <c r="C7" s="114">
        <v>63</v>
      </c>
      <c r="D7" s="115">
        <f>AE7</f>
        <v>54</v>
      </c>
      <c r="E7" s="116">
        <f>AN7</f>
        <v>4.68</v>
      </c>
      <c r="F7" s="117">
        <f>AH7</f>
        <v>20.9</v>
      </c>
      <c r="G7" s="118">
        <f>AK7</f>
        <v>27.2</v>
      </c>
      <c r="H7" s="119">
        <f>Z7</f>
        <v>27</v>
      </c>
      <c r="I7" s="116">
        <v>2.89</v>
      </c>
      <c r="J7" s="119">
        <f>AF7</f>
        <v>12</v>
      </c>
      <c r="K7" s="116">
        <f>AO7</f>
        <v>0.55</v>
      </c>
      <c r="L7" s="164">
        <f>AI7</f>
        <v>0.4</v>
      </c>
      <c r="M7" s="164">
        <f>AL7</f>
        <v>6.64</v>
      </c>
      <c r="N7" s="115">
        <f>AA7</f>
        <v>22</v>
      </c>
      <c r="O7" s="165">
        <v>2.41</v>
      </c>
      <c r="P7" s="115">
        <f>AG7</f>
        <v>5</v>
      </c>
      <c r="Q7" s="164">
        <f>AP7</f>
        <v>0.31</v>
      </c>
      <c r="R7" s="168">
        <f>AJ7</f>
        <v>0.38</v>
      </c>
      <c r="S7" s="164">
        <f>AM7</f>
        <v>5.88</v>
      </c>
      <c r="T7" s="120">
        <f>AQ7</f>
        <v>78.8</v>
      </c>
      <c r="U7" s="185" t="str">
        <f>AR7</f>
        <v>&lt;20</v>
      </c>
      <c r="V7" s="186"/>
      <c r="W7" s="187">
        <f>1-S7/G7</f>
        <v>0.783823529411765</v>
      </c>
      <c r="Y7" s="200">
        <v>140</v>
      </c>
      <c r="Z7" s="200">
        <v>27</v>
      </c>
      <c r="AA7" s="200">
        <v>22</v>
      </c>
      <c r="AB7" s="200">
        <v>59.4</v>
      </c>
      <c r="AC7" s="200">
        <v>2.44</v>
      </c>
      <c r="AD7" s="200">
        <v>2.26</v>
      </c>
      <c r="AE7" s="200">
        <v>54</v>
      </c>
      <c r="AF7" s="200">
        <v>12</v>
      </c>
      <c r="AG7" s="200">
        <v>5</v>
      </c>
      <c r="AH7" s="200">
        <v>20.9</v>
      </c>
      <c r="AI7" s="200">
        <v>0.4</v>
      </c>
      <c r="AJ7" s="200">
        <v>0.38</v>
      </c>
      <c r="AK7" s="200">
        <v>27.2</v>
      </c>
      <c r="AL7" s="205">
        <v>6.64</v>
      </c>
      <c r="AM7" s="205">
        <v>5.88</v>
      </c>
      <c r="AN7" s="205">
        <v>4.68</v>
      </c>
      <c r="AO7" s="205">
        <v>0.55</v>
      </c>
      <c r="AP7" s="205">
        <v>0.31</v>
      </c>
      <c r="AQ7">
        <v>78.8</v>
      </c>
      <c r="AR7" t="s">
        <v>136</v>
      </c>
    </row>
    <row r="8" ht="12.95" customHeight="1" spans="1:44">
      <c r="A8" s="112">
        <v>2</v>
      </c>
      <c r="B8" s="113">
        <f t="shared" ref="B8:B37" si="0">Y8</f>
        <v>170</v>
      </c>
      <c r="C8" s="114">
        <v>76.4</v>
      </c>
      <c r="D8" s="115">
        <f t="shared" ref="D8:D37" si="1">AE8</f>
        <v>70</v>
      </c>
      <c r="E8" s="116">
        <f t="shared" ref="E8:E37" si="2">AN8</f>
        <v>2.9</v>
      </c>
      <c r="F8" s="117">
        <f t="shared" ref="F8:F37" si="3">AH8</f>
        <v>22</v>
      </c>
      <c r="G8" s="118">
        <f t="shared" ref="G8:G37" si="4">AK8</f>
        <v>26.8</v>
      </c>
      <c r="H8" s="119">
        <f t="shared" ref="H8:H37" si="5">Z8</f>
        <v>31</v>
      </c>
      <c r="I8" s="116">
        <v>3.02</v>
      </c>
      <c r="J8" s="119">
        <f t="shared" ref="J8:J37" si="6">AF8</f>
        <v>13</v>
      </c>
      <c r="K8" s="116">
        <f t="shared" ref="K8:K37" si="7">AO8</f>
        <v>0.54</v>
      </c>
      <c r="L8" s="164">
        <f t="shared" ref="L8:L37" si="8">AI8</f>
        <v>0.34</v>
      </c>
      <c r="M8" s="164">
        <f t="shared" ref="M8:M37" si="9">AL8</f>
        <v>7.96</v>
      </c>
      <c r="N8" s="115">
        <f t="shared" ref="N8:N37" si="10">AA8</f>
        <v>22</v>
      </c>
      <c r="O8" s="165">
        <v>2.76</v>
      </c>
      <c r="P8" s="115">
        <f t="shared" ref="P8:P37" si="11">AG8</f>
        <v>5</v>
      </c>
      <c r="Q8" s="164">
        <f t="shared" ref="Q8:Q37" si="12">AP8</f>
        <v>0.31</v>
      </c>
      <c r="R8" s="168">
        <f t="shared" ref="R8:R37" si="13">AJ8</f>
        <v>0.28</v>
      </c>
      <c r="S8" s="164">
        <f t="shared" ref="S8:S37" si="14">AM8</f>
        <v>7.4</v>
      </c>
      <c r="T8" s="120">
        <f t="shared" ref="T8:T37" si="15">AQ8</f>
        <v>78.6</v>
      </c>
      <c r="U8" s="185" t="str">
        <f t="shared" ref="U8:U37" si="16">AR8</f>
        <v>&lt;20</v>
      </c>
      <c r="V8" s="186"/>
      <c r="W8" s="187">
        <f t="shared" ref="W8:W37" si="17">1-S8/G8</f>
        <v>0.723880597014925</v>
      </c>
      <c r="Y8" s="200">
        <v>170</v>
      </c>
      <c r="Z8" s="200">
        <v>31</v>
      </c>
      <c r="AA8" s="200">
        <v>22</v>
      </c>
      <c r="AB8" s="200">
        <v>57.1</v>
      </c>
      <c r="AC8" s="200">
        <v>3.24</v>
      </c>
      <c r="AD8" s="200">
        <v>2.66</v>
      </c>
      <c r="AE8" s="200">
        <v>70</v>
      </c>
      <c r="AF8" s="200">
        <v>13</v>
      </c>
      <c r="AG8" s="200">
        <v>5</v>
      </c>
      <c r="AH8" s="200">
        <v>22</v>
      </c>
      <c r="AI8" s="200">
        <v>0.34</v>
      </c>
      <c r="AJ8" s="200">
        <v>0.28</v>
      </c>
      <c r="AK8" s="200">
        <v>26.8</v>
      </c>
      <c r="AL8" s="205">
        <v>7.96</v>
      </c>
      <c r="AM8" s="205">
        <v>7.4</v>
      </c>
      <c r="AN8" s="205">
        <v>2.9</v>
      </c>
      <c r="AO8" s="205">
        <v>0.54</v>
      </c>
      <c r="AP8" s="205">
        <v>0.31</v>
      </c>
      <c r="AQ8">
        <v>78.6</v>
      </c>
      <c r="AR8" t="s">
        <v>136</v>
      </c>
    </row>
    <row r="9" ht="12.95" customHeight="1" spans="1:44">
      <c r="A9" s="112">
        <v>3</v>
      </c>
      <c r="B9" s="113">
        <f t="shared" si="0"/>
        <v>130</v>
      </c>
      <c r="C9" s="114">
        <v>58</v>
      </c>
      <c r="D9" s="115">
        <f t="shared" si="1"/>
        <v>54</v>
      </c>
      <c r="E9" s="116">
        <f t="shared" si="2"/>
        <v>3.62</v>
      </c>
      <c r="F9" s="117">
        <f t="shared" si="3"/>
        <v>21.2</v>
      </c>
      <c r="G9" s="118">
        <f t="shared" si="4"/>
        <v>26.5</v>
      </c>
      <c r="H9" s="119">
        <f t="shared" si="5"/>
        <v>27</v>
      </c>
      <c r="I9" s="116">
        <v>2.74</v>
      </c>
      <c r="J9" s="119">
        <f t="shared" si="6"/>
        <v>11</v>
      </c>
      <c r="K9" s="116">
        <f t="shared" si="7"/>
        <v>0.53</v>
      </c>
      <c r="L9" s="164">
        <f t="shared" si="8"/>
        <v>0.4</v>
      </c>
      <c r="M9" s="164">
        <f t="shared" si="9"/>
        <v>8.59</v>
      </c>
      <c r="N9" s="115">
        <f t="shared" si="10"/>
        <v>20</v>
      </c>
      <c r="O9" s="165">
        <v>2.18</v>
      </c>
      <c r="P9" s="115">
        <f t="shared" si="11"/>
        <v>5</v>
      </c>
      <c r="Q9" s="164">
        <f t="shared" si="12"/>
        <v>0.23</v>
      </c>
      <c r="R9" s="168">
        <f t="shared" si="13"/>
        <v>0.38</v>
      </c>
      <c r="S9" s="164">
        <f t="shared" si="14"/>
        <v>7.74</v>
      </c>
      <c r="T9" s="120">
        <f t="shared" si="15"/>
        <v>78.3</v>
      </c>
      <c r="U9" s="185" t="str">
        <f t="shared" si="16"/>
        <v>&lt;20</v>
      </c>
      <c r="V9" s="186"/>
      <c r="W9" s="187">
        <f t="shared" si="17"/>
        <v>0.707924528301887</v>
      </c>
      <c r="Y9" s="200">
        <v>130</v>
      </c>
      <c r="Z9" s="200">
        <v>27</v>
      </c>
      <c r="AA9" s="200">
        <v>20</v>
      </c>
      <c r="AB9" s="200">
        <v>40.6</v>
      </c>
      <c r="AC9" s="200">
        <v>2.46</v>
      </c>
      <c r="AD9" s="200">
        <v>2.11</v>
      </c>
      <c r="AE9" s="200">
        <v>54</v>
      </c>
      <c r="AF9" s="200">
        <v>11</v>
      </c>
      <c r="AG9" s="200">
        <v>5</v>
      </c>
      <c r="AH9" s="200">
        <v>21.2</v>
      </c>
      <c r="AI9" s="200">
        <v>0.4</v>
      </c>
      <c r="AJ9" s="200">
        <v>0.38</v>
      </c>
      <c r="AK9" s="200">
        <v>26.5</v>
      </c>
      <c r="AL9" s="205">
        <v>8.59</v>
      </c>
      <c r="AM9" s="205">
        <v>7.74</v>
      </c>
      <c r="AN9" s="205">
        <v>3.62</v>
      </c>
      <c r="AO9" s="205">
        <v>0.53</v>
      </c>
      <c r="AP9" s="205">
        <v>0.23</v>
      </c>
      <c r="AQ9">
        <v>78.3</v>
      </c>
      <c r="AR9" t="s">
        <v>136</v>
      </c>
    </row>
    <row r="10" ht="12.95" customHeight="1" spans="1:44">
      <c r="A10" s="112">
        <v>4</v>
      </c>
      <c r="B10" s="113">
        <f t="shared" si="0"/>
        <v>154</v>
      </c>
      <c r="C10" s="114">
        <v>69.1</v>
      </c>
      <c r="D10" s="115">
        <f t="shared" si="1"/>
        <v>62</v>
      </c>
      <c r="E10" s="116">
        <f t="shared" si="2"/>
        <v>2.42</v>
      </c>
      <c r="F10" s="117">
        <f t="shared" si="3"/>
        <v>20.6</v>
      </c>
      <c r="G10" s="118">
        <f t="shared" si="4"/>
        <v>25.7</v>
      </c>
      <c r="H10" s="119">
        <f t="shared" si="5"/>
        <v>27</v>
      </c>
      <c r="I10" s="116">
        <v>2.88</v>
      </c>
      <c r="J10" s="119">
        <f t="shared" si="6"/>
        <v>10</v>
      </c>
      <c r="K10" s="116">
        <f t="shared" si="7"/>
        <v>0.55</v>
      </c>
      <c r="L10" s="164">
        <f t="shared" si="8"/>
        <v>0.27</v>
      </c>
      <c r="M10" s="164">
        <f t="shared" si="9"/>
        <v>8.69</v>
      </c>
      <c r="N10" s="115">
        <f t="shared" si="10"/>
        <v>19</v>
      </c>
      <c r="O10" s="165">
        <v>2.23</v>
      </c>
      <c r="P10" s="115">
        <f t="shared" si="11"/>
        <v>5</v>
      </c>
      <c r="Q10" s="164">
        <f t="shared" si="12"/>
        <v>0.16</v>
      </c>
      <c r="R10" s="168">
        <f t="shared" si="13"/>
        <v>0.2</v>
      </c>
      <c r="S10" s="164">
        <f t="shared" si="14"/>
        <v>8.37</v>
      </c>
      <c r="T10" s="120">
        <f t="shared" si="15"/>
        <v>78.9</v>
      </c>
      <c r="U10" s="185">
        <f t="shared" si="16"/>
        <v>130</v>
      </c>
      <c r="V10" s="186"/>
      <c r="W10" s="187">
        <f t="shared" si="17"/>
        <v>0.67431906614786</v>
      </c>
      <c r="Y10" s="200">
        <v>154</v>
      </c>
      <c r="Z10" s="200">
        <v>27</v>
      </c>
      <c r="AA10" s="200">
        <v>19</v>
      </c>
      <c r="AB10" s="200">
        <v>56</v>
      </c>
      <c r="AC10" s="200">
        <v>3.08</v>
      </c>
      <c r="AD10" s="200">
        <v>2.62</v>
      </c>
      <c r="AE10" s="200">
        <v>62</v>
      </c>
      <c r="AF10" s="200">
        <v>10</v>
      </c>
      <c r="AG10" s="200">
        <v>5</v>
      </c>
      <c r="AH10" s="200">
        <v>20.6</v>
      </c>
      <c r="AI10" s="200">
        <v>0.27</v>
      </c>
      <c r="AJ10" s="200">
        <v>0.2</v>
      </c>
      <c r="AK10" s="200">
        <v>25.7</v>
      </c>
      <c r="AL10" s="205">
        <v>8.69</v>
      </c>
      <c r="AM10" s="205">
        <v>8.37</v>
      </c>
      <c r="AN10" s="205">
        <v>2.42</v>
      </c>
      <c r="AO10" s="205">
        <v>0.55</v>
      </c>
      <c r="AP10" s="205">
        <v>0.16</v>
      </c>
      <c r="AQ10">
        <v>78.9</v>
      </c>
      <c r="AR10">
        <v>130</v>
      </c>
    </row>
    <row r="11" ht="12.95" customHeight="1" spans="1:44">
      <c r="A11" s="112">
        <v>5</v>
      </c>
      <c r="B11" s="113">
        <f t="shared" si="0"/>
        <v>127</v>
      </c>
      <c r="C11" s="114">
        <v>57.2</v>
      </c>
      <c r="D11" s="115">
        <f t="shared" si="1"/>
        <v>64</v>
      </c>
      <c r="E11" s="116">
        <f t="shared" si="2"/>
        <v>1.91</v>
      </c>
      <c r="F11" s="117">
        <f t="shared" si="3"/>
        <v>19.9</v>
      </c>
      <c r="G11" s="118">
        <f t="shared" si="4"/>
        <v>33.2</v>
      </c>
      <c r="H11" s="119">
        <f t="shared" si="5"/>
        <v>25</v>
      </c>
      <c r="I11" s="116">
        <v>2.67</v>
      </c>
      <c r="J11" s="119">
        <f t="shared" si="6"/>
        <v>11</v>
      </c>
      <c r="K11" s="116">
        <f t="shared" si="7"/>
        <v>0.52</v>
      </c>
      <c r="L11" s="164">
        <f t="shared" si="8"/>
        <v>0.19</v>
      </c>
      <c r="M11" s="164">
        <f t="shared" si="9"/>
        <v>8.1</v>
      </c>
      <c r="N11" s="115">
        <f t="shared" si="10"/>
        <v>18</v>
      </c>
      <c r="O11" s="165">
        <v>2.18</v>
      </c>
      <c r="P11" s="115">
        <f t="shared" si="11"/>
        <v>5</v>
      </c>
      <c r="Q11" s="164">
        <f t="shared" si="12"/>
        <v>0.15</v>
      </c>
      <c r="R11" s="168">
        <f t="shared" si="13"/>
        <v>0.18</v>
      </c>
      <c r="S11" s="164">
        <f t="shared" si="14"/>
        <v>7.84</v>
      </c>
      <c r="T11" s="120">
        <f t="shared" si="15"/>
        <v>78.3</v>
      </c>
      <c r="U11" s="185">
        <f t="shared" si="16"/>
        <v>20</v>
      </c>
      <c r="V11" s="186"/>
      <c r="W11" s="187">
        <f t="shared" si="17"/>
        <v>0.763855421686747</v>
      </c>
      <c r="Y11" s="200">
        <v>127</v>
      </c>
      <c r="Z11" s="200">
        <v>25</v>
      </c>
      <c r="AA11" s="200">
        <v>18</v>
      </c>
      <c r="AB11" s="200">
        <v>63</v>
      </c>
      <c r="AC11" s="200">
        <v>3.43</v>
      </c>
      <c r="AD11" s="200">
        <v>2.2</v>
      </c>
      <c r="AE11" s="200">
        <v>64</v>
      </c>
      <c r="AF11" s="200">
        <v>11</v>
      </c>
      <c r="AG11" s="200">
        <v>5</v>
      </c>
      <c r="AH11" s="200">
        <v>19.9</v>
      </c>
      <c r="AI11" s="200">
        <v>0.19</v>
      </c>
      <c r="AJ11" s="200">
        <v>0.18</v>
      </c>
      <c r="AK11" s="200">
        <v>33.2</v>
      </c>
      <c r="AL11" s="205">
        <v>8.1</v>
      </c>
      <c r="AM11" s="205">
        <v>7.84</v>
      </c>
      <c r="AN11" s="205">
        <v>1.91</v>
      </c>
      <c r="AO11" s="205">
        <v>0.52</v>
      </c>
      <c r="AP11" s="205">
        <v>0.15</v>
      </c>
      <c r="AQ11">
        <v>78.3</v>
      </c>
      <c r="AR11">
        <v>20</v>
      </c>
    </row>
    <row r="12" ht="12.95" customHeight="1" spans="1:44">
      <c r="A12" s="112">
        <v>6</v>
      </c>
      <c r="B12" s="113">
        <f t="shared" si="0"/>
        <v>136</v>
      </c>
      <c r="C12" s="114">
        <v>61.2</v>
      </c>
      <c r="D12" s="115">
        <f t="shared" si="1"/>
        <v>60</v>
      </c>
      <c r="E12" s="116">
        <f t="shared" si="2"/>
        <v>1.95</v>
      </c>
      <c r="F12" s="117">
        <f t="shared" si="3"/>
        <v>19.5</v>
      </c>
      <c r="G12" s="118">
        <f t="shared" si="4"/>
        <v>36.6</v>
      </c>
      <c r="H12" s="119">
        <f t="shared" si="5"/>
        <v>25</v>
      </c>
      <c r="I12" s="116">
        <v>2.89</v>
      </c>
      <c r="J12" s="119">
        <f t="shared" si="6"/>
        <v>12</v>
      </c>
      <c r="K12" s="116">
        <f t="shared" si="7"/>
        <v>0.54</v>
      </c>
      <c r="L12" s="164">
        <f t="shared" si="8"/>
        <v>0.44</v>
      </c>
      <c r="M12" s="164">
        <f t="shared" si="9"/>
        <v>8.66</v>
      </c>
      <c r="N12" s="115">
        <f t="shared" si="10"/>
        <v>18</v>
      </c>
      <c r="O12" s="165">
        <v>2.34</v>
      </c>
      <c r="P12" s="115">
        <f t="shared" si="11"/>
        <v>5</v>
      </c>
      <c r="Q12" s="164">
        <f t="shared" si="12"/>
        <v>0.17</v>
      </c>
      <c r="R12" s="168">
        <f t="shared" si="13"/>
        <v>0.36</v>
      </c>
      <c r="S12" s="164">
        <f t="shared" si="14"/>
        <v>7.44</v>
      </c>
      <c r="T12" s="120">
        <f t="shared" si="15"/>
        <v>78.6</v>
      </c>
      <c r="U12" s="185">
        <f t="shared" si="16"/>
        <v>20</v>
      </c>
      <c r="V12" s="186"/>
      <c r="W12" s="187">
        <f t="shared" si="17"/>
        <v>0.79672131147541</v>
      </c>
      <c r="Y12" s="200">
        <v>136</v>
      </c>
      <c r="Z12" s="200">
        <v>25</v>
      </c>
      <c r="AA12" s="200">
        <v>18</v>
      </c>
      <c r="AB12" s="200">
        <v>63</v>
      </c>
      <c r="AC12" s="200">
        <v>2.89</v>
      </c>
      <c r="AD12" s="200">
        <v>2.41</v>
      </c>
      <c r="AE12" s="200">
        <v>60</v>
      </c>
      <c r="AF12" s="200">
        <v>12</v>
      </c>
      <c r="AG12" s="200">
        <v>5</v>
      </c>
      <c r="AH12" s="200">
        <v>19.5</v>
      </c>
      <c r="AI12" s="200">
        <v>0.44</v>
      </c>
      <c r="AJ12" s="200">
        <v>0.36</v>
      </c>
      <c r="AK12" s="200">
        <v>36.6</v>
      </c>
      <c r="AL12" s="205">
        <v>8.66</v>
      </c>
      <c r="AM12" s="205">
        <v>7.44</v>
      </c>
      <c r="AN12" s="206">
        <v>1.95</v>
      </c>
      <c r="AO12" s="206">
        <v>0.54</v>
      </c>
      <c r="AP12" s="206">
        <v>0.17</v>
      </c>
      <c r="AQ12">
        <v>78.6</v>
      </c>
      <c r="AR12">
        <v>20</v>
      </c>
    </row>
    <row r="13" ht="12.95" customHeight="1" spans="1:44">
      <c r="A13" s="112">
        <v>7</v>
      </c>
      <c r="B13" s="113">
        <f t="shared" si="0"/>
        <v>126</v>
      </c>
      <c r="C13" s="114">
        <v>56.4</v>
      </c>
      <c r="D13" s="115">
        <f t="shared" si="1"/>
        <v>56</v>
      </c>
      <c r="E13" s="116">
        <f t="shared" si="2"/>
        <v>1.68</v>
      </c>
      <c r="F13" s="117">
        <f t="shared" si="3"/>
        <v>23.3</v>
      </c>
      <c r="G13" s="118">
        <f t="shared" si="4"/>
        <v>30.6</v>
      </c>
      <c r="H13" s="119">
        <f t="shared" si="5"/>
        <v>27</v>
      </c>
      <c r="I13" s="116">
        <v>2.96</v>
      </c>
      <c r="J13" s="119">
        <f t="shared" si="6"/>
        <v>11</v>
      </c>
      <c r="K13" s="116">
        <f t="shared" si="7"/>
        <v>0.51</v>
      </c>
      <c r="L13" s="164">
        <f t="shared" si="8"/>
        <v>0.25</v>
      </c>
      <c r="M13" s="164">
        <f t="shared" si="9"/>
        <v>7.47</v>
      </c>
      <c r="N13" s="115">
        <f t="shared" si="10"/>
        <v>20</v>
      </c>
      <c r="O13" s="165">
        <v>2.43</v>
      </c>
      <c r="P13" s="115">
        <f t="shared" si="11"/>
        <v>5</v>
      </c>
      <c r="Q13" s="164">
        <f t="shared" si="12"/>
        <v>0.2</v>
      </c>
      <c r="R13" s="168">
        <f t="shared" si="13"/>
        <v>0.2</v>
      </c>
      <c r="S13" s="164">
        <f t="shared" si="14"/>
        <v>6.28</v>
      </c>
      <c r="T13" s="120">
        <f t="shared" si="15"/>
        <v>78.3</v>
      </c>
      <c r="U13" s="185" t="str">
        <f t="shared" si="16"/>
        <v>&lt;20</v>
      </c>
      <c r="V13" s="186"/>
      <c r="W13" s="187">
        <f t="shared" si="17"/>
        <v>0.794771241830065</v>
      </c>
      <c r="Y13" s="200">
        <v>126</v>
      </c>
      <c r="Z13" s="200">
        <v>27</v>
      </c>
      <c r="AA13" s="200">
        <v>20</v>
      </c>
      <c r="AB13" s="200">
        <v>76.4</v>
      </c>
      <c r="AC13" s="200">
        <v>3.02</v>
      </c>
      <c r="AD13" s="200">
        <v>2.76</v>
      </c>
      <c r="AE13" s="200">
        <v>56</v>
      </c>
      <c r="AF13" s="200">
        <v>11</v>
      </c>
      <c r="AG13" s="200">
        <v>5</v>
      </c>
      <c r="AH13" s="200">
        <v>23.3</v>
      </c>
      <c r="AI13" s="200">
        <v>0.25</v>
      </c>
      <c r="AJ13" s="200">
        <v>0.2</v>
      </c>
      <c r="AK13" s="200">
        <v>30.6</v>
      </c>
      <c r="AL13" s="205">
        <v>7.47</v>
      </c>
      <c r="AM13" s="205">
        <v>6.28</v>
      </c>
      <c r="AN13" s="206">
        <v>1.68</v>
      </c>
      <c r="AO13" s="206">
        <v>0.51</v>
      </c>
      <c r="AP13" s="206">
        <v>0.2</v>
      </c>
      <c r="AQ13">
        <v>78.3</v>
      </c>
      <c r="AR13" t="s">
        <v>136</v>
      </c>
    </row>
    <row r="14" ht="12.95" customHeight="1" spans="1:44">
      <c r="A14" s="112">
        <v>8</v>
      </c>
      <c r="B14" s="113">
        <f t="shared" si="0"/>
        <v>148</v>
      </c>
      <c r="C14" s="114">
        <v>66.4</v>
      </c>
      <c r="D14" s="115">
        <f t="shared" si="1"/>
        <v>78</v>
      </c>
      <c r="E14" s="116">
        <f t="shared" si="2"/>
        <v>2.43</v>
      </c>
      <c r="F14" s="117">
        <f t="shared" si="3"/>
        <v>20</v>
      </c>
      <c r="G14" s="118">
        <f t="shared" si="4"/>
        <v>25.3</v>
      </c>
      <c r="H14" s="119">
        <f t="shared" si="5"/>
        <v>25</v>
      </c>
      <c r="I14" s="116">
        <v>2.86</v>
      </c>
      <c r="J14" s="119">
        <f t="shared" si="6"/>
        <v>11</v>
      </c>
      <c r="K14" s="116">
        <f t="shared" si="7"/>
        <v>0.51</v>
      </c>
      <c r="L14" s="164">
        <f t="shared" si="8"/>
        <v>0.4</v>
      </c>
      <c r="M14" s="164">
        <f t="shared" si="9"/>
        <v>7.03</v>
      </c>
      <c r="N14" s="115">
        <f t="shared" si="10"/>
        <v>18</v>
      </c>
      <c r="O14" s="165">
        <v>2.24</v>
      </c>
      <c r="P14" s="115">
        <f t="shared" si="11"/>
        <v>5</v>
      </c>
      <c r="Q14" s="164">
        <f t="shared" si="12"/>
        <v>0.18</v>
      </c>
      <c r="R14" s="168">
        <f t="shared" si="13"/>
        <v>0.24</v>
      </c>
      <c r="S14" s="164">
        <f t="shared" si="14"/>
        <v>6.86</v>
      </c>
      <c r="T14" s="120">
        <f t="shared" si="15"/>
        <v>78.8</v>
      </c>
      <c r="U14" s="185" t="str">
        <f t="shared" si="16"/>
        <v>&lt;20</v>
      </c>
      <c r="V14" s="186"/>
      <c r="W14" s="187">
        <f t="shared" si="17"/>
        <v>0.728853754940711</v>
      </c>
      <c r="Y14" s="200">
        <v>148</v>
      </c>
      <c r="Z14" s="200">
        <v>25</v>
      </c>
      <c r="AA14" s="200">
        <v>18</v>
      </c>
      <c r="AB14" s="200">
        <v>58</v>
      </c>
      <c r="AC14" s="200">
        <v>2.74</v>
      </c>
      <c r="AD14" s="200">
        <v>2.18</v>
      </c>
      <c r="AE14" s="200">
        <v>78</v>
      </c>
      <c r="AF14" s="200">
        <v>11</v>
      </c>
      <c r="AG14" s="200">
        <v>5</v>
      </c>
      <c r="AH14" s="200">
        <v>20</v>
      </c>
      <c r="AI14" s="200">
        <v>0.4</v>
      </c>
      <c r="AJ14" s="200">
        <v>0.24</v>
      </c>
      <c r="AK14" s="200">
        <v>25.3</v>
      </c>
      <c r="AL14" s="205">
        <v>7.03</v>
      </c>
      <c r="AM14" s="205">
        <v>6.86</v>
      </c>
      <c r="AN14" s="206">
        <v>2.43</v>
      </c>
      <c r="AO14" s="206">
        <v>0.51</v>
      </c>
      <c r="AP14" s="206">
        <v>0.18</v>
      </c>
      <c r="AQ14">
        <v>78.8</v>
      </c>
      <c r="AR14" t="s">
        <v>136</v>
      </c>
    </row>
    <row r="15" ht="12.95" customHeight="1" spans="1:44">
      <c r="A15" s="112">
        <v>9</v>
      </c>
      <c r="B15" s="113">
        <f t="shared" si="0"/>
        <v>130</v>
      </c>
      <c r="C15" s="114">
        <v>58.2</v>
      </c>
      <c r="D15" s="115">
        <f t="shared" si="1"/>
        <v>50</v>
      </c>
      <c r="E15" s="116">
        <f t="shared" si="2"/>
        <v>2.16</v>
      </c>
      <c r="F15" s="117">
        <f t="shared" si="3"/>
        <v>22.7</v>
      </c>
      <c r="G15" s="118">
        <f t="shared" si="4"/>
        <v>27.6</v>
      </c>
      <c r="H15" s="119">
        <f t="shared" si="5"/>
        <v>26</v>
      </c>
      <c r="I15" s="116">
        <v>2.84</v>
      </c>
      <c r="J15" s="119">
        <f t="shared" si="6"/>
        <v>14</v>
      </c>
      <c r="K15" s="116">
        <f t="shared" si="7"/>
        <v>0.53</v>
      </c>
      <c r="L15" s="164">
        <f t="shared" si="8"/>
        <v>0.35</v>
      </c>
      <c r="M15" s="164">
        <f t="shared" si="9"/>
        <v>7.42</v>
      </c>
      <c r="N15" s="115">
        <f t="shared" si="10"/>
        <v>18</v>
      </c>
      <c r="O15" s="165">
        <v>2.22</v>
      </c>
      <c r="P15" s="115">
        <f t="shared" si="11"/>
        <v>5</v>
      </c>
      <c r="Q15" s="164">
        <f t="shared" si="12"/>
        <v>0.23</v>
      </c>
      <c r="R15" s="168">
        <f t="shared" si="13"/>
        <v>0.28</v>
      </c>
      <c r="S15" s="164">
        <f t="shared" si="14"/>
        <v>7.1</v>
      </c>
      <c r="T15" s="120">
        <f t="shared" si="15"/>
        <v>78.7</v>
      </c>
      <c r="U15" s="185" t="str">
        <f t="shared" si="16"/>
        <v>&lt;20</v>
      </c>
      <c r="V15" s="186"/>
      <c r="W15" s="187">
        <f t="shared" si="17"/>
        <v>0.742753623188406</v>
      </c>
      <c r="Y15" s="200">
        <v>130</v>
      </c>
      <c r="Z15" s="200">
        <v>26</v>
      </c>
      <c r="AA15" s="200">
        <v>18</v>
      </c>
      <c r="AB15" s="200">
        <v>69.1</v>
      </c>
      <c r="AC15" s="200">
        <v>2.88</v>
      </c>
      <c r="AD15" s="200">
        <v>2.23</v>
      </c>
      <c r="AE15" s="200">
        <v>50</v>
      </c>
      <c r="AF15" s="200">
        <v>14</v>
      </c>
      <c r="AG15" s="200">
        <v>5</v>
      </c>
      <c r="AH15" s="200">
        <v>22.7</v>
      </c>
      <c r="AI15" s="200">
        <v>0.35</v>
      </c>
      <c r="AJ15" s="200">
        <v>0.28</v>
      </c>
      <c r="AK15" s="200">
        <v>27.6</v>
      </c>
      <c r="AL15" s="205">
        <v>7.42</v>
      </c>
      <c r="AM15" s="205">
        <v>7.1</v>
      </c>
      <c r="AN15" s="206">
        <v>2.16</v>
      </c>
      <c r="AO15" s="206">
        <v>0.53</v>
      </c>
      <c r="AP15" s="206">
        <v>0.23</v>
      </c>
      <c r="AQ15">
        <v>78.7</v>
      </c>
      <c r="AR15" t="s">
        <v>136</v>
      </c>
    </row>
    <row r="16" ht="12.95" customHeight="1" spans="1:44">
      <c r="A16" s="112">
        <v>10</v>
      </c>
      <c r="B16" s="113">
        <f t="shared" si="0"/>
        <v>136</v>
      </c>
      <c r="C16" s="114">
        <v>61</v>
      </c>
      <c r="D16" s="115">
        <f t="shared" si="1"/>
        <v>70</v>
      </c>
      <c r="E16" s="116">
        <f t="shared" si="2"/>
        <v>3.43</v>
      </c>
      <c r="F16" s="117">
        <f t="shared" si="3"/>
        <v>16.2</v>
      </c>
      <c r="G16" s="118">
        <f t="shared" si="4"/>
        <v>22.3</v>
      </c>
      <c r="H16" s="119">
        <f t="shared" si="5"/>
        <v>37</v>
      </c>
      <c r="I16" s="116">
        <v>3.26</v>
      </c>
      <c r="J16" s="119">
        <f t="shared" si="6"/>
        <v>14</v>
      </c>
      <c r="K16" s="116">
        <f t="shared" si="7"/>
        <v>0.53</v>
      </c>
      <c r="L16" s="164">
        <f t="shared" si="8"/>
        <v>0.41</v>
      </c>
      <c r="M16" s="164">
        <f t="shared" si="9"/>
        <v>7.76</v>
      </c>
      <c r="N16" s="115">
        <f t="shared" si="10"/>
        <v>23</v>
      </c>
      <c r="O16" s="165">
        <v>2.64</v>
      </c>
      <c r="P16" s="115">
        <f t="shared" si="11"/>
        <v>5</v>
      </c>
      <c r="Q16" s="164">
        <f t="shared" si="12"/>
        <v>0.21</v>
      </c>
      <c r="R16" s="168">
        <f t="shared" si="13"/>
        <v>0.4</v>
      </c>
      <c r="S16" s="164">
        <f t="shared" si="14"/>
        <v>6.82</v>
      </c>
      <c r="T16" s="120">
        <f t="shared" si="15"/>
        <v>78.8</v>
      </c>
      <c r="U16" s="185">
        <f t="shared" si="16"/>
        <v>40</v>
      </c>
      <c r="V16" s="186"/>
      <c r="W16" s="187">
        <f t="shared" si="17"/>
        <v>0.694170403587444</v>
      </c>
      <c r="Y16" s="200">
        <v>136</v>
      </c>
      <c r="Z16" s="200">
        <v>37</v>
      </c>
      <c r="AA16" s="200">
        <v>23</v>
      </c>
      <c r="AB16" s="200">
        <v>57.2</v>
      </c>
      <c r="AC16" s="200">
        <v>2.67</v>
      </c>
      <c r="AD16" s="200">
        <v>2.18</v>
      </c>
      <c r="AE16" s="200">
        <v>70</v>
      </c>
      <c r="AF16" s="200">
        <v>14</v>
      </c>
      <c r="AG16" s="200">
        <v>5</v>
      </c>
      <c r="AH16" s="200">
        <v>16.2</v>
      </c>
      <c r="AI16" s="200">
        <v>0.41</v>
      </c>
      <c r="AJ16" s="200">
        <v>0.4</v>
      </c>
      <c r="AK16" s="200">
        <v>22.3</v>
      </c>
      <c r="AL16" s="205">
        <v>7.76</v>
      </c>
      <c r="AM16" s="205">
        <v>6.82</v>
      </c>
      <c r="AN16" s="206">
        <v>3.43</v>
      </c>
      <c r="AO16" s="206">
        <v>0.53</v>
      </c>
      <c r="AP16" s="206">
        <v>0.21</v>
      </c>
      <c r="AQ16">
        <v>78.8</v>
      </c>
      <c r="AR16">
        <v>40</v>
      </c>
    </row>
    <row r="17" ht="12.95" customHeight="1" spans="1:44">
      <c r="A17" s="112">
        <v>11</v>
      </c>
      <c r="B17" s="113">
        <f t="shared" si="0"/>
        <v>146</v>
      </c>
      <c r="C17" s="114">
        <v>65.4</v>
      </c>
      <c r="D17" s="115">
        <f t="shared" si="1"/>
        <v>64</v>
      </c>
      <c r="E17" s="116">
        <f t="shared" si="2"/>
        <v>1.6</v>
      </c>
      <c r="F17" s="117">
        <f t="shared" si="3"/>
        <v>16.1</v>
      </c>
      <c r="G17" s="118">
        <f t="shared" si="4"/>
        <v>22</v>
      </c>
      <c r="H17" s="119">
        <f t="shared" si="5"/>
        <v>29</v>
      </c>
      <c r="I17" s="116">
        <v>2.98</v>
      </c>
      <c r="J17" s="119">
        <f t="shared" si="6"/>
        <v>12</v>
      </c>
      <c r="K17" s="116">
        <f t="shared" si="7"/>
        <v>0.52</v>
      </c>
      <c r="L17" s="164">
        <f t="shared" si="8"/>
        <v>0.31</v>
      </c>
      <c r="M17" s="164">
        <f t="shared" si="9"/>
        <v>6.82</v>
      </c>
      <c r="N17" s="115">
        <f t="shared" si="10"/>
        <v>22</v>
      </c>
      <c r="O17" s="165">
        <v>2.4</v>
      </c>
      <c r="P17" s="115">
        <f t="shared" si="11"/>
        <v>5</v>
      </c>
      <c r="Q17" s="164">
        <f t="shared" si="12"/>
        <v>0.2</v>
      </c>
      <c r="R17" s="168">
        <f t="shared" si="13"/>
        <v>0.29</v>
      </c>
      <c r="S17" s="164">
        <f t="shared" si="14"/>
        <v>6.15</v>
      </c>
      <c r="T17" s="120">
        <f t="shared" si="15"/>
        <v>78.9</v>
      </c>
      <c r="U17" s="185">
        <f t="shared" si="16"/>
        <v>300</v>
      </c>
      <c r="V17" s="186"/>
      <c r="W17" s="187">
        <f t="shared" si="17"/>
        <v>0.720454545454545</v>
      </c>
      <c r="Y17" s="200">
        <v>146</v>
      </c>
      <c r="Z17" s="200">
        <v>29</v>
      </c>
      <c r="AA17" s="200">
        <v>22</v>
      </c>
      <c r="AB17" s="200">
        <v>61.2</v>
      </c>
      <c r="AC17" s="200">
        <v>2.89</v>
      </c>
      <c r="AD17" s="200">
        <v>2.34</v>
      </c>
      <c r="AE17" s="200">
        <v>64</v>
      </c>
      <c r="AF17" s="200">
        <v>12</v>
      </c>
      <c r="AG17" s="200">
        <v>5</v>
      </c>
      <c r="AH17" s="200">
        <v>16.1</v>
      </c>
      <c r="AI17" s="200">
        <v>0.31</v>
      </c>
      <c r="AJ17" s="200">
        <v>0.29</v>
      </c>
      <c r="AK17" s="200">
        <v>22</v>
      </c>
      <c r="AL17" s="205">
        <v>6.82</v>
      </c>
      <c r="AM17" s="205">
        <v>6.15</v>
      </c>
      <c r="AN17" s="206">
        <v>1.6</v>
      </c>
      <c r="AO17" s="206">
        <v>0.52</v>
      </c>
      <c r="AP17" s="206">
        <v>0.2</v>
      </c>
      <c r="AQ17">
        <v>78.9</v>
      </c>
      <c r="AR17">
        <v>300</v>
      </c>
    </row>
    <row r="18" ht="12.95" customHeight="1" spans="1:44">
      <c r="A18" s="112">
        <v>12</v>
      </c>
      <c r="B18" s="113">
        <f t="shared" si="0"/>
        <v>169</v>
      </c>
      <c r="C18" s="114">
        <v>75.8</v>
      </c>
      <c r="D18" s="115">
        <f t="shared" si="1"/>
        <v>90</v>
      </c>
      <c r="E18" s="116">
        <f t="shared" si="2"/>
        <v>1.67</v>
      </c>
      <c r="F18" s="117">
        <f t="shared" si="3"/>
        <v>20</v>
      </c>
      <c r="G18" s="118">
        <f t="shared" si="4"/>
        <v>26.4</v>
      </c>
      <c r="H18" s="119">
        <f t="shared" si="5"/>
        <v>32</v>
      </c>
      <c r="I18" s="116">
        <v>3.2</v>
      </c>
      <c r="J18" s="119">
        <f t="shared" si="6"/>
        <v>16</v>
      </c>
      <c r="K18" s="116">
        <f t="shared" si="7"/>
        <v>0.5</v>
      </c>
      <c r="L18" s="164">
        <f t="shared" si="8"/>
        <v>0.32</v>
      </c>
      <c r="M18" s="164">
        <f t="shared" si="9"/>
        <v>7.4</v>
      </c>
      <c r="N18" s="115">
        <f t="shared" si="10"/>
        <v>23</v>
      </c>
      <c r="O18" s="165">
        <v>2.34</v>
      </c>
      <c r="P18" s="115">
        <f t="shared" si="11"/>
        <v>6</v>
      </c>
      <c r="Q18" s="164">
        <f t="shared" si="12"/>
        <v>0.27</v>
      </c>
      <c r="R18" s="168">
        <f t="shared" si="13"/>
        <v>0.27</v>
      </c>
      <c r="S18" s="164">
        <f t="shared" si="14"/>
        <v>7.16</v>
      </c>
      <c r="T18" s="120">
        <f t="shared" si="15"/>
        <v>78.7</v>
      </c>
      <c r="U18" s="185">
        <f t="shared" si="16"/>
        <v>130</v>
      </c>
      <c r="V18" s="186"/>
      <c r="W18" s="187">
        <f t="shared" si="17"/>
        <v>0.728787878787879</v>
      </c>
      <c r="Y18" s="200">
        <v>169</v>
      </c>
      <c r="Z18" s="200">
        <v>32</v>
      </c>
      <c r="AA18" s="200">
        <v>23</v>
      </c>
      <c r="AB18" s="200">
        <v>56.4</v>
      </c>
      <c r="AC18" s="200">
        <v>2.96</v>
      </c>
      <c r="AD18" s="200">
        <v>2.43</v>
      </c>
      <c r="AE18" s="200">
        <v>90</v>
      </c>
      <c r="AF18" s="200">
        <v>16</v>
      </c>
      <c r="AG18" s="200">
        <v>6</v>
      </c>
      <c r="AH18" s="200">
        <v>20</v>
      </c>
      <c r="AI18" s="200">
        <v>0.32</v>
      </c>
      <c r="AJ18" s="200">
        <v>0.27</v>
      </c>
      <c r="AK18" s="207">
        <v>26.4</v>
      </c>
      <c r="AL18" s="205">
        <v>7.4</v>
      </c>
      <c r="AM18" s="205">
        <v>7.16</v>
      </c>
      <c r="AN18" s="206">
        <v>1.67</v>
      </c>
      <c r="AO18" s="206">
        <v>0.5</v>
      </c>
      <c r="AP18" s="206">
        <v>0.27</v>
      </c>
      <c r="AQ18">
        <v>78.7</v>
      </c>
      <c r="AR18">
        <v>130</v>
      </c>
    </row>
    <row r="19" ht="12.95" customHeight="1" spans="1:44">
      <c r="A19" s="112">
        <v>13</v>
      </c>
      <c r="B19" s="113">
        <f t="shared" si="0"/>
        <v>172</v>
      </c>
      <c r="C19" s="114">
        <v>77.2</v>
      </c>
      <c r="D19" s="115">
        <f t="shared" si="1"/>
        <v>56</v>
      </c>
      <c r="E19" s="116">
        <f t="shared" si="2"/>
        <v>3.01</v>
      </c>
      <c r="F19" s="117">
        <f t="shared" si="3"/>
        <v>18</v>
      </c>
      <c r="G19" s="118">
        <f t="shared" si="4"/>
        <v>24.2</v>
      </c>
      <c r="H19" s="119">
        <f t="shared" si="5"/>
        <v>35</v>
      </c>
      <c r="I19" s="116">
        <v>3.36</v>
      </c>
      <c r="J19" s="119">
        <f t="shared" si="6"/>
        <v>18</v>
      </c>
      <c r="K19" s="116">
        <f t="shared" si="7"/>
        <v>0.54</v>
      </c>
      <c r="L19" s="164">
        <f t="shared" si="8"/>
        <v>0.4</v>
      </c>
      <c r="M19" s="164">
        <f t="shared" si="9"/>
        <v>8.02</v>
      </c>
      <c r="N19" s="115">
        <f t="shared" si="10"/>
        <v>24</v>
      </c>
      <c r="O19" s="165">
        <v>2.54</v>
      </c>
      <c r="P19" s="115">
        <f t="shared" si="11"/>
        <v>5</v>
      </c>
      <c r="Q19" s="164">
        <f t="shared" si="12"/>
        <v>0.26</v>
      </c>
      <c r="R19" s="168">
        <f t="shared" si="13"/>
        <v>0.25</v>
      </c>
      <c r="S19" s="164">
        <f t="shared" si="14"/>
        <v>7.03</v>
      </c>
      <c r="T19" s="120">
        <f t="shared" si="15"/>
        <v>78.6</v>
      </c>
      <c r="U19" s="185">
        <f t="shared" si="16"/>
        <v>90</v>
      </c>
      <c r="V19" s="186"/>
      <c r="W19" s="187">
        <f t="shared" si="17"/>
        <v>0.709504132231405</v>
      </c>
      <c r="Y19" s="200">
        <v>172</v>
      </c>
      <c r="Z19" s="200">
        <v>35</v>
      </c>
      <c r="AA19" s="200">
        <v>24</v>
      </c>
      <c r="AB19" s="200">
        <v>66.4</v>
      </c>
      <c r="AC19" s="200">
        <v>2.86</v>
      </c>
      <c r="AD19" s="200">
        <v>2.24</v>
      </c>
      <c r="AE19" s="200">
        <v>56</v>
      </c>
      <c r="AF19" s="200">
        <v>18</v>
      </c>
      <c r="AG19" s="200">
        <v>5</v>
      </c>
      <c r="AH19" s="200">
        <v>18</v>
      </c>
      <c r="AI19" s="200">
        <v>0.4</v>
      </c>
      <c r="AJ19" s="200">
        <v>0.25</v>
      </c>
      <c r="AK19" s="200">
        <v>24.2</v>
      </c>
      <c r="AL19" s="205">
        <v>8.02</v>
      </c>
      <c r="AM19" s="205">
        <v>7.03</v>
      </c>
      <c r="AN19" s="206">
        <v>3.01</v>
      </c>
      <c r="AO19" s="206">
        <v>0.54</v>
      </c>
      <c r="AP19" s="206">
        <v>0.26</v>
      </c>
      <c r="AQ19">
        <v>78.6</v>
      </c>
      <c r="AR19">
        <v>90</v>
      </c>
    </row>
    <row r="20" ht="12.95" customHeight="1" spans="1:44">
      <c r="A20" s="112">
        <v>14</v>
      </c>
      <c r="B20" s="113">
        <f t="shared" si="0"/>
        <v>166</v>
      </c>
      <c r="C20" s="114">
        <v>74.3</v>
      </c>
      <c r="D20" s="115">
        <f t="shared" si="1"/>
        <v>72</v>
      </c>
      <c r="E20" s="116">
        <f t="shared" si="2"/>
        <v>1.99</v>
      </c>
      <c r="F20" s="117">
        <f t="shared" si="3"/>
        <v>17.7</v>
      </c>
      <c r="G20" s="118">
        <f t="shared" si="4"/>
        <v>25.1</v>
      </c>
      <c r="H20" s="119">
        <f t="shared" si="5"/>
        <v>35</v>
      </c>
      <c r="I20" s="116">
        <v>3.61</v>
      </c>
      <c r="J20" s="119">
        <f t="shared" si="6"/>
        <v>17</v>
      </c>
      <c r="K20" s="116">
        <f t="shared" si="7"/>
        <v>0.55</v>
      </c>
      <c r="L20" s="164">
        <f t="shared" si="8"/>
        <v>0.46</v>
      </c>
      <c r="M20" s="164">
        <f t="shared" si="9"/>
        <v>7.94</v>
      </c>
      <c r="N20" s="115">
        <f t="shared" si="10"/>
        <v>29</v>
      </c>
      <c r="O20" s="165">
        <v>2.82</v>
      </c>
      <c r="P20" s="115">
        <f t="shared" si="11"/>
        <v>5</v>
      </c>
      <c r="Q20" s="164">
        <f t="shared" si="12"/>
        <v>0.24</v>
      </c>
      <c r="R20" s="168">
        <f t="shared" si="13"/>
        <v>0.41</v>
      </c>
      <c r="S20" s="164">
        <f t="shared" si="14"/>
        <v>7.03</v>
      </c>
      <c r="T20" s="120">
        <f t="shared" si="15"/>
        <v>78.5</v>
      </c>
      <c r="U20" s="185" t="str">
        <f t="shared" si="16"/>
        <v>&lt;20</v>
      </c>
      <c r="V20" s="186"/>
      <c r="W20" s="187">
        <f t="shared" si="17"/>
        <v>0.7199203187251</v>
      </c>
      <c r="Y20" s="200">
        <v>166</v>
      </c>
      <c r="Z20" s="200">
        <v>35</v>
      </c>
      <c r="AA20" s="200">
        <v>29</v>
      </c>
      <c r="AB20" s="200">
        <v>58.2</v>
      </c>
      <c r="AC20" s="200">
        <v>2.84</v>
      </c>
      <c r="AD20" s="200">
        <v>2.22</v>
      </c>
      <c r="AE20" s="200">
        <v>72</v>
      </c>
      <c r="AF20" s="200">
        <v>17</v>
      </c>
      <c r="AG20" s="200">
        <v>5</v>
      </c>
      <c r="AH20" s="200">
        <v>17.7</v>
      </c>
      <c r="AI20" s="200">
        <v>0.46</v>
      </c>
      <c r="AJ20" s="200">
        <v>0.41</v>
      </c>
      <c r="AK20" s="200">
        <v>25.1</v>
      </c>
      <c r="AL20" s="205">
        <v>7.94</v>
      </c>
      <c r="AM20" s="205">
        <v>7.03</v>
      </c>
      <c r="AN20" s="206">
        <v>1.99</v>
      </c>
      <c r="AO20" s="206">
        <v>0.55</v>
      </c>
      <c r="AP20" s="206">
        <v>0.24</v>
      </c>
      <c r="AQ20">
        <v>78.5</v>
      </c>
      <c r="AR20" t="s">
        <v>136</v>
      </c>
    </row>
    <row r="21" ht="12.95" customHeight="1" spans="1:44">
      <c r="A21" s="112">
        <v>15</v>
      </c>
      <c r="B21" s="113">
        <f t="shared" si="0"/>
        <v>156</v>
      </c>
      <c r="C21" s="114">
        <v>70.2</v>
      </c>
      <c r="D21" s="115">
        <f t="shared" si="1"/>
        <v>78</v>
      </c>
      <c r="E21" s="116">
        <f t="shared" si="2"/>
        <v>1.42</v>
      </c>
      <c r="F21" s="117">
        <f t="shared" si="3"/>
        <v>19.3</v>
      </c>
      <c r="G21" s="118">
        <f t="shared" si="4"/>
        <v>25.6</v>
      </c>
      <c r="H21" s="119">
        <f t="shared" si="5"/>
        <v>44</v>
      </c>
      <c r="I21" s="116">
        <v>4.1</v>
      </c>
      <c r="J21" s="119">
        <f t="shared" si="6"/>
        <v>18</v>
      </c>
      <c r="K21" s="116">
        <f t="shared" si="7"/>
        <v>0.52</v>
      </c>
      <c r="L21" s="164">
        <f t="shared" si="8"/>
        <v>1.38</v>
      </c>
      <c r="M21" s="164">
        <f t="shared" si="9"/>
        <v>7.84</v>
      </c>
      <c r="N21" s="115">
        <f t="shared" si="10"/>
        <v>32</v>
      </c>
      <c r="O21" s="165">
        <v>3.06</v>
      </c>
      <c r="P21" s="115">
        <f t="shared" si="11"/>
        <v>6</v>
      </c>
      <c r="Q21" s="164">
        <f t="shared" si="12"/>
        <v>0.19</v>
      </c>
      <c r="R21" s="168">
        <f t="shared" si="13"/>
        <v>0.67</v>
      </c>
      <c r="S21" s="164">
        <f t="shared" si="14"/>
        <v>7.84</v>
      </c>
      <c r="T21" s="120">
        <f t="shared" si="15"/>
        <v>78.8</v>
      </c>
      <c r="U21" s="185">
        <f t="shared" si="16"/>
        <v>20</v>
      </c>
      <c r="V21" s="186"/>
      <c r="W21" s="187">
        <f t="shared" si="17"/>
        <v>0.69375</v>
      </c>
      <c r="Y21" s="200">
        <v>156</v>
      </c>
      <c r="Z21" s="200">
        <v>44</v>
      </c>
      <c r="AA21" s="200">
        <v>32</v>
      </c>
      <c r="AB21" s="200">
        <v>61</v>
      </c>
      <c r="AC21" s="200">
        <v>3.26</v>
      </c>
      <c r="AD21" s="200">
        <v>2.64</v>
      </c>
      <c r="AE21" s="200">
        <v>78</v>
      </c>
      <c r="AF21" s="200">
        <v>18</v>
      </c>
      <c r="AG21" s="200">
        <v>6</v>
      </c>
      <c r="AH21" s="200">
        <v>19.3</v>
      </c>
      <c r="AI21" s="200">
        <v>1.38</v>
      </c>
      <c r="AJ21" s="200">
        <v>0.67</v>
      </c>
      <c r="AK21" s="200">
        <v>25.6</v>
      </c>
      <c r="AL21" s="205">
        <v>7.84</v>
      </c>
      <c r="AM21" s="205">
        <v>7.84</v>
      </c>
      <c r="AN21" s="206">
        <v>1.42</v>
      </c>
      <c r="AO21" s="206">
        <v>0.52</v>
      </c>
      <c r="AP21" s="206">
        <v>0.19</v>
      </c>
      <c r="AQ21">
        <v>78.8</v>
      </c>
      <c r="AR21">
        <v>20</v>
      </c>
    </row>
    <row r="22" ht="12" customHeight="1" spans="1:44">
      <c r="A22" s="112">
        <v>16</v>
      </c>
      <c r="B22" s="113">
        <f t="shared" si="0"/>
        <v>173</v>
      </c>
      <c r="C22" s="114">
        <v>77.4</v>
      </c>
      <c r="D22" s="115">
        <f t="shared" si="1"/>
        <v>94</v>
      </c>
      <c r="E22" s="116">
        <f t="shared" si="2"/>
        <v>2.02</v>
      </c>
      <c r="F22" s="117">
        <f t="shared" si="3"/>
        <v>21.2</v>
      </c>
      <c r="G22" s="118">
        <f t="shared" si="4"/>
        <v>26.7</v>
      </c>
      <c r="H22" s="119">
        <f t="shared" si="5"/>
        <v>35</v>
      </c>
      <c r="I22" s="116">
        <v>3.12</v>
      </c>
      <c r="J22" s="119">
        <f t="shared" si="6"/>
        <v>16</v>
      </c>
      <c r="K22" s="116">
        <f t="shared" si="7"/>
        <v>0.51</v>
      </c>
      <c r="L22" s="164">
        <f t="shared" si="8"/>
        <v>0.44</v>
      </c>
      <c r="M22" s="164">
        <f t="shared" si="9"/>
        <v>7.8</v>
      </c>
      <c r="N22" s="115">
        <f t="shared" si="10"/>
        <v>25</v>
      </c>
      <c r="O22" s="165">
        <v>2.6</v>
      </c>
      <c r="P22" s="115">
        <f t="shared" si="11"/>
        <v>5</v>
      </c>
      <c r="Q22" s="164">
        <f t="shared" si="12"/>
        <v>0.16</v>
      </c>
      <c r="R22" s="168">
        <f t="shared" si="13"/>
        <v>0.42</v>
      </c>
      <c r="S22" s="164">
        <f t="shared" si="14"/>
        <v>6.89</v>
      </c>
      <c r="T22" s="120">
        <f t="shared" si="15"/>
        <v>78.6</v>
      </c>
      <c r="U22" s="185">
        <f t="shared" si="16"/>
        <v>20</v>
      </c>
      <c r="V22" s="186"/>
      <c r="W22" s="187">
        <f t="shared" si="17"/>
        <v>0.741947565543071</v>
      </c>
      <c r="Y22" s="200">
        <v>173</v>
      </c>
      <c r="Z22" s="200">
        <v>35</v>
      </c>
      <c r="AA22" s="200">
        <v>25</v>
      </c>
      <c r="AB22" s="200">
        <v>65.4</v>
      </c>
      <c r="AC22" s="200">
        <v>2.98</v>
      </c>
      <c r="AD22" s="200">
        <v>2.4</v>
      </c>
      <c r="AE22" s="200">
        <v>94</v>
      </c>
      <c r="AF22" s="200">
        <v>16</v>
      </c>
      <c r="AG22" s="200">
        <v>5</v>
      </c>
      <c r="AH22" s="200">
        <v>21.2</v>
      </c>
      <c r="AI22" s="200">
        <v>0.44</v>
      </c>
      <c r="AJ22" s="200">
        <v>0.42</v>
      </c>
      <c r="AK22" s="200">
        <v>26.7</v>
      </c>
      <c r="AL22" s="205">
        <v>7.8</v>
      </c>
      <c r="AM22" s="205">
        <v>6.89</v>
      </c>
      <c r="AN22" s="206">
        <v>2.02</v>
      </c>
      <c r="AO22" s="206">
        <v>0.51</v>
      </c>
      <c r="AP22" s="206">
        <v>0.16</v>
      </c>
      <c r="AQ22">
        <v>78.6</v>
      </c>
      <c r="AR22">
        <v>20</v>
      </c>
    </row>
    <row r="23" ht="12.95" customHeight="1" spans="1:44">
      <c r="A23" s="112">
        <v>17</v>
      </c>
      <c r="B23" s="113">
        <f t="shared" si="0"/>
        <v>186</v>
      </c>
      <c r="C23" s="114">
        <v>83.5</v>
      </c>
      <c r="D23" s="115">
        <f t="shared" si="1"/>
        <v>68</v>
      </c>
      <c r="E23" s="116">
        <f t="shared" si="2"/>
        <v>1.99</v>
      </c>
      <c r="F23" s="117">
        <f t="shared" si="3"/>
        <v>20.5</v>
      </c>
      <c r="G23" s="118">
        <f t="shared" si="4"/>
        <v>25.8</v>
      </c>
      <c r="H23" s="119">
        <f t="shared" si="5"/>
        <v>37</v>
      </c>
      <c r="I23" s="116">
        <v>3.32</v>
      </c>
      <c r="J23" s="119">
        <f t="shared" si="6"/>
        <v>17</v>
      </c>
      <c r="K23" s="116">
        <f t="shared" si="7"/>
        <v>0.55</v>
      </c>
      <c r="L23" s="164">
        <f t="shared" si="8"/>
        <v>0.61</v>
      </c>
      <c r="M23" s="164">
        <f t="shared" si="9"/>
        <v>8.47</v>
      </c>
      <c r="N23" s="115">
        <f t="shared" si="10"/>
        <v>25</v>
      </c>
      <c r="O23" s="165">
        <v>2.5</v>
      </c>
      <c r="P23" s="115">
        <f t="shared" si="11"/>
        <v>6</v>
      </c>
      <c r="Q23" s="164">
        <f t="shared" si="12"/>
        <v>0.15</v>
      </c>
      <c r="R23" s="168">
        <f t="shared" si="13"/>
        <v>0.59</v>
      </c>
      <c r="S23" s="164">
        <f t="shared" si="14"/>
        <v>7.61</v>
      </c>
      <c r="T23" s="120">
        <f t="shared" si="15"/>
        <v>78.2</v>
      </c>
      <c r="U23" s="185" t="str">
        <f t="shared" si="16"/>
        <v>&lt;20</v>
      </c>
      <c r="V23" s="186"/>
      <c r="W23" s="187">
        <f t="shared" si="17"/>
        <v>0.705038759689922</v>
      </c>
      <c r="Y23" s="200">
        <v>186</v>
      </c>
      <c r="Z23" s="200">
        <v>37</v>
      </c>
      <c r="AA23" s="200">
        <v>25</v>
      </c>
      <c r="AB23" s="200">
        <v>75.8</v>
      </c>
      <c r="AC23" s="200">
        <v>3.2</v>
      </c>
      <c r="AD23" s="200">
        <v>2.34</v>
      </c>
      <c r="AE23" s="200">
        <v>68</v>
      </c>
      <c r="AF23" s="200">
        <v>17</v>
      </c>
      <c r="AG23" s="200">
        <v>6</v>
      </c>
      <c r="AH23" s="200">
        <v>20.5</v>
      </c>
      <c r="AI23" s="200">
        <v>0.61</v>
      </c>
      <c r="AJ23" s="200">
        <v>0.59</v>
      </c>
      <c r="AK23" s="200">
        <v>25.8</v>
      </c>
      <c r="AL23" s="205">
        <v>8.47</v>
      </c>
      <c r="AM23" s="205">
        <v>7.61</v>
      </c>
      <c r="AN23" s="206">
        <v>1.99</v>
      </c>
      <c r="AO23" s="206">
        <v>0.55</v>
      </c>
      <c r="AP23" s="206">
        <v>0.15</v>
      </c>
      <c r="AQ23">
        <v>78.2</v>
      </c>
      <c r="AR23" t="s">
        <v>136</v>
      </c>
    </row>
    <row r="24" ht="12.95" customHeight="1" spans="1:44">
      <c r="A24" s="112">
        <v>18</v>
      </c>
      <c r="B24" s="113">
        <f t="shared" si="0"/>
        <v>128</v>
      </c>
      <c r="C24" s="114">
        <v>57.6</v>
      </c>
      <c r="D24" s="115">
        <f t="shared" si="1"/>
        <v>46</v>
      </c>
      <c r="E24" s="116">
        <f t="shared" si="2"/>
        <v>1.48</v>
      </c>
      <c r="F24" s="117">
        <f t="shared" si="3"/>
        <v>15.7</v>
      </c>
      <c r="G24" s="118">
        <f t="shared" si="4"/>
        <v>21.6</v>
      </c>
      <c r="H24" s="119">
        <f t="shared" si="5"/>
        <v>33</v>
      </c>
      <c r="I24" s="116">
        <v>3.2</v>
      </c>
      <c r="J24" s="119">
        <f t="shared" si="6"/>
        <v>13</v>
      </c>
      <c r="K24" s="116">
        <f t="shared" si="7"/>
        <v>0.55</v>
      </c>
      <c r="L24" s="164">
        <f t="shared" si="8"/>
        <v>0.32</v>
      </c>
      <c r="M24" s="164">
        <f t="shared" si="9"/>
        <v>7.32</v>
      </c>
      <c r="N24" s="115">
        <f t="shared" si="10"/>
        <v>23</v>
      </c>
      <c r="O24" s="165">
        <v>2.24</v>
      </c>
      <c r="P24" s="115">
        <f t="shared" si="11"/>
        <v>5</v>
      </c>
      <c r="Q24" s="164">
        <f t="shared" si="12"/>
        <v>0.13</v>
      </c>
      <c r="R24" s="168">
        <f t="shared" si="13"/>
        <v>0.22</v>
      </c>
      <c r="S24" s="164">
        <f t="shared" si="14"/>
        <v>7.2</v>
      </c>
      <c r="T24" s="120">
        <f t="shared" si="15"/>
        <v>78.6</v>
      </c>
      <c r="U24" s="185">
        <f t="shared" si="16"/>
        <v>50</v>
      </c>
      <c r="V24" s="186"/>
      <c r="W24" s="187">
        <f t="shared" si="17"/>
        <v>0.666666666666667</v>
      </c>
      <c r="Y24" s="200">
        <v>128</v>
      </c>
      <c r="Z24" s="200">
        <v>33</v>
      </c>
      <c r="AA24" s="200">
        <v>23</v>
      </c>
      <c r="AB24" s="200">
        <v>77.2</v>
      </c>
      <c r="AC24" s="200">
        <v>3.36</v>
      </c>
      <c r="AD24" s="200">
        <v>2.54</v>
      </c>
      <c r="AE24" s="200">
        <v>46</v>
      </c>
      <c r="AF24" s="200">
        <v>13</v>
      </c>
      <c r="AG24" s="200">
        <v>5</v>
      </c>
      <c r="AH24" s="200">
        <v>15.7</v>
      </c>
      <c r="AI24" s="200">
        <v>0.32</v>
      </c>
      <c r="AJ24" s="200">
        <v>0.22</v>
      </c>
      <c r="AK24" s="200">
        <v>21.6</v>
      </c>
      <c r="AL24" s="205">
        <v>7.32</v>
      </c>
      <c r="AM24" s="205">
        <v>7.2</v>
      </c>
      <c r="AN24" s="206">
        <v>1.48</v>
      </c>
      <c r="AO24" s="206">
        <v>0.55</v>
      </c>
      <c r="AP24" s="206">
        <v>0.13</v>
      </c>
      <c r="AQ24">
        <v>78.6</v>
      </c>
      <c r="AR24">
        <v>50</v>
      </c>
    </row>
    <row r="25" ht="12.95" customHeight="1" spans="1:44">
      <c r="A25" s="112">
        <v>19</v>
      </c>
      <c r="B25" s="113">
        <f t="shared" si="0"/>
        <v>212</v>
      </c>
      <c r="C25" s="114">
        <v>85.5</v>
      </c>
      <c r="D25" s="115">
        <f t="shared" si="1"/>
        <v>66</v>
      </c>
      <c r="E25" s="116">
        <f t="shared" si="2"/>
        <v>1.74</v>
      </c>
      <c r="F25" s="117">
        <f t="shared" si="3"/>
        <v>17</v>
      </c>
      <c r="G25" s="118">
        <f t="shared" si="4"/>
        <v>22.7</v>
      </c>
      <c r="H25" s="119">
        <f t="shared" si="5"/>
        <v>29</v>
      </c>
      <c r="I25" s="116">
        <v>2.98</v>
      </c>
      <c r="J25" s="119">
        <f t="shared" si="6"/>
        <v>14</v>
      </c>
      <c r="K25" s="116">
        <f t="shared" si="7"/>
        <v>0.52</v>
      </c>
      <c r="L25" s="164">
        <f t="shared" si="8"/>
        <v>0.26</v>
      </c>
      <c r="M25" s="164">
        <f t="shared" si="9"/>
        <v>7.32</v>
      </c>
      <c r="N25" s="115">
        <f t="shared" si="10"/>
        <v>22</v>
      </c>
      <c r="O25" s="165">
        <v>2.25</v>
      </c>
      <c r="P25" s="115">
        <f t="shared" si="11"/>
        <v>5</v>
      </c>
      <c r="Q25" s="164">
        <f t="shared" si="12"/>
        <v>0.15</v>
      </c>
      <c r="R25" s="168">
        <f t="shared" si="13"/>
        <v>0.21</v>
      </c>
      <c r="S25" s="164">
        <f t="shared" si="14"/>
        <v>7.15</v>
      </c>
      <c r="T25" s="120">
        <f t="shared" si="15"/>
        <v>78.4</v>
      </c>
      <c r="U25" s="185">
        <f t="shared" si="16"/>
        <v>60</v>
      </c>
      <c r="V25" s="186"/>
      <c r="W25" s="187">
        <f t="shared" si="17"/>
        <v>0.685022026431718</v>
      </c>
      <c r="Y25" s="200">
        <v>212</v>
      </c>
      <c r="Z25" s="200">
        <v>29</v>
      </c>
      <c r="AA25" s="200">
        <v>22</v>
      </c>
      <c r="AB25" s="200">
        <v>74.3</v>
      </c>
      <c r="AC25" s="200">
        <v>3.61</v>
      </c>
      <c r="AD25" s="200">
        <v>2.82</v>
      </c>
      <c r="AE25" s="200">
        <v>66</v>
      </c>
      <c r="AF25" s="200">
        <v>14</v>
      </c>
      <c r="AG25" s="200">
        <v>5</v>
      </c>
      <c r="AH25" s="200">
        <v>17</v>
      </c>
      <c r="AI25" s="200">
        <v>0.26</v>
      </c>
      <c r="AJ25" s="200">
        <v>0.21</v>
      </c>
      <c r="AK25" s="200">
        <v>22.7</v>
      </c>
      <c r="AL25" s="208">
        <v>7.32</v>
      </c>
      <c r="AM25" s="205">
        <v>7.15</v>
      </c>
      <c r="AN25" s="206">
        <v>1.74</v>
      </c>
      <c r="AO25" s="206">
        <v>0.52</v>
      </c>
      <c r="AP25" s="206">
        <v>0.15</v>
      </c>
      <c r="AQ25">
        <v>78.4</v>
      </c>
      <c r="AR25">
        <v>60</v>
      </c>
    </row>
    <row r="26" ht="12.95" customHeight="1" spans="1:44">
      <c r="A26" s="112">
        <v>20</v>
      </c>
      <c r="B26" s="113">
        <f t="shared" si="0"/>
        <v>134</v>
      </c>
      <c r="C26" s="114">
        <v>60.4</v>
      </c>
      <c r="D26" s="115">
        <f t="shared" si="1"/>
        <v>44</v>
      </c>
      <c r="E26" s="116">
        <f t="shared" si="2"/>
        <v>1.88</v>
      </c>
      <c r="F26" s="117">
        <f t="shared" si="3"/>
        <v>17</v>
      </c>
      <c r="G26" s="118">
        <f t="shared" si="4"/>
        <v>23.4</v>
      </c>
      <c r="H26" s="119">
        <f t="shared" si="5"/>
        <v>30</v>
      </c>
      <c r="I26" s="116">
        <v>3.04</v>
      </c>
      <c r="J26" s="119">
        <f t="shared" si="6"/>
        <v>14</v>
      </c>
      <c r="K26" s="116">
        <f t="shared" si="7"/>
        <v>0.54</v>
      </c>
      <c r="L26" s="164">
        <f t="shared" si="8"/>
        <v>0.4</v>
      </c>
      <c r="M26" s="164">
        <f t="shared" si="9"/>
        <v>7.28</v>
      </c>
      <c r="N26" s="115">
        <f t="shared" si="10"/>
        <v>21</v>
      </c>
      <c r="O26" s="165">
        <v>2.18</v>
      </c>
      <c r="P26" s="115">
        <f t="shared" si="11"/>
        <v>5</v>
      </c>
      <c r="Q26" s="164">
        <f t="shared" si="12"/>
        <v>0.15</v>
      </c>
      <c r="R26" s="168">
        <f t="shared" si="13"/>
        <v>0.28</v>
      </c>
      <c r="S26" s="164">
        <f t="shared" si="14"/>
        <v>6.68</v>
      </c>
      <c r="T26" s="120">
        <f t="shared" si="15"/>
        <v>78.8</v>
      </c>
      <c r="U26" s="185">
        <f t="shared" si="16"/>
        <v>40</v>
      </c>
      <c r="V26" s="186"/>
      <c r="W26" s="187">
        <f t="shared" si="17"/>
        <v>0.714529914529915</v>
      </c>
      <c r="Y26" s="200">
        <v>134</v>
      </c>
      <c r="Z26" s="200">
        <v>30</v>
      </c>
      <c r="AA26" s="200">
        <v>21</v>
      </c>
      <c r="AB26" s="200">
        <v>70.2</v>
      </c>
      <c r="AC26" s="200">
        <v>4.1</v>
      </c>
      <c r="AD26" s="200">
        <v>3.06</v>
      </c>
      <c r="AE26" s="200">
        <v>44</v>
      </c>
      <c r="AF26" s="200">
        <v>14</v>
      </c>
      <c r="AG26" s="200">
        <v>5</v>
      </c>
      <c r="AH26" s="200">
        <v>17</v>
      </c>
      <c r="AI26" s="200">
        <v>0.4</v>
      </c>
      <c r="AJ26" s="200">
        <v>0.28</v>
      </c>
      <c r="AK26" s="200">
        <v>23.4</v>
      </c>
      <c r="AL26" s="205">
        <v>7.28</v>
      </c>
      <c r="AM26" s="206">
        <v>6.68</v>
      </c>
      <c r="AN26" s="206">
        <v>1.88</v>
      </c>
      <c r="AO26" s="206">
        <v>0.54</v>
      </c>
      <c r="AP26" s="206">
        <v>0.15</v>
      </c>
      <c r="AQ26">
        <v>78.8</v>
      </c>
      <c r="AR26">
        <v>40</v>
      </c>
    </row>
    <row r="27" ht="12.95" customHeight="1" spans="1:44">
      <c r="A27" s="112">
        <v>21</v>
      </c>
      <c r="B27" s="113">
        <f t="shared" si="0"/>
        <v>210</v>
      </c>
      <c r="C27" s="114">
        <v>94.5</v>
      </c>
      <c r="D27" s="115">
        <f t="shared" si="1"/>
        <v>72</v>
      </c>
      <c r="E27" s="116">
        <f t="shared" si="2"/>
        <v>1.74</v>
      </c>
      <c r="F27" s="117">
        <f t="shared" si="3"/>
        <v>17.7</v>
      </c>
      <c r="G27" s="118">
        <f t="shared" si="4"/>
        <v>23.8</v>
      </c>
      <c r="H27" s="119">
        <f t="shared" si="5"/>
        <v>28</v>
      </c>
      <c r="I27" s="116">
        <v>2.89</v>
      </c>
      <c r="J27" s="119">
        <f t="shared" si="6"/>
        <v>17</v>
      </c>
      <c r="K27" s="116">
        <f t="shared" si="7"/>
        <v>0.51</v>
      </c>
      <c r="L27" s="164">
        <f t="shared" si="8"/>
        <v>0.32</v>
      </c>
      <c r="M27" s="164">
        <f t="shared" si="9"/>
        <v>7.15</v>
      </c>
      <c r="N27" s="115">
        <f t="shared" si="10"/>
        <v>24</v>
      </c>
      <c r="O27" s="165">
        <v>2.36</v>
      </c>
      <c r="P27" s="115">
        <f t="shared" si="11"/>
        <v>6</v>
      </c>
      <c r="Q27" s="164">
        <f t="shared" si="12"/>
        <v>0.15</v>
      </c>
      <c r="R27" s="168">
        <f t="shared" si="13"/>
        <v>0.29</v>
      </c>
      <c r="S27" s="164">
        <f t="shared" si="14"/>
        <v>6.54</v>
      </c>
      <c r="T27" s="120">
        <f t="shared" si="15"/>
        <v>78.7</v>
      </c>
      <c r="U27" s="185" t="str">
        <f t="shared" si="16"/>
        <v>&lt;20</v>
      </c>
      <c r="V27" s="186"/>
      <c r="W27" s="187">
        <f t="shared" si="17"/>
        <v>0.725210084033614</v>
      </c>
      <c r="Y27" s="200">
        <v>210</v>
      </c>
      <c r="Z27" s="200">
        <v>28</v>
      </c>
      <c r="AA27" s="200">
        <v>24</v>
      </c>
      <c r="AB27" s="200">
        <v>77.4</v>
      </c>
      <c r="AC27" s="200">
        <v>3.12</v>
      </c>
      <c r="AD27" s="200">
        <v>2.6</v>
      </c>
      <c r="AE27" s="200">
        <v>72</v>
      </c>
      <c r="AF27" s="200">
        <v>17</v>
      </c>
      <c r="AG27" s="200">
        <v>6</v>
      </c>
      <c r="AH27" s="200">
        <v>17.7</v>
      </c>
      <c r="AI27" s="200">
        <v>0.32</v>
      </c>
      <c r="AJ27" s="200">
        <v>0.29</v>
      </c>
      <c r="AK27" s="200">
        <v>23.8</v>
      </c>
      <c r="AL27" s="205">
        <v>7.15</v>
      </c>
      <c r="AM27" s="206">
        <v>6.54</v>
      </c>
      <c r="AN27" s="206">
        <v>1.74</v>
      </c>
      <c r="AO27" s="206">
        <v>0.51</v>
      </c>
      <c r="AP27" s="206">
        <v>0.15</v>
      </c>
      <c r="AQ27">
        <v>78.7</v>
      </c>
      <c r="AR27" t="s">
        <v>136</v>
      </c>
    </row>
    <row r="28" ht="12.95" customHeight="1" spans="1:44">
      <c r="A28" s="112">
        <v>22</v>
      </c>
      <c r="B28" s="113">
        <f t="shared" si="0"/>
        <v>121</v>
      </c>
      <c r="C28" s="114">
        <v>66.3</v>
      </c>
      <c r="D28" s="115">
        <f t="shared" si="1"/>
        <v>66</v>
      </c>
      <c r="E28" s="116">
        <f t="shared" si="2"/>
        <v>1.94</v>
      </c>
      <c r="F28" s="117">
        <f t="shared" si="3"/>
        <v>18.9</v>
      </c>
      <c r="G28" s="118">
        <f t="shared" si="4"/>
        <v>24.7</v>
      </c>
      <c r="H28" s="119">
        <f t="shared" si="5"/>
        <v>25</v>
      </c>
      <c r="I28" s="116">
        <v>3.36</v>
      </c>
      <c r="J28" s="119">
        <f t="shared" si="6"/>
        <v>12</v>
      </c>
      <c r="K28" s="116">
        <f t="shared" si="7"/>
        <v>0.54</v>
      </c>
      <c r="L28" s="164">
        <f t="shared" si="8"/>
        <v>0.45</v>
      </c>
      <c r="M28" s="164">
        <f t="shared" si="9"/>
        <v>7.3</v>
      </c>
      <c r="N28" s="115">
        <f t="shared" si="10"/>
        <v>19</v>
      </c>
      <c r="O28" s="165">
        <v>2.54</v>
      </c>
      <c r="P28" s="115">
        <f t="shared" si="11"/>
        <v>5</v>
      </c>
      <c r="Q28" s="164">
        <f t="shared" si="12"/>
        <v>0.2</v>
      </c>
      <c r="R28" s="168">
        <f t="shared" si="13"/>
        <v>0.32</v>
      </c>
      <c r="S28" s="164">
        <f t="shared" si="14"/>
        <v>7.02</v>
      </c>
      <c r="T28" s="120">
        <f t="shared" si="15"/>
        <v>78.5</v>
      </c>
      <c r="U28" s="185" t="str">
        <f t="shared" si="16"/>
        <v>&lt;20</v>
      </c>
      <c r="V28" s="186"/>
      <c r="W28" s="187">
        <f t="shared" si="17"/>
        <v>0.715789473684211</v>
      </c>
      <c r="Y28" s="200">
        <v>121</v>
      </c>
      <c r="Z28" s="200">
        <v>25</v>
      </c>
      <c r="AA28" s="200">
        <v>19</v>
      </c>
      <c r="AB28" s="200">
        <v>83.5</v>
      </c>
      <c r="AC28" s="200">
        <v>3.32</v>
      </c>
      <c r="AD28" s="200">
        <v>2.5</v>
      </c>
      <c r="AE28" s="200">
        <v>66</v>
      </c>
      <c r="AF28" s="200">
        <v>12</v>
      </c>
      <c r="AG28" s="200">
        <v>5</v>
      </c>
      <c r="AH28" s="200">
        <v>18.9</v>
      </c>
      <c r="AI28" s="200">
        <v>0.45</v>
      </c>
      <c r="AJ28" s="200">
        <v>0.32</v>
      </c>
      <c r="AK28" s="200">
        <v>24.7</v>
      </c>
      <c r="AL28" s="205">
        <v>7.3</v>
      </c>
      <c r="AM28" s="206">
        <v>7.02</v>
      </c>
      <c r="AN28" s="206">
        <v>1.94</v>
      </c>
      <c r="AO28" s="206">
        <v>0.54</v>
      </c>
      <c r="AP28" s="206">
        <v>0.2</v>
      </c>
      <c r="AQ28">
        <v>78.5</v>
      </c>
      <c r="AR28" t="s">
        <v>136</v>
      </c>
    </row>
    <row r="29" ht="12.95" customHeight="1" spans="1:44">
      <c r="A29" s="112">
        <v>23</v>
      </c>
      <c r="B29" s="113">
        <f t="shared" si="0"/>
        <v>130</v>
      </c>
      <c r="C29" s="114">
        <v>71.2</v>
      </c>
      <c r="D29" s="115">
        <f t="shared" si="1"/>
        <v>70</v>
      </c>
      <c r="E29" s="116">
        <f t="shared" si="2"/>
        <v>2.04</v>
      </c>
      <c r="F29" s="117">
        <f t="shared" si="3"/>
        <v>23.1</v>
      </c>
      <c r="G29" s="118">
        <f t="shared" si="4"/>
        <v>28.8</v>
      </c>
      <c r="H29" s="119">
        <f t="shared" si="5"/>
        <v>29</v>
      </c>
      <c r="I29" s="116">
        <v>3.28</v>
      </c>
      <c r="J29" s="119">
        <f t="shared" si="6"/>
        <v>12</v>
      </c>
      <c r="K29" s="116">
        <f t="shared" si="7"/>
        <v>0.52</v>
      </c>
      <c r="L29" s="164">
        <f t="shared" si="8"/>
        <v>0.37</v>
      </c>
      <c r="M29" s="164">
        <f t="shared" si="9"/>
        <v>7.93</v>
      </c>
      <c r="N29" s="115">
        <f t="shared" si="10"/>
        <v>22</v>
      </c>
      <c r="O29" s="165">
        <v>2.34</v>
      </c>
      <c r="P29" s="115">
        <f t="shared" si="11"/>
        <v>5</v>
      </c>
      <c r="Q29" s="164">
        <f t="shared" si="12"/>
        <v>0.23</v>
      </c>
      <c r="R29" s="168">
        <f t="shared" si="13"/>
        <v>0.18</v>
      </c>
      <c r="S29" s="164">
        <f t="shared" si="14"/>
        <v>7.48</v>
      </c>
      <c r="T29" s="120">
        <f t="shared" si="15"/>
        <v>78.6</v>
      </c>
      <c r="U29" s="185" t="str">
        <f t="shared" si="16"/>
        <v>&lt;20</v>
      </c>
      <c r="V29" s="186"/>
      <c r="W29" s="187">
        <f t="shared" si="17"/>
        <v>0.740277777777778</v>
      </c>
      <c r="Y29" s="200">
        <v>130</v>
      </c>
      <c r="Z29" s="200">
        <v>29</v>
      </c>
      <c r="AA29" s="200">
        <v>22</v>
      </c>
      <c r="AB29" s="200">
        <v>57.6</v>
      </c>
      <c r="AC29" s="200">
        <v>3.2</v>
      </c>
      <c r="AD29" s="200">
        <v>2.24</v>
      </c>
      <c r="AE29" s="200">
        <v>70</v>
      </c>
      <c r="AF29" s="200">
        <v>12</v>
      </c>
      <c r="AG29" s="200">
        <v>5</v>
      </c>
      <c r="AH29" s="200">
        <v>23.1</v>
      </c>
      <c r="AI29" s="200">
        <v>0.37</v>
      </c>
      <c r="AJ29" s="200">
        <v>0.18</v>
      </c>
      <c r="AK29" s="200">
        <v>28.8</v>
      </c>
      <c r="AL29" s="205">
        <v>7.93</v>
      </c>
      <c r="AM29" s="205">
        <v>7.48</v>
      </c>
      <c r="AN29" s="206">
        <v>2.04</v>
      </c>
      <c r="AO29" s="206">
        <v>0.52</v>
      </c>
      <c r="AP29" s="206">
        <v>0.23</v>
      </c>
      <c r="AQ29">
        <v>78.6</v>
      </c>
      <c r="AR29" t="s">
        <v>136</v>
      </c>
    </row>
    <row r="30" ht="12.95" customHeight="1" spans="1:44">
      <c r="A30" s="112">
        <v>24</v>
      </c>
      <c r="B30" s="113">
        <f t="shared" si="0"/>
        <v>121</v>
      </c>
      <c r="C30" s="114">
        <v>66.2</v>
      </c>
      <c r="D30" s="115">
        <f t="shared" si="1"/>
        <v>50</v>
      </c>
      <c r="E30" s="116">
        <f t="shared" si="2"/>
        <v>1.64</v>
      </c>
      <c r="F30" s="117">
        <f t="shared" si="3"/>
        <v>18.5</v>
      </c>
      <c r="G30" s="118">
        <f t="shared" si="4"/>
        <v>24.3</v>
      </c>
      <c r="H30" s="119">
        <f t="shared" si="5"/>
        <v>24</v>
      </c>
      <c r="I30" s="116">
        <v>2.97</v>
      </c>
      <c r="J30" s="119">
        <f t="shared" si="6"/>
        <v>11</v>
      </c>
      <c r="K30" s="116">
        <f t="shared" si="7"/>
        <v>0.5</v>
      </c>
      <c r="L30" s="164">
        <f t="shared" si="8"/>
        <v>0.44</v>
      </c>
      <c r="M30" s="164">
        <f t="shared" si="9"/>
        <v>7.15</v>
      </c>
      <c r="N30" s="115">
        <f t="shared" si="10"/>
        <v>19</v>
      </c>
      <c r="O30" s="165">
        <v>2.28</v>
      </c>
      <c r="P30" s="115">
        <f t="shared" si="11"/>
        <v>5</v>
      </c>
      <c r="Q30" s="164">
        <f t="shared" si="12"/>
        <v>0.16</v>
      </c>
      <c r="R30" s="168">
        <f t="shared" si="13"/>
        <v>0.33</v>
      </c>
      <c r="S30" s="164">
        <f t="shared" si="14"/>
        <v>6.65</v>
      </c>
      <c r="T30" s="120">
        <f t="shared" si="15"/>
        <v>78.9</v>
      </c>
      <c r="U30" s="185">
        <f t="shared" si="16"/>
        <v>40</v>
      </c>
      <c r="V30" s="186"/>
      <c r="W30" s="187">
        <f t="shared" si="17"/>
        <v>0.726337448559671</v>
      </c>
      <c r="Y30" s="200">
        <v>121</v>
      </c>
      <c r="Z30" s="200">
        <v>24</v>
      </c>
      <c r="AA30" s="200">
        <v>19</v>
      </c>
      <c r="AB30" s="200">
        <v>95.5</v>
      </c>
      <c r="AC30" s="200">
        <v>2.98</v>
      </c>
      <c r="AD30" s="200">
        <v>2.25</v>
      </c>
      <c r="AE30" s="200">
        <v>50</v>
      </c>
      <c r="AF30" s="200">
        <v>11</v>
      </c>
      <c r="AG30" s="200">
        <v>5</v>
      </c>
      <c r="AH30" s="200">
        <v>18.5</v>
      </c>
      <c r="AI30" s="200">
        <v>0.44</v>
      </c>
      <c r="AJ30" s="200">
        <v>0.33</v>
      </c>
      <c r="AK30" s="200">
        <v>24.3</v>
      </c>
      <c r="AL30" s="205">
        <v>7.15</v>
      </c>
      <c r="AM30" s="205">
        <v>6.65</v>
      </c>
      <c r="AN30" s="206">
        <v>1.64</v>
      </c>
      <c r="AO30" s="206">
        <v>0.5</v>
      </c>
      <c r="AP30" s="206">
        <v>0.16</v>
      </c>
      <c r="AQ30">
        <v>78.9</v>
      </c>
      <c r="AR30">
        <v>40</v>
      </c>
    </row>
    <row r="31" ht="12.95" customHeight="1" spans="1:44">
      <c r="A31" s="112">
        <v>25</v>
      </c>
      <c r="B31" s="113">
        <f t="shared" si="0"/>
        <v>148</v>
      </c>
      <c r="C31" s="114">
        <v>81.2</v>
      </c>
      <c r="D31" s="115">
        <f t="shared" si="1"/>
        <v>64</v>
      </c>
      <c r="E31" s="116">
        <f t="shared" si="2"/>
        <v>2.25</v>
      </c>
      <c r="F31" s="117">
        <f t="shared" si="3"/>
        <v>19.8</v>
      </c>
      <c r="G31" s="118">
        <f t="shared" si="4"/>
        <v>24.4</v>
      </c>
      <c r="H31" s="119">
        <f t="shared" si="5"/>
        <v>34</v>
      </c>
      <c r="I31" s="116">
        <v>4.06</v>
      </c>
      <c r="J31" s="119">
        <f t="shared" si="6"/>
        <v>15</v>
      </c>
      <c r="K31" s="116">
        <f t="shared" si="7"/>
        <v>0.53</v>
      </c>
      <c r="L31" s="164">
        <f t="shared" si="8"/>
        <v>0.64</v>
      </c>
      <c r="M31" s="164">
        <f t="shared" si="9"/>
        <v>7.41</v>
      </c>
      <c r="N31" s="115">
        <f t="shared" si="10"/>
        <v>19</v>
      </c>
      <c r="O31" s="165">
        <v>2.28</v>
      </c>
      <c r="P31" s="115">
        <f t="shared" si="11"/>
        <v>6</v>
      </c>
      <c r="Q31" s="164">
        <f t="shared" si="12"/>
        <v>0.17</v>
      </c>
      <c r="R31" s="168">
        <f t="shared" si="13"/>
        <v>0.22</v>
      </c>
      <c r="S31" s="164">
        <f t="shared" si="14"/>
        <v>7.18</v>
      </c>
      <c r="T31" s="120">
        <f t="shared" si="15"/>
        <v>78.7</v>
      </c>
      <c r="U31" s="185">
        <f t="shared" si="16"/>
        <v>20</v>
      </c>
      <c r="V31" s="186"/>
      <c r="W31" s="187">
        <f t="shared" si="17"/>
        <v>0.705737704918033</v>
      </c>
      <c r="Y31" s="200">
        <v>148</v>
      </c>
      <c r="Z31" s="200">
        <v>34</v>
      </c>
      <c r="AA31" s="200">
        <v>19</v>
      </c>
      <c r="AB31" s="200">
        <v>60.4</v>
      </c>
      <c r="AC31" s="200">
        <v>3.04</v>
      </c>
      <c r="AD31" s="200">
        <v>2.18</v>
      </c>
      <c r="AE31" s="200">
        <v>64</v>
      </c>
      <c r="AF31" s="200">
        <v>15</v>
      </c>
      <c r="AG31" s="200">
        <v>6</v>
      </c>
      <c r="AH31" s="200">
        <v>19.8</v>
      </c>
      <c r="AI31" s="200">
        <v>0.64</v>
      </c>
      <c r="AJ31" s="200">
        <v>0.22</v>
      </c>
      <c r="AK31" s="209">
        <v>24.4</v>
      </c>
      <c r="AL31" s="210">
        <v>7.41</v>
      </c>
      <c r="AM31" s="205">
        <v>7.18</v>
      </c>
      <c r="AN31" s="206">
        <v>2.25</v>
      </c>
      <c r="AO31" s="206">
        <v>0.53</v>
      </c>
      <c r="AP31" s="206">
        <v>0.17</v>
      </c>
      <c r="AQ31">
        <v>78.7</v>
      </c>
      <c r="AR31">
        <v>20</v>
      </c>
    </row>
    <row r="32" ht="12.95" customHeight="1" spans="1:44">
      <c r="A32" s="112">
        <v>26</v>
      </c>
      <c r="B32" s="113">
        <f t="shared" si="0"/>
        <v>118</v>
      </c>
      <c r="C32" s="114">
        <v>64.4</v>
      </c>
      <c r="D32" s="115">
        <f t="shared" si="1"/>
        <v>48</v>
      </c>
      <c r="E32" s="116">
        <f t="shared" si="2"/>
        <v>1.85</v>
      </c>
      <c r="F32" s="117">
        <f t="shared" si="3"/>
        <v>15</v>
      </c>
      <c r="G32" s="118">
        <f t="shared" si="4"/>
        <v>21.2</v>
      </c>
      <c r="H32" s="119">
        <f t="shared" si="5"/>
        <v>30</v>
      </c>
      <c r="I32" s="116">
        <v>3.28</v>
      </c>
      <c r="J32" s="119">
        <f t="shared" si="6"/>
        <v>12</v>
      </c>
      <c r="K32" s="116">
        <f t="shared" si="7"/>
        <v>0.51</v>
      </c>
      <c r="L32" s="164">
        <f t="shared" si="8"/>
        <v>0.22</v>
      </c>
      <c r="M32" s="164">
        <f t="shared" si="9"/>
        <v>7.56</v>
      </c>
      <c r="N32" s="115">
        <f t="shared" si="10"/>
        <v>21</v>
      </c>
      <c r="O32" s="165">
        <v>2.6</v>
      </c>
      <c r="P32" s="115">
        <f t="shared" si="11"/>
        <v>6</v>
      </c>
      <c r="Q32" s="164">
        <f t="shared" si="12"/>
        <v>0.22</v>
      </c>
      <c r="R32" s="168">
        <f t="shared" si="13"/>
        <v>0.22</v>
      </c>
      <c r="S32" s="164">
        <f t="shared" si="14"/>
        <v>7.44</v>
      </c>
      <c r="T32" s="120">
        <f t="shared" si="15"/>
        <v>78.5</v>
      </c>
      <c r="U32" s="185">
        <f t="shared" si="16"/>
        <v>50</v>
      </c>
      <c r="V32" s="186"/>
      <c r="W32" s="187">
        <f t="shared" si="17"/>
        <v>0.649056603773585</v>
      </c>
      <c r="Y32" s="200">
        <v>118</v>
      </c>
      <c r="Z32" s="200">
        <v>30</v>
      </c>
      <c r="AA32" s="200">
        <v>21</v>
      </c>
      <c r="AB32" s="200">
        <v>94.5</v>
      </c>
      <c r="AC32" s="200">
        <v>2.89</v>
      </c>
      <c r="AD32" s="200">
        <v>2.36</v>
      </c>
      <c r="AE32" s="200">
        <v>48</v>
      </c>
      <c r="AF32" s="200">
        <v>12</v>
      </c>
      <c r="AG32" s="200">
        <v>6</v>
      </c>
      <c r="AH32" s="200">
        <v>15</v>
      </c>
      <c r="AI32" s="200">
        <v>0.22</v>
      </c>
      <c r="AJ32" s="200">
        <v>0.22</v>
      </c>
      <c r="AK32" s="200">
        <v>21.2</v>
      </c>
      <c r="AL32" s="205">
        <v>7.56</v>
      </c>
      <c r="AM32" s="205">
        <v>7.44</v>
      </c>
      <c r="AN32" s="206">
        <v>1.85</v>
      </c>
      <c r="AO32" s="206">
        <v>0.51</v>
      </c>
      <c r="AP32" s="206">
        <v>0.22</v>
      </c>
      <c r="AQ32">
        <v>78.5</v>
      </c>
      <c r="AR32">
        <v>50</v>
      </c>
    </row>
    <row r="33" ht="12.95" customHeight="1" spans="1:44">
      <c r="A33" s="112">
        <v>27</v>
      </c>
      <c r="B33" s="113">
        <f t="shared" si="0"/>
        <v>124</v>
      </c>
      <c r="C33" s="114">
        <v>58</v>
      </c>
      <c r="D33" s="115">
        <f t="shared" si="1"/>
        <v>54</v>
      </c>
      <c r="E33" s="116">
        <f t="shared" si="2"/>
        <v>2.09</v>
      </c>
      <c r="F33" s="117">
        <f t="shared" si="3"/>
        <v>20.5</v>
      </c>
      <c r="G33" s="118">
        <f t="shared" si="4"/>
        <v>26.8</v>
      </c>
      <c r="H33" s="119">
        <f t="shared" si="5"/>
        <v>29</v>
      </c>
      <c r="I33" s="116">
        <v>3.02</v>
      </c>
      <c r="J33" s="119">
        <f t="shared" si="6"/>
        <v>13</v>
      </c>
      <c r="K33" s="116">
        <f t="shared" si="7"/>
        <v>0.52</v>
      </c>
      <c r="L33" s="164">
        <f t="shared" si="8"/>
        <v>0.32</v>
      </c>
      <c r="M33" s="164">
        <f t="shared" si="9"/>
        <v>7.72</v>
      </c>
      <c r="N33" s="115">
        <f t="shared" si="10"/>
        <v>23</v>
      </c>
      <c r="O33" s="165">
        <v>2.36</v>
      </c>
      <c r="P33" s="115">
        <f t="shared" si="11"/>
        <v>5</v>
      </c>
      <c r="Q33" s="164">
        <f t="shared" si="12"/>
        <v>0.22</v>
      </c>
      <c r="R33" s="168">
        <f t="shared" si="13"/>
        <v>0.23</v>
      </c>
      <c r="S33" s="164">
        <f t="shared" si="14"/>
        <v>6.7</v>
      </c>
      <c r="T33" s="120">
        <f t="shared" si="15"/>
        <v>78.3</v>
      </c>
      <c r="U33" s="185">
        <f t="shared" si="16"/>
        <v>20</v>
      </c>
      <c r="V33" s="186"/>
      <c r="W33" s="187">
        <f t="shared" si="17"/>
        <v>0.75</v>
      </c>
      <c r="Y33" s="200">
        <v>124</v>
      </c>
      <c r="Z33" s="200">
        <v>29</v>
      </c>
      <c r="AA33" s="200">
        <v>23</v>
      </c>
      <c r="AB33" s="200">
        <v>66.3</v>
      </c>
      <c r="AC33" s="200">
        <v>3.36</v>
      </c>
      <c r="AD33" s="200">
        <v>2.54</v>
      </c>
      <c r="AE33" s="200">
        <v>54</v>
      </c>
      <c r="AF33" s="200">
        <v>13</v>
      </c>
      <c r="AG33" s="200">
        <v>5</v>
      </c>
      <c r="AH33" s="200">
        <v>20.5</v>
      </c>
      <c r="AI33" s="200">
        <v>0.32</v>
      </c>
      <c r="AJ33" s="200">
        <v>0.23</v>
      </c>
      <c r="AK33" s="200">
        <v>26.8</v>
      </c>
      <c r="AL33" s="205">
        <v>7.72</v>
      </c>
      <c r="AM33" s="205">
        <v>6.7</v>
      </c>
      <c r="AN33" s="206">
        <v>2.09</v>
      </c>
      <c r="AO33" s="206">
        <v>0.52</v>
      </c>
      <c r="AP33" s="206">
        <v>0.22</v>
      </c>
      <c r="AQ33">
        <v>78.3</v>
      </c>
      <c r="AR33">
        <v>20</v>
      </c>
    </row>
    <row r="34" ht="12.95" customHeight="1" spans="1:44">
      <c r="A34" s="112">
        <v>28</v>
      </c>
      <c r="B34" s="113">
        <f t="shared" si="0"/>
        <v>115</v>
      </c>
      <c r="C34" s="114">
        <v>51.8</v>
      </c>
      <c r="D34" s="115">
        <f t="shared" si="1"/>
        <v>64</v>
      </c>
      <c r="E34" s="116">
        <f t="shared" si="2"/>
        <v>2.15</v>
      </c>
      <c r="F34" s="117">
        <f t="shared" si="3"/>
        <v>23.1</v>
      </c>
      <c r="G34" s="118">
        <f t="shared" si="4"/>
        <v>29.3</v>
      </c>
      <c r="H34" s="119">
        <f t="shared" si="5"/>
        <v>35</v>
      </c>
      <c r="I34" s="116">
        <v>3.52</v>
      </c>
      <c r="J34" s="119">
        <f t="shared" si="6"/>
        <v>16</v>
      </c>
      <c r="K34" s="116">
        <f t="shared" si="7"/>
        <v>0.53</v>
      </c>
      <c r="L34" s="164">
        <f t="shared" si="8"/>
        <v>0.41</v>
      </c>
      <c r="M34" s="164">
        <f t="shared" si="9"/>
        <v>6.78</v>
      </c>
      <c r="N34" s="115">
        <f t="shared" si="10"/>
        <v>24</v>
      </c>
      <c r="O34" s="165">
        <v>2.52</v>
      </c>
      <c r="P34" s="115">
        <f t="shared" si="11"/>
        <v>5</v>
      </c>
      <c r="Q34" s="164">
        <f t="shared" si="12"/>
        <v>0.19</v>
      </c>
      <c r="R34" s="168">
        <f t="shared" si="13"/>
        <v>0.34</v>
      </c>
      <c r="S34" s="164">
        <f t="shared" si="14"/>
        <v>6.66</v>
      </c>
      <c r="T34" s="120">
        <f t="shared" si="15"/>
        <v>78.6</v>
      </c>
      <c r="U34" s="185" t="str">
        <f t="shared" si="16"/>
        <v>&lt;20</v>
      </c>
      <c r="V34" s="186"/>
      <c r="W34" s="187">
        <f t="shared" si="17"/>
        <v>0.772696245733788</v>
      </c>
      <c r="Y34" s="200">
        <v>115</v>
      </c>
      <c r="Z34" s="200">
        <v>35</v>
      </c>
      <c r="AA34" s="200">
        <v>24</v>
      </c>
      <c r="AB34" s="200">
        <v>71.2</v>
      </c>
      <c r="AC34" s="200">
        <v>3.28</v>
      </c>
      <c r="AD34" s="200">
        <v>2.34</v>
      </c>
      <c r="AE34" s="200">
        <v>64</v>
      </c>
      <c r="AF34" s="200">
        <v>16</v>
      </c>
      <c r="AG34" s="200">
        <v>5</v>
      </c>
      <c r="AH34" s="200">
        <v>23.1</v>
      </c>
      <c r="AI34" s="200">
        <v>0.41</v>
      </c>
      <c r="AJ34" s="200">
        <v>0.34</v>
      </c>
      <c r="AK34" s="200">
        <v>29.3</v>
      </c>
      <c r="AL34" s="205">
        <v>6.78</v>
      </c>
      <c r="AM34" s="206">
        <v>6.66</v>
      </c>
      <c r="AN34" s="206">
        <v>2.15</v>
      </c>
      <c r="AO34" s="206">
        <v>0.53</v>
      </c>
      <c r="AP34" s="206">
        <v>0.19</v>
      </c>
      <c r="AQ34">
        <v>78.6</v>
      </c>
      <c r="AR34" t="s">
        <v>136</v>
      </c>
    </row>
    <row r="35" ht="12.95" customHeight="1" spans="1:44">
      <c r="A35" s="112">
        <v>29</v>
      </c>
      <c r="B35" s="113">
        <f t="shared" si="0"/>
        <v>145</v>
      </c>
      <c r="C35" s="114">
        <v>64.6</v>
      </c>
      <c r="D35" s="115">
        <f t="shared" si="1"/>
        <v>60</v>
      </c>
      <c r="E35" s="116">
        <f t="shared" si="2"/>
        <v>2.13</v>
      </c>
      <c r="F35" s="117">
        <f t="shared" si="3"/>
        <v>17.6</v>
      </c>
      <c r="G35" s="118">
        <f t="shared" si="4"/>
        <v>23.1</v>
      </c>
      <c r="H35" s="119">
        <f t="shared" si="5"/>
        <v>36</v>
      </c>
      <c r="I35" s="116">
        <v>2.97</v>
      </c>
      <c r="J35" s="119">
        <f t="shared" si="6"/>
        <v>12</v>
      </c>
      <c r="K35" s="116">
        <f t="shared" si="7"/>
        <v>0.51</v>
      </c>
      <c r="L35" s="164">
        <f t="shared" si="8"/>
        <v>0.31</v>
      </c>
      <c r="M35" s="164">
        <f t="shared" si="9"/>
        <v>8.91</v>
      </c>
      <c r="N35" s="115">
        <f t="shared" si="10"/>
        <v>22</v>
      </c>
      <c r="O35" s="165">
        <v>2.31</v>
      </c>
      <c r="P35" s="115">
        <f t="shared" si="11"/>
        <v>5</v>
      </c>
      <c r="Q35" s="164">
        <f t="shared" si="12"/>
        <v>0.18</v>
      </c>
      <c r="R35" s="168">
        <f t="shared" si="13"/>
        <v>0.2</v>
      </c>
      <c r="S35" s="164">
        <f t="shared" si="14"/>
        <v>7.8</v>
      </c>
      <c r="T35" s="120">
        <f t="shared" si="15"/>
        <v>78.4</v>
      </c>
      <c r="U35" s="185" t="str">
        <f t="shared" si="16"/>
        <v>&lt;20</v>
      </c>
      <c r="V35" s="186"/>
      <c r="W35" s="187">
        <f t="shared" si="17"/>
        <v>0.662337662337662</v>
      </c>
      <c r="Y35" s="200">
        <v>145</v>
      </c>
      <c r="Z35" s="200">
        <v>36</v>
      </c>
      <c r="AA35" s="200">
        <v>22</v>
      </c>
      <c r="AB35" s="200">
        <v>66.2</v>
      </c>
      <c r="AC35" s="200">
        <v>2.97</v>
      </c>
      <c r="AD35" s="200">
        <v>2.28</v>
      </c>
      <c r="AE35" s="200">
        <v>60</v>
      </c>
      <c r="AF35" s="200">
        <v>12</v>
      </c>
      <c r="AG35" s="200">
        <v>5</v>
      </c>
      <c r="AH35" s="200">
        <v>17.6</v>
      </c>
      <c r="AI35" s="200">
        <v>0.31</v>
      </c>
      <c r="AJ35" s="200">
        <v>0.2</v>
      </c>
      <c r="AK35" s="200">
        <v>23.1</v>
      </c>
      <c r="AL35" s="205">
        <v>8.91</v>
      </c>
      <c r="AM35" s="206">
        <v>7.8</v>
      </c>
      <c r="AN35" s="206">
        <v>2.13</v>
      </c>
      <c r="AO35" s="206">
        <v>0.51</v>
      </c>
      <c r="AP35" s="206">
        <v>0.18</v>
      </c>
      <c r="AQ35">
        <v>78.4</v>
      </c>
      <c r="AR35" t="s">
        <v>136</v>
      </c>
    </row>
    <row r="36" ht="12.95" customHeight="1" spans="1:44">
      <c r="A36" s="112">
        <v>30</v>
      </c>
      <c r="B36" s="113">
        <f t="shared" si="0"/>
        <v>111</v>
      </c>
      <c r="C36" s="114">
        <v>50.4</v>
      </c>
      <c r="D36" s="115">
        <f t="shared" si="1"/>
        <v>54</v>
      </c>
      <c r="E36" s="116">
        <f t="shared" si="2"/>
        <v>1.5</v>
      </c>
      <c r="F36" s="117">
        <f t="shared" si="3"/>
        <v>18.7</v>
      </c>
      <c r="G36" s="118">
        <f t="shared" si="4"/>
        <v>25.3</v>
      </c>
      <c r="H36" s="119">
        <f t="shared" si="5"/>
        <v>25</v>
      </c>
      <c r="I36" s="116">
        <v>2.79</v>
      </c>
      <c r="J36" s="119">
        <f t="shared" si="6"/>
        <v>11</v>
      </c>
      <c r="K36" s="116">
        <f t="shared" si="7"/>
        <v>0.52</v>
      </c>
      <c r="L36" s="164">
        <f t="shared" si="8"/>
        <v>0.48</v>
      </c>
      <c r="M36" s="164">
        <f t="shared" si="9"/>
        <v>7.04</v>
      </c>
      <c r="N36" s="115">
        <f t="shared" si="10"/>
        <v>21</v>
      </c>
      <c r="O36" s="165">
        <v>2.28</v>
      </c>
      <c r="P36" s="115">
        <f t="shared" si="11"/>
        <v>5</v>
      </c>
      <c r="Q36" s="164">
        <f t="shared" si="12"/>
        <v>0.19</v>
      </c>
      <c r="R36" s="168">
        <f t="shared" si="13"/>
        <v>0.39</v>
      </c>
      <c r="S36" s="164">
        <f t="shared" si="14"/>
        <v>6.8</v>
      </c>
      <c r="T36" s="120">
        <f t="shared" si="15"/>
        <v>78.7</v>
      </c>
      <c r="U36" s="185" t="str">
        <f t="shared" si="16"/>
        <v>&lt;20</v>
      </c>
      <c r="V36" s="186"/>
      <c r="W36" s="187">
        <f t="shared" si="17"/>
        <v>0.731225296442688</v>
      </c>
      <c r="Y36" s="200">
        <v>111</v>
      </c>
      <c r="Z36" s="200">
        <v>25</v>
      </c>
      <c r="AA36" s="200">
        <v>21</v>
      </c>
      <c r="AB36" s="200">
        <v>81.2</v>
      </c>
      <c r="AC36" s="200">
        <v>4.06</v>
      </c>
      <c r="AD36" s="200">
        <v>2.28</v>
      </c>
      <c r="AE36" s="200">
        <v>54</v>
      </c>
      <c r="AF36" s="200">
        <v>11</v>
      </c>
      <c r="AG36" s="200">
        <v>5</v>
      </c>
      <c r="AH36" s="200">
        <v>18.7</v>
      </c>
      <c r="AI36" s="200">
        <v>0.48</v>
      </c>
      <c r="AJ36" s="200">
        <v>0.39</v>
      </c>
      <c r="AK36" s="200">
        <v>25.3</v>
      </c>
      <c r="AL36" s="205">
        <v>7.04</v>
      </c>
      <c r="AM36" s="206">
        <v>6.8</v>
      </c>
      <c r="AN36" s="206">
        <v>1.5</v>
      </c>
      <c r="AO36" s="206">
        <v>0.52</v>
      </c>
      <c r="AP36" s="206">
        <v>0.19</v>
      </c>
      <c r="AQ36">
        <v>78.7</v>
      </c>
      <c r="AR36" t="s">
        <v>136</v>
      </c>
    </row>
    <row r="37" ht="12.95" customHeight="1" spans="1:44">
      <c r="A37" s="112">
        <v>31</v>
      </c>
      <c r="B37" s="113">
        <f t="shared" si="0"/>
        <v>152</v>
      </c>
      <c r="C37" s="114">
        <v>67.6</v>
      </c>
      <c r="D37" s="115">
        <f t="shared" si="1"/>
        <v>44</v>
      </c>
      <c r="E37" s="116">
        <f t="shared" si="2"/>
        <v>1.34</v>
      </c>
      <c r="F37" s="117">
        <f t="shared" si="3"/>
        <v>13.8</v>
      </c>
      <c r="G37" s="118">
        <f t="shared" si="4"/>
        <v>19.7</v>
      </c>
      <c r="H37" s="119">
        <f t="shared" si="5"/>
        <v>30</v>
      </c>
      <c r="I37" s="116">
        <v>3.19</v>
      </c>
      <c r="J37" s="119">
        <f t="shared" si="6"/>
        <v>13</v>
      </c>
      <c r="K37" s="116">
        <f t="shared" si="7"/>
        <v>0.53</v>
      </c>
      <c r="L37" s="164">
        <f t="shared" si="8"/>
        <v>0.28</v>
      </c>
      <c r="M37" s="164">
        <f t="shared" si="9"/>
        <v>8.03</v>
      </c>
      <c r="N37" s="115">
        <f t="shared" si="10"/>
        <v>19</v>
      </c>
      <c r="O37" s="165">
        <v>2.33</v>
      </c>
      <c r="P37" s="115">
        <f t="shared" si="11"/>
        <v>5</v>
      </c>
      <c r="Q37" s="164">
        <f t="shared" si="12"/>
        <v>0.12</v>
      </c>
      <c r="R37" s="168">
        <f t="shared" si="13"/>
        <v>0.27</v>
      </c>
      <c r="S37" s="164">
        <f t="shared" si="14"/>
        <v>7.12</v>
      </c>
      <c r="T37" s="120">
        <f t="shared" si="15"/>
        <v>78.6</v>
      </c>
      <c r="U37" s="185">
        <f t="shared" si="16"/>
        <v>20</v>
      </c>
      <c r="V37" s="186"/>
      <c r="W37" s="187">
        <f t="shared" si="17"/>
        <v>0.638578680203046</v>
      </c>
      <c r="Y37" s="200">
        <v>152</v>
      </c>
      <c r="Z37" s="200">
        <v>30</v>
      </c>
      <c r="AA37" s="200">
        <v>19</v>
      </c>
      <c r="AB37" s="200">
        <v>64.4</v>
      </c>
      <c r="AC37" s="200">
        <v>3.28</v>
      </c>
      <c r="AD37" s="200">
        <v>2.6</v>
      </c>
      <c r="AE37" s="200">
        <v>44</v>
      </c>
      <c r="AF37" s="200">
        <v>13</v>
      </c>
      <c r="AG37" s="200">
        <v>5</v>
      </c>
      <c r="AH37" s="200">
        <v>13.8</v>
      </c>
      <c r="AI37" s="200">
        <v>0.28</v>
      </c>
      <c r="AJ37" s="200">
        <v>0.27</v>
      </c>
      <c r="AK37" s="200">
        <v>19.7</v>
      </c>
      <c r="AL37" s="205">
        <v>8.03</v>
      </c>
      <c r="AM37" s="205">
        <v>7.12</v>
      </c>
      <c r="AN37" s="206">
        <v>1.34</v>
      </c>
      <c r="AO37" s="206">
        <v>0.53</v>
      </c>
      <c r="AP37" s="206">
        <v>0.12</v>
      </c>
      <c r="AQ37">
        <v>78.6</v>
      </c>
      <c r="AR37">
        <v>20</v>
      </c>
    </row>
    <row r="38" ht="12.95" customHeight="1" spans="1:21">
      <c r="A38" s="112" t="s">
        <v>76</v>
      </c>
      <c r="B38" s="115">
        <f>ROUND(AVERAGE(B7:B37),0)</f>
        <v>146</v>
      </c>
      <c r="C38" s="115">
        <f>ROUND(AVERAGE(C7:C37),0)</f>
        <v>67</v>
      </c>
      <c r="D38" s="115">
        <f>ROUND(AVERAGE(D7:D37),0)</f>
        <v>63</v>
      </c>
      <c r="E38" s="116">
        <f>ROUND(AVERAGE(E7:E37),2)</f>
        <v>2.15</v>
      </c>
      <c r="F38" s="120">
        <f>ROUND(AVERAGE(F7:F37),1)</f>
        <v>19.2</v>
      </c>
      <c r="G38" s="120">
        <f>ROUND(AVERAGE(G7:G37),1)</f>
        <v>25.7</v>
      </c>
      <c r="H38" s="121">
        <f>ROUND(AVERAGE(H7:H37),1)</f>
        <v>30.4</v>
      </c>
      <c r="I38" s="166">
        <f>ROUND(AVERAGE(I7:I37),2)</f>
        <v>3.14</v>
      </c>
      <c r="J38" s="167">
        <f>ROUND(AVERAGE(J7:J37),2)</f>
        <v>13.48</v>
      </c>
      <c r="K38" s="166">
        <f>ROUND(AVERAGE(K7:K37),2)</f>
        <v>0.53</v>
      </c>
      <c r="L38" s="166">
        <f>ROUND(AVERAGE(L7:L37),2)</f>
        <v>0.41</v>
      </c>
      <c r="M38" s="168">
        <f>ROUND(AVERAGE(M7:M37),1)</f>
        <v>7.7</v>
      </c>
      <c r="N38" s="115">
        <f>ROUND(AVERAGE(N7:N37),1)</f>
        <v>21.8</v>
      </c>
      <c r="O38" s="116">
        <f t="shared" ref="O38:T38" si="18">ROUND(AVERAGE(O7:O37),2)</f>
        <v>2.41</v>
      </c>
      <c r="P38" s="116">
        <f t="shared" si="18"/>
        <v>5.19</v>
      </c>
      <c r="Q38" s="164">
        <f t="shared" si="18"/>
        <v>0.2</v>
      </c>
      <c r="R38" s="116">
        <f t="shared" si="18"/>
        <v>0.31</v>
      </c>
      <c r="S38" s="168">
        <f t="shared" si="18"/>
        <v>7.09</v>
      </c>
      <c r="T38" s="118">
        <f t="shared" si="18"/>
        <v>78.6</v>
      </c>
      <c r="U38" s="188" t="s">
        <v>136</v>
      </c>
    </row>
    <row r="39" ht="21" customHeight="1" spans="1:21">
      <c r="A39" s="122" t="s">
        <v>78</v>
      </c>
      <c r="B39" s="123"/>
      <c r="C39" s="123"/>
      <c r="D39" s="124"/>
      <c r="E39" s="125"/>
      <c r="F39" s="126"/>
      <c r="H39"/>
      <c r="I39"/>
      <c r="J39" s="122" t="s">
        <v>79</v>
      </c>
      <c r="K39" s="169"/>
      <c r="L39" s="169"/>
      <c r="M39" s="169"/>
      <c r="N39" s="122"/>
      <c r="O39" s="126"/>
      <c r="P39" s="126"/>
      <c r="Q39" s="189" t="s">
        <v>160</v>
      </c>
      <c r="R39" s="189"/>
      <c r="S39" s="189"/>
      <c r="T39" s="189"/>
      <c r="U39" s="190"/>
    </row>
    <row r="40" ht="21" customHeight="1" spans="1:21">
      <c r="A40" s="127"/>
      <c r="B40" s="128"/>
      <c r="C40" s="129"/>
      <c r="D40" s="130"/>
      <c r="E40" s="131"/>
      <c r="F40" s="132"/>
      <c r="H40"/>
      <c r="I40"/>
      <c r="J40" s="126"/>
      <c r="K40" s="126"/>
      <c r="L40" s="126"/>
      <c r="M40" s="126"/>
      <c r="N40" s="127"/>
      <c r="O40" s="126"/>
      <c r="P40" s="126"/>
      <c r="Q40" s="191"/>
      <c r="R40" s="191"/>
      <c r="S40" s="191"/>
      <c r="T40" s="191"/>
      <c r="U40" s="190"/>
    </row>
    <row r="41" ht="15.75" spans="2:19">
      <c r="B41" s="133" t="s">
        <v>117</v>
      </c>
      <c r="C41" s="133" t="s">
        <v>161</v>
      </c>
      <c r="D41" s="134" t="s">
        <v>162</v>
      </c>
      <c r="E41" s="133" t="s">
        <v>163</v>
      </c>
      <c r="F41" s="133" t="s">
        <v>164</v>
      </c>
      <c r="G41" s="134" t="s">
        <v>162</v>
      </c>
      <c r="H41" s="133" t="s">
        <v>163</v>
      </c>
      <c r="I41" s="134" t="s">
        <v>165</v>
      </c>
      <c r="J41" s="126"/>
      <c r="K41" s="126"/>
      <c r="L41" s="126"/>
      <c r="S41" s="192"/>
    </row>
    <row r="42" ht="30" spans="2:20">
      <c r="B42" s="133"/>
      <c r="C42" s="133"/>
      <c r="D42" s="135" t="s">
        <v>166</v>
      </c>
      <c r="E42" s="133"/>
      <c r="F42" s="133"/>
      <c r="G42" s="135" t="s">
        <v>166</v>
      </c>
      <c r="H42" s="133"/>
      <c r="I42" s="135" t="s">
        <v>167</v>
      </c>
      <c r="J42" s="126"/>
      <c r="K42" s="126"/>
      <c r="L42" s="126"/>
      <c r="M42" s="170"/>
      <c r="N42" s="170"/>
      <c r="O42" s="170"/>
      <c r="P42" s="170"/>
      <c r="Q42" s="170"/>
      <c r="R42" s="170"/>
      <c r="S42" s="193"/>
      <c r="T42" s="193"/>
    </row>
    <row r="43" ht="18" spans="2:18">
      <c r="B43" s="136" t="s">
        <v>168</v>
      </c>
      <c r="C43" s="137">
        <f>B38</f>
        <v>146</v>
      </c>
      <c r="D43" s="138">
        <f>MAX(B7:B37)</f>
        <v>212</v>
      </c>
      <c r="E43" s="138">
        <f>MIN(B7:B37)</f>
        <v>111</v>
      </c>
      <c r="F43" s="139">
        <f>N38</f>
        <v>21.8</v>
      </c>
      <c r="G43" s="140">
        <f>MAX(N7:N37)</f>
        <v>32</v>
      </c>
      <c r="H43" s="138">
        <f>MIN(N7:N37)</f>
        <v>18</v>
      </c>
      <c r="I43" s="171">
        <f t="shared" ref="I43:I48" si="19">1-F43/C43</f>
        <v>0.850684931506849</v>
      </c>
      <c r="J43" s="156"/>
      <c r="K43" s="136" t="s">
        <v>169</v>
      </c>
      <c r="L43" s="172">
        <f>C44/C43</f>
        <v>0.458904109589041</v>
      </c>
      <c r="M43" s="173"/>
      <c r="N43" s="174"/>
      <c r="O43" s="174"/>
      <c r="P43" s="174"/>
      <c r="Q43" s="173"/>
      <c r="R43" s="178"/>
    </row>
    <row r="44" ht="17.25" spans="2:18">
      <c r="B44" s="141" t="s">
        <v>170</v>
      </c>
      <c r="C44" s="142">
        <f>C38</f>
        <v>67</v>
      </c>
      <c r="D44" s="143">
        <f>MAX(C7:C37)</f>
        <v>94.5</v>
      </c>
      <c r="E44" s="144">
        <f>MIN(C7:C37)</f>
        <v>50.4</v>
      </c>
      <c r="F44" s="145">
        <f>O38</f>
        <v>2.41</v>
      </c>
      <c r="G44" s="144">
        <f>MAX(O7:O37)</f>
        <v>3.06</v>
      </c>
      <c r="H44" s="144">
        <f>MIN(O7:O37)</f>
        <v>2.18</v>
      </c>
      <c r="I44" s="175">
        <f>1-2/C44</f>
        <v>0.970149253731343</v>
      </c>
      <c r="J44" s="156"/>
      <c r="K44" s="141" t="s">
        <v>171</v>
      </c>
      <c r="L44" s="176">
        <f>C44/C48</f>
        <v>2.60700389105058</v>
      </c>
      <c r="M44" s="173"/>
      <c r="N44" s="174"/>
      <c r="O44" s="174"/>
      <c r="P44" s="174"/>
      <c r="Q44" s="173"/>
      <c r="R44" s="178"/>
    </row>
    <row r="45" ht="17.25" spans="2:18">
      <c r="B45" s="141" t="s">
        <v>126</v>
      </c>
      <c r="C45" s="146">
        <f>D38</f>
        <v>63</v>
      </c>
      <c r="D45" s="144">
        <f>MAX(D7:D37)</f>
        <v>94</v>
      </c>
      <c r="E45" s="147">
        <f>MIN(D7:D37)</f>
        <v>44</v>
      </c>
      <c r="F45" s="148">
        <f>P38</f>
        <v>5.19</v>
      </c>
      <c r="G45" s="149">
        <f>MAX(P7:P37)</f>
        <v>6</v>
      </c>
      <c r="H45" s="149">
        <f>MIN(P7:P37)</f>
        <v>5</v>
      </c>
      <c r="I45" s="175">
        <f t="shared" si="19"/>
        <v>0.917619047619048</v>
      </c>
      <c r="J45" s="156"/>
      <c r="K45" s="141" t="s">
        <v>172</v>
      </c>
      <c r="L45" s="177">
        <f>C44/C46</f>
        <v>31.1627906976744</v>
      </c>
      <c r="M45" s="178"/>
      <c r="N45" s="178"/>
      <c r="O45" s="178"/>
      <c r="P45" s="178"/>
      <c r="Q45" s="178"/>
      <c r="R45" s="178"/>
    </row>
    <row r="46" ht="17.25" spans="2:12">
      <c r="B46" s="141" t="s">
        <v>128</v>
      </c>
      <c r="C46" s="148">
        <f>E38</f>
        <v>2.15</v>
      </c>
      <c r="D46" s="144">
        <f>MAX(E7:E37)</f>
        <v>4.68</v>
      </c>
      <c r="E46" s="144">
        <f>MIN(E7:E37)</f>
        <v>1.34</v>
      </c>
      <c r="F46" s="148">
        <f>Q38</f>
        <v>0.2</v>
      </c>
      <c r="G46" s="149">
        <f>MAX(Q7:Q37)</f>
        <v>0.31</v>
      </c>
      <c r="H46" s="149">
        <f>MIN(Q7:Q37)</f>
        <v>0.12</v>
      </c>
      <c r="I46" s="175">
        <f t="shared" si="19"/>
        <v>0.906976744186046</v>
      </c>
      <c r="J46" s="156"/>
      <c r="K46" s="141"/>
      <c r="L46" s="179"/>
    </row>
    <row r="47" ht="17.25" spans="2:12">
      <c r="B47" s="141" t="s">
        <v>173</v>
      </c>
      <c r="C47" s="142">
        <f>F38</f>
        <v>19.2</v>
      </c>
      <c r="D47" s="144">
        <f>MAX(F7:F37)</f>
        <v>23.3</v>
      </c>
      <c r="E47" s="144">
        <f>MIN(F7:F37)</f>
        <v>13.8</v>
      </c>
      <c r="F47" s="148">
        <f>R38</f>
        <v>0.31</v>
      </c>
      <c r="G47" s="144">
        <f>MAX(R7:R37)</f>
        <v>0.67</v>
      </c>
      <c r="H47" s="149">
        <f>MIN(R7:R37)</f>
        <v>0.18</v>
      </c>
      <c r="I47" s="175">
        <f t="shared" si="19"/>
        <v>0.983854166666667</v>
      </c>
      <c r="J47" s="156"/>
      <c r="K47" s="141"/>
      <c r="L47" s="179"/>
    </row>
    <row r="48" ht="17.25" spans="2:12">
      <c r="B48" s="150" t="s">
        <v>131</v>
      </c>
      <c r="C48" s="151">
        <f>G38</f>
        <v>25.7</v>
      </c>
      <c r="D48" s="152">
        <f>MAX(G7:G37)</f>
        <v>36.6</v>
      </c>
      <c r="E48" s="152">
        <f>MIN(G7:G37)</f>
        <v>19.7</v>
      </c>
      <c r="F48" s="153">
        <f>S38</f>
        <v>7.09</v>
      </c>
      <c r="G48" s="154">
        <f>MAX(S7:S37)</f>
        <v>8.37</v>
      </c>
      <c r="H48" s="152">
        <f>MIN(S7:S37)</f>
        <v>5.88</v>
      </c>
      <c r="I48" s="180">
        <f t="shared" si="19"/>
        <v>0.724124513618677</v>
      </c>
      <c r="J48" s="156"/>
      <c r="K48" s="150"/>
      <c r="L48" s="181"/>
    </row>
    <row r="49" ht="17.25" spans="2:12">
      <c r="B49" s="155"/>
      <c r="C49" s="156"/>
      <c r="D49" s="156"/>
      <c r="E49" s="156"/>
      <c r="F49" s="156"/>
      <c r="G49" s="156"/>
      <c r="H49" s="157"/>
      <c r="I49" s="156"/>
      <c r="J49" s="156"/>
      <c r="K49" s="157"/>
      <c r="L49" s="156"/>
    </row>
    <row r="50" spans="2:2">
      <c r="B50" s="158"/>
    </row>
    <row r="51" spans="2:2">
      <c r="B51" s="158"/>
    </row>
    <row r="52" spans="2:2">
      <c r="B52" s="158"/>
    </row>
    <row r="53" spans="2:2">
      <c r="B53" s="158"/>
    </row>
    <row r="54" spans="2:2">
      <c r="B54" s="158"/>
    </row>
    <row r="55" spans="2:2">
      <c r="B55" s="158"/>
    </row>
    <row r="56" spans="2:2">
      <c r="B56" s="158"/>
    </row>
    <row r="57" spans="2:2">
      <c r="B57" s="158"/>
    </row>
    <row r="58" spans="2:2">
      <c r="B58" s="158"/>
    </row>
    <row r="59" spans="2:2">
      <c r="B59" s="158"/>
    </row>
    <row r="60" spans="2:2">
      <c r="B60" s="158"/>
    </row>
    <row r="61" spans="2:2">
      <c r="B61" s="158"/>
    </row>
    <row r="62" spans="2:2">
      <c r="B62" s="158"/>
    </row>
    <row r="63" spans="2:2">
      <c r="B63" s="158"/>
    </row>
    <row r="64" spans="2:2">
      <c r="B64" s="158"/>
    </row>
    <row r="65" spans="2:2">
      <c r="B65" s="158"/>
    </row>
    <row r="66" spans="2:2">
      <c r="B66" s="158"/>
    </row>
    <row r="67" spans="2:2">
      <c r="B67" s="158"/>
    </row>
    <row r="68" spans="2:2">
      <c r="B68" s="158"/>
    </row>
  </sheetData>
  <mergeCells count="21">
    <mergeCell ref="A1:U1"/>
    <mergeCell ref="J3:K3"/>
    <mergeCell ref="B4:G4"/>
    <mergeCell ref="H4:M4"/>
    <mergeCell ref="N4:S4"/>
    <mergeCell ref="Y5:AA5"/>
    <mergeCell ref="AB5:AD5"/>
    <mergeCell ref="AE5:AG5"/>
    <mergeCell ref="AH5:AJ5"/>
    <mergeCell ref="AK5:AM5"/>
    <mergeCell ref="AN5:AP5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4"/>
  <sheetViews>
    <sheetView topLeftCell="A298" workbookViewId="0">
      <selection activeCell="L215" sqref="L215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174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45139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175</v>
      </c>
      <c r="B3" s="6" t="s">
        <v>176</v>
      </c>
      <c r="C3" s="6" t="s">
        <v>177</v>
      </c>
      <c r="D3" s="6" t="s">
        <v>178</v>
      </c>
      <c r="E3" s="60" t="s">
        <v>179</v>
      </c>
      <c r="F3" s="60" t="s">
        <v>180</v>
      </c>
      <c r="G3" s="61" t="s">
        <v>181</v>
      </c>
      <c r="H3" s="62" t="s">
        <v>182</v>
      </c>
      <c r="I3" s="60" t="s">
        <v>183</v>
      </c>
      <c r="J3" s="6" t="s">
        <v>184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185</v>
      </c>
      <c r="E5" s="60" t="s">
        <v>186</v>
      </c>
      <c r="F5" s="60" t="s">
        <v>187</v>
      </c>
      <c r="G5" s="61" t="s">
        <v>187</v>
      </c>
      <c r="H5" s="62" t="s">
        <v>188</v>
      </c>
      <c r="I5" s="60" t="s">
        <v>188</v>
      </c>
      <c r="J5" s="6"/>
    </row>
    <row r="6" customHeight="1" spans="1:10">
      <c r="A6" s="64" t="s">
        <v>189</v>
      </c>
      <c r="B6" s="65" t="s">
        <v>190</v>
      </c>
      <c r="C6" s="65" t="s">
        <v>191</v>
      </c>
      <c r="D6" s="65">
        <v>31</v>
      </c>
      <c r="E6" s="65">
        <v>2</v>
      </c>
      <c r="F6" s="65">
        <v>62</v>
      </c>
      <c r="G6" s="65">
        <v>62</v>
      </c>
      <c r="H6" s="66">
        <v>1</v>
      </c>
      <c r="I6" s="66">
        <v>1</v>
      </c>
      <c r="J6" s="65" t="s">
        <v>192</v>
      </c>
    </row>
    <row r="7" customHeight="1" spans="1:10">
      <c r="A7" s="64"/>
      <c r="B7" s="65"/>
      <c r="C7" s="65" t="s">
        <v>193</v>
      </c>
      <c r="D7" s="65">
        <v>31</v>
      </c>
      <c r="E7" s="65">
        <v>2</v>
      </c>
      <c r="F7" s="65">
        <v>62</v>
      </c>
      <c r="G7" s="65">
        <v>62</v>
      </c>
      <c r="H7" s="66">
        <v>1</v>
      </c>
      <c r="I7" s="66">
        <v>1</v>
      </c>
      <c r="J7" s="65" t="s">
        <v>192</v>
      </c>
    </row>
    <row r="8" customHeight="1" spans="1:10">
      <c r="A8" s="64"/>
      <c r="B8" s="65" t="s">
        <v>194</v>
      </c>
      <c r="C8" s="65" t="s">
        <v>77</v>
      </c>
      <c r="D8" s="65">
        <v>31</v>
      </c>
      <c r="E8" s="65">
        <v>2</v>
      </c>
      <c r="F8" s="65">
        <v>62</v>
      </c>
      <c r="G8" s="65">
        <v>62</v>
      </c>
      <c r="H8" s="66">
        <v>1</v>
      </c>
      <c r="I8" s="66">
        <v>1</v>
      </c>
      <c r="J8" s="65" t="s">
        <v>192</v>
      </c>
    </row>
    <row r="9" customHeight="1" spans="1:10">
      <c r="A9" s="64"/>
      <c r="B9" s="65" t="s">
        <v>195</v>
      </c>
      <c r="C9" s="65" t="s">
        <v>77</v>
      </c>
      <c r="D9" s="65">
        <v>31</v>
      </c>
      <c r="E9" s="65">
        <v>2</v>
      </c>
      <c r="F9" s="65">
        <v>62</v>
      </c>
      <c r="G9" s="65">
        <v>62</v>
      </c>
      <c r="H9" s="66">
        <v>1</v>
      </c>
      <c r="I9" s="66">
        <v>1</v>
      </c>
      <c r="J9" s="65" t="s">
        <v>192</v>
      </c>
    </row>
    <row r="10" customHeight="1" spans="1:10">
      <c r="A10" s="64"/>
      <c r="B10" s="65" t="s">
        <v>196</v>
      </c>
      <c r="C10" s="65" t="s">
        <v>191</v>
      </c>
      <c r="D10" s="65">
        <v>31</v>
      </c>
      <c r="E10" s="65">
        <v>24</v>
      </c>
      <c r="F10" s="65">
        <v>744</v>
      </c>
      <c r="G10" s="65">
        <v>628</v>
      </c>
      <c r="H10" s="66">
        <v>0.844086021505376</v>
      </c>
      <c r="I10" s="66">
        <v>1</v>
      </c>
      <c r="J10" s="65"/>
    </row>
    <row r="11" customHeight="1" spans="1:10">
      <c r="A11" s="64"/>
      <c r="B11" s="65"/>
      <c r="C11" s="65" t="s">
        <v>193</v>
      </c>
      <c r="D11" s="65">
        <v>31</v>
      </c>
      <c r="E11" s="65">
        <v>24</v>
      </c>
      <c r="F11" s="65">
        <v>744</v>
      </c>
      <c r="G11" s="65">
        <v>50</v>
      </c>
      <c r="H11" s="66">
        <v>0.0672043010752688</v>
      </c>
      <c r="I11" s="66">
        <v>1</v>
      </c>
      <c r="J11" s="65"/>
    </row>
    <row r="12" customHeight="1" spans="1:10">
      <c r="A12" s="64"/>
      <c r="B12" s="65"/>
      <c r="C12" s="65" t="s">
        <v>197</v>
      </c>
      <c r="D12" s="65">
        <v>31</v>
      </c>
      <c r="E12" s="65">
        <v>24</v>
      </c>
      <c r="F12" s="65">
        <v>744</v>
      </c>
      <c r="G12" s="65">
        <v>718</v>
      </c>
      <c r="H12" s="66">
        <v>0.99</v>
      </c>
      <c r="I12" s="66">
        <v>1</v>
      </c>
      <c r="J12" s="65"/>
    </row>
    <row r="13" customHeight="1" spans="1:10">
      <c r="A13" s="64"/>
      <c r="B13" s="65"/>
      <c r="C13" s="65" t="s">
        <v>198</v>
      </c>
      <c r="D13" s="65">
        <v>31</v>
      </c>
      <c r="E13" s="65">
        <v>24</v>
      </c>
      <c r="F13" s="65">
        <v>744</v>
      </c>
      <c r="G13" s="65">
        <v>162</v>
      </c>
      <c r="H13" s="66">
        <v>0.8</v>
      </c>
      <c r="I13" s="66">
        <v>1</v>
      </c>
      <c r="J13" s="65"/>
    </row>
    <row r="14" customHeight="1" spans="1:10">
      <c r="A14" s="64"/>
      <c r="B14" s="65"/>
      <c r="C14" s="65" t="s">
        <v>199</v>
      </c>
      <c r="D14" s="65">
        <v>31</v>
      </c>
      <c r="E14" s="65">
        <v>24</v>
      </c>
      <c r="F14" s="65">
        <v>744</v>
      </c>
      <c r="G14" s="65">
        <v>744</v>
      </c>
      <c r="H14" s="66">
        <v>1</v>
      </c>
      <c r="I14" s="66">
        <v>1</v>
      </c>
      <c r="J14" s="65"/>
    </row>
    <row r="15" customHeight="1" spans="1:10">
      <c r="A15" s="64"/>
      <c r="B15" s="65" t="s">
        <v>200</v>
      </c>
      <c r="C15" s="65" t="s">
        <v>191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/>
    </row>
    <row r="16" customHeight="1" spans="1:10">
      <c r="A16" s="64"/>
      <c r="B16" s="65"/>
      <c r="C16" s="65" t="s">
        <v>193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/>
    </row>
    <row r="17" customHeight="1" spans="1:10">
      <c r="A17" s="64"/>
      <c r="B17" s="65"/>
      <c r="C17" s="65" t="s">
        <v>197</v>
      </c>
      <c r="D17" s="65">
        <v>31</v>
      </c>
      <c r="E17" s="65">
        <v>2.4</v>
      </c>
      <c r="F17" s="65">
        <v>74.4</v>
      </c>
      <c r="G17" s="65">
        <v>74.4</v>
      </c>
      <c r="H17" s="66">
        <v>1</v>
      </c>
      <c r="I17" s="66">
        <v>1</v>
      </c>
      <c r="J17" s="65"/>
    </row>
    <row r="18" customHeight="1" spans="1:10">
      <c r="A18" s="64"/>
      <c r="B18" s="65"/>
      <c r="C18" s="65" t="s">
        <v>198</v>
      </c>
      <c r="D18" s="65">
        <v>31</v>
      </c>
      <c r="E18" s="65">
        <v>2.4</v>
      </c>
      <c r="F18" s="65">
        <v>74.4</v>
      </c>
      <c r="G18" s="65">
        <v>74.4</v>
      </c>
      <c r="H18" s="66">
        <v>1</v>
      </c>
      <c r="I18" s="66">
        <v>1</v>
      </c>
      <c r="J18" s="65"/>
    </row>
    <row r="19" customHeight="1" spans="1:10">
      <c r="A19" s="64"/>
      <c r="B19" s="65"/>
      <c r="C19" s="65" t="s">
        <v>199</v>
      </c>
      <c r="D19" s="65">
        <v>31</v>
      </c>
      <c r="E19" s="65">
        <v>2.4</v>
      </c>
      <c r="F19" s="65">
        <v>74.4</v>
      </c>
      <c r="G19" s="65">
        <v>74.4</v>
      </c>
      <c r="H19" s="66">
        <v>1</v>
      </c>
      <c r="I19" s="66">
        <v>1</v>
      </c>
      <c r="J19" s="65" t="s">
        <v>201</v>
      </c>
    </row>
    <row r="20" customHeight="1" spans="1:10">
      <c r="A20" s="64"/>
      <c r="B20" s="65"/>
      <c r="C20" s="65" t="s">
        <v>202</v>
      </c>
      <c r="D20" s="65">
        <v>31</v>
      </c>
      <c r="E20" s="65">
        <v>2.4</v>
      </c>
      <c r="F20" s="65">
        <v>74.4</v>
      </c>
      <c r="G20" s="65">
        <v>74.4</v>
      </c>
      <c r="H20" s="66">
        <v>1</v>
      </c>
      <c r="I20" s="66">
        <v>1</v>
      </c>
      <c r="J20" s="65"/>
    </row>
    <row r="21" customHeight="1" spans="1:10">
      <c r="A21" s="64"/>
      <c r="B21" s="65" t="s">
        <v>194</v>
      </c>
      <c r="C21" s="65" t="s">
        <v>191</v>
      </c>
      <c r="D21" s="65">
        <v>31</v>
      </c>
      <c r="E21" s="65">
        <v>2</v>
      </c>
      <c r="F21" s="65">
        <v>62</v>
      </c>
      <c r="G21" s="65">
        <v>62</v>
      </c>
      <c r="H21" s="66">
        <v>1</v>
      </c>
      <c r="I21" s="66">
        <v>1</v>
      </c>
      <c r="J21" s="65"/>
    </row>
    <row r="22" customHeight="1" spans="1:10">
      <c r="A22" s="64"/>
      <c r="B22" s="65"/>
      <c r="C22" s="65" t="s">
        <v>193</v>
      </c>
      <c r="D22" s="65">
        <v>31</v>
      </c>
      <c r="E22" s="65">
        <v>2</v>
      </c>
      <c r="F22" s="65">
        <v>62</v>
      </c>
      <c r="G22" s="65">
        <v>62</v>
      </c>
      <c r="H22" s="66">
        <v>1</v>
      </c>
      <c r="I22" s="66">
        <v>1</v>
      </c>
      <c r="J22" s="65"/>
    </row>
    <row r="23" customHeight="1" spans="1:10">
      <c r="A23" s="64"/>
      <c r="B23" s="65" t="s">
        <v>195</v>
      </c>
      <c r="C23" s="65" t="s">
        <v>191</v>
      </c>
      <c r="D23" s="65">
        <v>31</v>
      </c>
      <c r="E23" s="65">
        <v>2</v>
      </c>
      <c r="F23" s="65">
        <v>62</v>
      </c>
      <c r="G23" s="65">
        <v>62</v>
      </c>
      <c r="H23" s="66">
        <v>1</v>
      </c>
      <c r="I23" s="66">
        <v>1</v>
      </c>
      <c r="J23" s="65"/>
    </row>
    <row r="24" customHeight="1" spans="1:10">
      <c r="A24" s="64"/>
      <c r="B24" s="65"/>
      <c r="C24" s="65" t="s">
        <v>193</v>
      </c>
      <c r="D24" s="65">
        <v>31</v>
      </c>
      <c r="E24" s="65">
        <v>2</v>
      </c>
      <c r="F24" s="65">
        <v>62</v>
      </c>
      <c r="G24" s="65">
        <v>0</v>
      </c>
      <c r="H24" s="66">
        <v>0</v>
      </c>
      <c r="I24" s="66">
        <v>1</v>
      </c>
      <c r="J24" s="65"/>
    </row>
    <row r="25" customHeight="1" spans="1:10">
      <c r="A25" s="64"/>
      <c r="B25" s="65" t="s">
        <v>203</v>
      </c>
      <c r="C25" s="65" t="s">
        <v>191</v>
      </c>
      <c r="D25" s="65">
        <v>31</v>
      </c>
      <c r="E25" s="65">
        <v>24</v>
      </c>
      <c r="F25" s="65">
        <v>744</v>
      </c>
      <c r="G25" s="65">
        <v>0</v>
      </c>
      <c r="H25" s="66">
        <v>0</v>
      </c>
      <c r="I25" s="66">
        <v>0</v>
      </c>
      <c r="J25" s="65"/>
    </row>
    <row r="26" customHeight="1" spans="1:10">
      <c r="A26" s="64"/>
      <c r="B26" s="65" t="s">
        <v>204</v>
      </c>
      <c r="C26" s="65" t="s">
        <v>191</v>
      </c>
      <c r="D26" s="65">
        <v>31</v>
      </c>
      <c r="E26" s="65">
        <v>0.5</v>
      </c>
      <c r="F26" s="65">
        <v>15.5</v>
      </c>
      <c r="G26" s="65">
        <v>15.5</v>
      </c>
      <c r="H26" s="66">
        <v>1</v>
      </c>
      <c r="I26" s="66">
        <v>1</v>
      </c>
      <c r="J26" s="65"/>
    </row>
    <row r="27" customHeight="1" spans="1:10">
      <c r="A27" s="64"/>
      <c r="B27" s="65" t="s">
        <v>203</v>
      </c>
      <c r="C27" s="65" t="s">
        <v>193</v>
      </c>
      <c r="D27" s="65">
        <v>31</v>
      </c>
      <c r="E27" s="65">
        <v>24</v>
      </c>
      <c r="F27" s="65">
        <v>744</v>
      </c>
      <c r="G27" s="65">
        <v>0</v>
      </c>
      <c r="H27" s="66">
        <v>0</v>
      </c>
      <c r="I27" s="66">
        <v>0</v>
      </c>
      <c r="J27" s="65"/>
    </row>
    <row r="28" customHeight="1" spans="1:10">
      <c r="A28" s="64"/>
      <c r="B28" s="65" t="s">
        <v>204</v>
      </c>
      <c r="C28" s="65" t="s">
        <v>193</v>
      </c>
      <c r="D28" s="65">
        <v>31</v>
      </c>
      <c r="E28" s="65">
        <v>0.5</v>
      </c>
      <c r="F28" s="65">
        <v>15.5</v>
      </c>
      <c r="G28" s="65">
        <v>15.5</v>
      </c>
      <c r="H28" s="66">
        <v>1</v>
      </c>
      <c r="I28" s="66">
        <v>1</v>
      </c>
      <c r="J28" s="65"/>
    </row>
    <row r="29" customHeight="1" spans="1:10">
      <c r="A29" s="64"/>
      <c r="B29" s="65" t="s">
        <v>203</v>
      </c>
      <c r="C29" s="65" t="s">
        <v>197</v>
      </c>
      <c r="D29" s="65">
        <v>31</v>
      </c>
      <c r="E29" s="65">
        <v>24</v>
      </c>
      <c r="F29" s="65">
        <v>744</v>
      </c>
      <c r="G29" s="65">
        <v>744</v>
      </c>
      <c r="H29" s="66">
        <v>1</v>
      </c>
      <c r="I29" s="66">
        <v>1</v>
      </c>
      <c r="J29" s="65"/>
    </row>
    <row r="30" customHeight="1" spans="1:10">
      <c r="A30" s="64"/>
      <c r="B30" s="65" t="s">
        <v>204</v>
      </c>
      <c r="C30" s="65" t="s">
        <v>197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/>
    </row>
    <row r="31" customHeight="1" spans="1:10">
      <c r="A31" s="64"/>
      <c r="B31" s="65" t="s">
        <v>203</v>
      </c>
      <c r="C31" s="65" t="s">
        <v>198</v>
      </c>
      <c r="D31" s="65">
        <v>31</v>
      </c>
      <c r="E31" s="65">
        <v>24</v>
      </c>
      <c r="F31" s="65">
        <v>744</v>
      </c>
      <c r="G31" s="65">
        <v>0</v>
      </c>
      <c r="H31" s="66">
        <v>0</v>
      </c>
      <c r="I31" s="66">
        <v>0</v>
      </c>
      <c r="J31" s="65"/>
    </row>
    <row r="32" customHeight="1" spans="1:10">
      <c r="A32" s="64"/>
      <c r="B32" s="65" t="s">
        <v>204</v>
      </c>
      <c r="C32" s="65" t="s">
        <v>198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/>
    </row>
    <row r="33" customHeight="1" spans="1:10">
      <c r="A33" s="64"/>
      <c r="B33" s="65" t="s">
        <v>205</v>
      </c>
      <c r="C33" s="65" t="s">
        <v>191</v>
      </c>
      <c r="D33" s="65">
        <v>31</v>
      </c>
      <c r="E33" s="65">
        <v>24</v>
      </c>
      <c r="F33" s="65">
        <v>744</v>
      </c>
      <c r="G33" s="65">
        <v>744</v>
      </c>
      <c r="H33" s="66">
        <v>1</v>
      </c>
      <c r="I33" s="66">
        <v>1</v>
      </c>
      <c r="J33" s="65"/>
    </row>
    <row r="34" customHeight="1" spans="1:10">
      <c r="A34" s="64"/>
      <c r="B34" s="65"/>
      <c r="C34" s="65" t="s">
        <v>193</v>
      </c>
      <c r="D34" s="65">
        <v>31</v>
      </c>
      <c r="E34" s="65">
        <v>24</v>
      </c>
      <c r="F34" s="65">
        <v>744</v>
      </c>
      <c r="G34" s="65">
        <v>362</v>
      </c>
      <c r="H34" s="66">
        <v>0.486559139784946</v>
      </c>
      <c r="I34" s="66">
        <v>1</v>
      </c>
      <c r="J34" s="65"/>
    </row>
    <row r="35" customHeight="1" spans="1:10">
      <c r="A35" s="64"/>
      <c r="B35" s="65"/>
      <c r="C35" s="65" t="s">
        <v>197</v>
      </c>
      <c r="D35" s="65">
        <v>31</v>
      </c>
      <c r="E35" s="65">
        <v>24</v>
      </c>
      <c r="F35" s="65">
        <v>744</v>
      </c>
      <c r="G35" s="65">
        <v>384</v>
      </c>
      <c r="H35" s="66">
        <v>0.516129032258065</v>
      </c>
      <c r="I35" s="66">
        <v>1</v>
      </c>
      <c r="J35" s="65"/>
    </row>
    <row r="36" customHeight="1" spans="1:10">
      <c r="A36" s="64"/>
      <c r="B36" s="65"/>
      <c r="C36" s="65" t="s">
        <v>198</v>
      </c>
      <c r="D36" s="65">
        <v>31</v>
      </c>
      <c r="E36" s="65">
        <v>24</v>
      </c>
      <c r="F36" s="65">
        <v>744</v>
      </c>
      <c r="G36" s="65">
        <v>0</v>
      </c>
      <c r="H36" s="66">
        <v>0</v>
      </c>
      <c r="I36" s="66">
        <v>1</v>
      </c>
      <c r="J36" s="77"/>
    </row>
    <row r="37" customHeight="1" spans="1:10">
      <c r="A37" s="64"/>
      <c r="B37" s="65"/>
      <c r="C37" s="65" t="s">
        <v>199</v>
      </c>
      <c r="D37" s="65">
        <v>31</v>
      </c>
      <c r="E37" s="65">
        <v>24</v>
      </c>
      <c r="F37" s="65">
        <v>744</v>
      </c>
      <c r="G37" s="65">
        <v>0</v>
      </c>
      <c r="H37" s="66">
        <v>0</v>
      </c>
      <c r="I37" s="66">
        <v>1</v>
      </c>
      <c r="J37" s="65"/>
    </row>
    <row r="38" customHeight="1" spans="1:10">
      <c r="A38" s="67" t="s">
        <v>78</v>
      </c>
      <c r="B38" s="67"/>
      <c r="C38" s="15"/>
      <c r="D38" s="15"/>
      <c r="E38" s="68" t="s">
        <v>79</v>
      </c>
      <c r="F38" s="68"/>
      <c r="G38" s="69"/>
      <c r="H38" s="10" t="s">
        <v>206</v>
      </c>
      <c r="I38" s="10"/>
      <c r="J38" s="10"/>
    </row>
    <row r="39" ht="34" customHeight="1"/>
    <row r="46" ht="33" customHeight="1" spans="1:10">
      <c r="A46" s="57" t="s">
        <v>174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0">
        <f>A2</f>
        <v>45139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175</v>
      </c>
      <c r="B48" s="6" t="s">
        <v>176</v>
      </c>
      <c r="C48" s="6" t="s">
        <v>177</v>
      </c>
      <c r="D48" s="6" t="s">
        <v>178</v>
      </c>
      <c r="E48" s="60" t="s">
        <v>179</v>
      </c>
      <c r="F48" s="60" t="s">
        <v>180</v>
      </c>
      <c r="G48" s="61" t="s">
        <v>181</v>
      </c>
      <c r="H48" s="62" t="s">
        <v>182</v>
      </c>
      <c r="I48" s="60" t="s">
        <v>183</v>
      </c>
      <c r="J48" s="6" t="s">
        <v>184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1"/>
      <c r="D50" s="8" t="s">
        <v>185</v>
      </c>
      <c r="E50" s="72" t="s">
        <v>186</v>
      </c>
      <c r="F50" s="72" t="s">
        <v>187</v>
      </c>
      <c r="G50" s="73" t="s">
        <v>187</v>
      </c>
      <c r="H50" s="74" t="s">
        <v>188</v>
      </c>
      <c r="I50" s="60" t="s">
        <v>188</v>
      </c>
      <c r="J50" s="6"/>
    </row>
    <row r="51" customHeight="1" spans="1:10">
      <c r="A51" s="75" t="s">
        <v>207</v>
      </c>
      <c r="B51" s="64" t="s">
        <v>208</v>
      </c>
      <c r="C51" s="65" t="s">
        <v>191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8">
        <v>1</v>
      </c>
      <c r="J51" s="65"/>
    </row>
    <row r="52" customHeight="1" spans="1:10">
      <c r="A52" s="76"/>
      <c r="B52" s="65"/>
      <c r="C52" s="65" t="s">
        <v>193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8">
        <v>1</v>
      </c>
      <c r="J52" s="65"/>
    </row>
    <row r="53" customHeight="1" spans="1:10">
      <c r="A53" s="76"/>
      <c r="B53" s="65"/>
      <c r="C53" s="65" t="s">
        <v>197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8">
        <v>1</v>
      </c>
      <c r="J53" s="65"/>
    </row>
    <row r="54" customHeight="1" spans="1:10">
      <c r="A54" s="76"/>
      <c r="B54" s="65"/>
      <c r="C54" s="65" t="s">
        <v>198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8">
        <v>1</v>
      </c>
      <c r="J54" s="65"/>
    </row>
    <row r="55" customHeight="1" spans="1:10">
      <c r="A55" s="76"/>
      <c r="B55" s="65"/>
      <c r="C55" s="65" t="s">
        <v>199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8">
        <v>1</v>
      </c>
      <c r="J55" s="65"/>
    </row>
    <row r="56" customHeight="1" spans="1:10">
      <c r="A56" s="76"/>
      <c r="B56" s="65"/>
      <c r="C56" s="65" t="s">
        <v>202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8">
        <v>1</v>
      </c>
      <c r="J56" s="65"/>
    </row>
    <row r="57" customHeight="1" spans="1:10">
      <c r="A57" s="76"/>
      <c r="B57" s="65"/>
      <c r="C57" s="65" t="s">
        <v>209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8">
        <v>1</v>
      </c>
      <c r="J57" s="65"/>
    </row>
    <row r="58" customHeight="1" spans="1:10">
      <c r="A58" s="76"/>
      <c r="B58" s="65"/>
      <c r="C58" s="65" t="s">
        <v>210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8">
        <v>1</v>
      </c>
      <c r="J58" s="65"/>
    </row>
    <row r="59" customHeight="1" spans="1:10">
      <c r="A59" s="76"/>
      <c r="B59" s="65"/>
      <c r="C59" s="65" t="s">
        <v>211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8">
        <v>1</v>
      </c>
      <c r="J59" s="65"/>
    </row>
    <row r="60" customHeight="1" spans="1:10">
      <c r="A60" s="76"/>
      <c r="B60" s="65"/>
      <c r="C60" s="65" t="s">
        <v>212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8">
        <v>1</v>
      </c>
      <c r="J60" s="65"/>
    </row>
    <row r="61" customHeight="1" spans="1:10">
      <c r="A61" s="76"/>
      <c r="B61" s="65"/>
      <c r="C61" s="65" t="s">
        <v>213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8">
        <v>1</v>
      </c>
      <c r="J61" s="65"/>
    </row>
    <row r="62" customHeight="1" spans="1:10">
      <c r="A62" s="76"/>
      <c r="B62" s="65"/>
      <c r="C62" s="65" t="s">
        <v>214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8">
        <v>1</v>
      </c>
      <c r="J62" s="65"/>
    </row>
    <row r="63" customHeight="1" spans="1:10">
      <c r="A63" s="76"/>
      <c r="B63" s="65"/>
      <c r="C63" s="65" t="s">
        <v>215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8">
        <v>1</v>
      </c>
      <c r="J63" s="65"/>
    </row>
    <row r="64" customHeight="1" spans="1:10">
      <c r="A64" s="76"/>
      <c r="B64" s="65"/>
      <c r="C64" s="65" t="s">
        <v>216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8">
        <v>1</v>
      </c>
      <c r="J64" s="65"/>
    </row>
    <row r="65" customHeight="1" spans="1:10">
      <c r="A65" s="76"/>
      <c r="B65" s="65"/>
      <c r="C65" s="65" t="s">
        <v>217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8">
        <v>1</v>
      </c>
      <c r="J65" s="65"/>
    </row>
    <row r="66" customHeight="1" spans="1:10">
      <c r="A66" s="76"/>
      <c r="B66" s="65"/>
      <c r="C66" s="65" t="s">
        <v>218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8">
        <v>1</v>
      </c>
      <c r="J66" s="65"/>
    </row>
    <row r="67" customHeight="1" spans="1:10">
      <c r="A67" s="76"/>
      <c r="B67" s="65"/>
      <c r="C67" s="65" t="s">
        <v>219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8">
        <v>1</v>
      </c>
      <c r="J67" s="65"/>
    </row>
    <row r="68" customHeight="1" spans="1:10">
      <c r="A68" s="76"/>
      <c r="B68" s="65"/>
      <c r="C68" s="65" t="s">
        <v>220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8">
        <v>1</v>
      </c>
      <c r="J68" s="65"/>
    </row>
    <row r="69" customHeight="1" spans="1:10">
      <c r="A69" s="76"/>
      <c r="B69" s="64" t="s">
        <v>221</v>
      </c>
      <c r="C69" s="65" t="s">
        <v>222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8">
        <v>1</v>
      </c>
      <c r="J69" s="65"/>
    </row>
    <row r="70" customHeight="1" spans="1:10">
      <c r="A70" s="76"/>
      <c r="B70" s="65"/>
      <c r="C70" s="65" t="s">
        <v>223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8">
        <v>1</v>
      </c>
      <c r="J70" s="65"/>
    </row>
    <row r="71" customHeight="1" spans="1:10">
      <c r="A71" s="76"/>
      <c r="B71" s="65"/>
      <c r="C71" s="65" t="s">
        <v>224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8">
        <v>1</v>
      </c>
      <c r="J71" s="65"/>
    </row>
    <row r="72" customHeight="1" spans="1:10">
      <c r="A72" s="76"/>
      <c r="B72" s="65"/>
      <c r="C72" s="65" t="s">
        <v>225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8">
        <v>1</v>
      </c>
      <c r="J72" s="65"/>
    </row>
    <row r="73" customHeight="1" spans="1:10">
      <c r="A73" s="76"/>
      <c r="B73" s="65"/>
      <c r="C73" s="65" t="s">
        <v>226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8">
        <v>1</v>
      </c>
      <c r="J73" s="65"/>
    </row>
    <row r="74" customHeight="1" spans="1:10">
      <c r="A74" s="76"/>
      <c r="B74" s="65"/>
      <c r="C74" s="65" t="s">
        <v>227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8">
        <v>1</v>
      </c>
      <c r="J74" s="65"/>
    </row>
    <row r="75" customHeight="1" spans="1:10">
      <c r="A75" s="76"/>
      <c r="B75" s="65"/>
      <c r="C75" s="65" t="s">
        <v>228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8">
        <v>1</v>
      </c>
      <c r="J75" s="65"/>
    </row>
    <row r="76" customHeight="1" spans="1:10">
      <c r="A76" s="76"/>
      <c r="B76" s="65"/>
      <c r="C76" s="65" t="s">
        <v>229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8">
        <v>1</v>
      </c>
      <c r="J76" s="65"/>
    </row>
    <row r="77" customHeight="1" spans="1:10">
      <c r="A77" s="76"/>
      <c r="B77" s="65"/>
      <c r="C77" s="65" t="s">
        <v>230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8">
        <v>1</v>
      </c>
      <c r="J77" s="65"/>
    </row>
    <row r="78" customHeight="1" spans="1:10">
      <c r="A78" s="76"/>
      <c r="B78" s="65"/>
      <c r="C78" s="65" t="s">
        <v>231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8">
        <v>1</v>
      </c>
      <c r="J78" s="65"/>
    </row>
    <row r="79" customHeight="1" spans="1:10">
      <c r="A79" s="76"/>
      <c r="B79" s="65"/>
      <c r="C79" s="65" t="s">
        <v>232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8">
        <v>1</v>
      </c>
      <c r="J79" s="65"/>
    </row>
    <row r="80" customHeight="1" spans="1:10">
      <c r="A80" s="76"/>
      <c r="B80" s="65"/>
      <c r="C80" s="65" t="s">
        <v>233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8">
        <v>1</v>
      </c>
      <c r="J80" s="65"/>
    </row>
    <row r="81" customHeight="1" spans="1:10">
      <c r="A81" s="76"/>
      <c r="B81" s="65"/>
      <c r="C81" s="65" t="s">
        <v>234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8">
        <v>1</v>
      </c>
      <c r="J81" s="65"/>
    </row>
    <row r="82" customHeight="1" spans="1:10">
      <c r="A82" s="76"/>
      <c r="B82" s="65"/>
      <c r="C82" s="65" t="s">
        <v>235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8">
        <v>1</v>
      </c>
      <c r="J82" s="65"/>
    </row>
    <row r="83" customHeight="1" spans="1:10">
      <c r="A83" s="76"/>
      <c r="B83" s="65"/>
      <c r="C83" s="65" t="s">
        <v>236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8">
        <v>1</v>
      </c>
      <c r="J83" s="65"/>
    </row>
    <row r="84" customHeight="1" spans="1:10">
      <c r="A84" s="76"/>
      <c r="B84" s="65"/>
      <c r="C84" s="65" t="s">
        <v>237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8">
        <v>1</v>
      </c>
      <c r="J84" s="65"/>
    </row>
    <row r="85" customHeight="1" spans="1:10">
      <c r="A85" s="76"/>
      <c r="B85" s="65"/>
      <c r="C85" s="65" t="s">
        <v>238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8">
        <v>1</v>
      </c>
      <c r="J85" s="65"/>
    </row>
    <row r="86" customHeight="1" spans="1:10">
      <c r="A86" s="79"/>
      <c r="B86" s="65"/>
      <c r="C86" s="65" t="s">
        <v>239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8">
        <v>1</v>
      </c>
      <c r="J86" s="65"/>
    </row>
    <row r="87" customHeight="1" spans="1:10">
      <c r="A87" s="67" t="s">
        <v>78</v>
      </c>
      <c r="B87" s="67"/>
      <c r="C87" s="15"/>
      <c r="D87" s="15"/>
      <c r="E87" s="68" t="s">
        <v>79</v>
      </c>
      <c r="F87" s="68"/>
      <c r="G87" s="69"/>
      <c r="H87" s="10" t="str">
        <f>H38</f>
        <v>制表时间：2023/9/5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7" t="s">
        <v>174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f>A2</f>
        <v>45139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175</v>
      </c>
      <c r="B93" s="6" t="s">
        <v>176</v>
      </c>
      <c r="C93" s="6" t="s">
        <v>177</v>
      </c>
      <c r="D93" s="6" t="s">
        <v>178</v>
      </c>
      <c r="E93" s="60" t="s">
        <v>179</v>
      </c>
      <c r="F93" s="60" t="s">
        <v>180</v>
      </c>
      <c r="G93" s="61" t="s">
        <v>181</v>
      </c>
      <c r="H93" s="62" t="s">
        <v>182</v>
      </c>
      <c r="I93" s="60" t="s">
        <v>183</v>
      </c>
      <c r="J93" s="6" t="s">
        <v>184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185</v>
      </c>
      <c r="E95" s="60" t="s">
        <v>186</v>
      </c>
      <c r="F95" s="60" t="s">
        <v>187</v>
      </c>
      <c r="G95" s="61" t="s">
        <v>187</v>
      </c>
      <c r="H95" s="62" t="s">
        <v>188</v>
      </c>
      <c r="I95" s="60" t="s">
        <v>188</v>
      </c>
      <c r="J95" s="6"/>
    </row>
    <row r="96" customHeight="1" spans="1:10">
      <c r="A96" s="64" t="s">
        <v>207</v>
      </c>
      <c r="B96" s="64" t="s">
        <v>240</v>
      </c>
      <c r="C96" s="65" t="s">
        <v>191</v>
      </c>
      <c r="D96" s="65">
        <v>31</v>
      </c>
      <c r="E96" s="65">
        <v>24</v>
      </c>
      <c r="F96" s="65">
        <v>744</v>
      </c>
      <c r="G96" s="65">
        <v>0</v>
      </c>
      <c r="H96" s="80">
        <v>0</v>
      </c>
      <c r="I96" s="66">
        <v>1</v>
      </c>
      <c r="J96" s="65" t="s">
        <v>241</v>
      </c>
    </row>
    <row r="97" customHeight="1" spans="1:10">
      <c r="A97" s="65"/>
      <c r="B97" s="65"/>
      <c r="C97" s="65" t="s">
        <v>193</v>
      </c>
      <c r="D97" s="65">
        <v>31</v>
      </c>
      <c r="E97" s="65">
        <v>24</v>
      </c>
      <c r="F97" s="65">
        <v>744</v>
      </c>
      <c r="G97" s="65">
        <v>0</v>
      </c>
      <c r="H97" s="80">
        <v>0</v>
      </c>
      <c r="I97" s="66">
        <v>1</v>
      </c>
      <c r="J97" s="65" t="s">
        <v>241</v>
      </c>
    </row>
    <row r="98" customHeight="1" spans="1:10">
      <c r="A98" s="65"/>
      <c r="B98" s="64" t="s">
        <v>242</v>
      </c>
      <c r="C98" s="65" t="s">
        <v>191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/>
    </row>
    <row r="99" customHeight="1" spans="1:10">
      <c r="A99" s="65"/>
      <c r="B99" s="65"/>
      <c r="C99" s="65" t="s">
        <v>193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/>
    </row>
    <row r="100" customHeight="1" spans="1:10">
      <c r="A100" s="65"/>
      <c r="B100" s="65"/>
      <c r="C100" s="65" t="s">
        <v>197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/>
    </row>
    <row r="101" customHeight="1" spans="1:10">
      <c r="A101" s="65"/>
      <c r="B101" s="65"/>
      <c r="C101" s="65" t="s">
        <v>198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/>
    </row>
    <row r="102" customHeight="1" spans="1:10">
      <c r="A102" s="65"/>
      <c r="B102" s="65"/>
      <c r="C102" s="65" t="s">
        <v>199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/>
    </row>
    <row r="103" customHeight="1" spans="1:10">
      <c r="A103" s="65"/>
      <c r="B103" s="65"/>
      <c r="C103" s="65" t="s">
        <v>202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/>
    </row>
    <row r="104" customHeight="1" spans="1:10">
      <c r="A104" s="65"/>
      <c r="B104" s="64" t="s">
        <v>243</v>
      </c>
      <c r="C104" s="65" t="s">
        <v>191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/>
    </row>
    <row r="105" customHeight="1" spans="1:10">
      <c r="A105" s="65"/>
      <c r="B105" s="65"/>
      <c r="C105" s="65" t="s">
        <v>193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/>
    </row>
    <row r="106" customHeight="1" spans="1:10">
      <c r="A106" s="65"/>
      <c r="B106" s="65"/>
      <c r="C106" s="65" t="s">
        <v>197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/>
    </row>
    <row r="107" customHeight="1" spans="1:10">
      <c r="A107" s="65"/>
      <c r="B107" s="64" t="s">
        <v>244</v>
      </c>
      <c r="C107" s="65" t="s">
        <v>191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1</v>
      </c>
      <c r="J107" s="65"/>
    </row>
    <row r="108" customHeight="1" spans="1:10">
      <c r="A108" s="65"/>
      <c r="B108" s="65"/>
      <c r="C108" s="65" t="s">
        <v>193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/>
    </row>
    <row r="109" customHeight="1" spans="1:10">
      <c r="A109" s="65"/>
      <c r="B109" s="65"/>
      <c r="C109" s="65" t="s">
        <v>197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/>
    </row>
    <row r="110" customHeight="1" spans="1:10">
      <c r="A110" s="65"/>
      <c r="B110" s="65"/>
      <c r="C110" s="65" t="s">
        <v>198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/>
    </row>
    <row r="111" customHeight="1" spans="1:10">
      <c r="A111" s="81" t="s">
        <v>245</v>
      </c>
      <c r="B111" s="81" t="s">
        <v>246</v>
      </c>
      <c r="C111" s="65" t="s">
        <v>191</v>
      </c>
      <c r="D111" s="65">
        <v>31</v>
      </c>
      <c r="E111" s="65">
        <v>24</v>
      </c>
      <c r="F111" s="65">
        <v>744</v>
      </c>
      <c r="G111" s="65">
        <v>744</v>
      </c>
      <c r="H111" s="66">
        <v>1</v>
      </c>
      <c r="I111" s="66">
        <v>1</v>
      </c>
      <c r="J111" s="65"/>
    </row>
    <row r="112" customHeight="1" spans="1:10">
      <c r="A112" s="82"/>
      <c r="B112" s="83"/>
      <c r="C112" s="65" t="s">
        <v>193</v>
      </c>
      <c r="D112" s="65">
        <v>31</v>
      </c>
      <c r="E112" s="65">
        <v>24</v>
      </c>
      <c r="F112" s="65">
        <v>744</v>
      </c>
      <c r="G112" s="65">
        <v>744</v>
      </c>
      <c r="H112" s="66">
        <v>1</v>
      </c>
      <c r="I112" s="66">
        <v>1</v>
      </c>
      <c r="J112" s="65"/>
    </row>
    <row r="113" customHeight="1" spans="1:10">
      <c r="A113" s="82"/>
      <c r="B113" s="83"/>
      <c r="C113" s="65" t="s">
        <v>197</v>
      </c>
      <c r="D113" s="65">
        <v>31</v>
      </c>
      <c r="E113" s="65">
        <v>24</v>
      </c>
      <c r="F113" s="65">
        <v>744</v>
      </c>
      <c r="G113" s="65">
        <v>744</v>
      </c>
      <c r="H113" s="66">
        <v>1</v>
      </c>
      <c r="I113" s="66">
        <v>1</v>
      </c>
      <c r="J113" s="65"/>
    </row>
    <row r="114" customHeight="1" spans="1:10">
      <c r="A114" s="82"/>
      <c r="B114" s="83"/>
      <c r="C114" s="65" t="s">
        <v>198</v>
      </c>
      <c r="D114" s="65">
        <v>31</v>
      </c>
      <c r="E114" s="65">
        <v>24</v>
      </c>
      <c r="F114" s="65">
        <v>744</v>
      </c>
      <c r="G114" s="65">
        <v>0</v>
      </c>
      <c r="H114" s="66">
        <v>0</v>
      </c>
      <c r="I114" s="66">
        <v>0</v>
      </c>
      <c r="J114" s="65"/>
    </row>
    <row r="115" customHeight="1" spans="1:10">
      <c r="A115" s="82"/>
      <c r="B115" s="83"/>
      <c r="C115" s="65" t="s">
        <v>199</v>
      </c>
      <c r="D115" s="65">
        <v>31</v>
      </c>
      <c r="E115" s="65">
        <v>24</v>
      </c>
      <c r="F115" s="65">
        <v>744</v>
      </c>
      <c r="G115" s="65">
        <v>744</v>
      </c>
      <c r="H115" s="66">
        <v>1</v>
      </c>
      <c r="I115" s="66">
        <v>1</v>
      </c>
      <c r="J115" s="65"/>
    </row>
    <row r="116" customHeight="1" spans="1:10">
      <c r="A116" s="82"/>
      <c r="B116" s="83"/>
      <c r="C116" s="65" t="s">
        <v>202</v>
      </c>
      <c r="D116" s="65">
        <v>31</v>
      </c>
      <c r="E116" s="65">
        <v>24</v>
      </c>
      <c r="F116" s="65">
        <v>744</v>
      </c>
      <c r="G116" s="65">
        <v>744</v>
      </c>
      <c r="H116" s="66">
        <v>1</v>
      </c>
      <c r="I116" s="66">
        <v>1</v>
      </c>
      <c r="J116" s="65"/>
    </row>
    <row r="117" customHeight="1" spans="1:10">
      <c r="A117" s="82"/>
      <c r="B117" s="83"/>
      <c r="C117" s="65" t="s">
        <v>209</v>
      </c>
      <c r="D117" s="65">
        <v>31</v>
      </c>
      <c r="E117" s="65">
        <v>24</v>
      </c>
      <c r="F117" s="65">
        <v>744</v>
      </c>
      <c r="G117" s="65">
        <v>744</v>
      </c>
      <c r="H117" s="66">
        <v>1</v>
      </c>
      <c r="I117" s="66">
        <v>1</v>
      </c>
      <c r="J117" s="65"/>
    </row>
    <row r="118" customHeight="1" spans="1:10">
      <c r="A118" s="82"/>
      <c r="B118" s="83"/>
      <c r="C118" s="65" t="s">
        <v>210</v>
      </c>
      <c r="D118" s="65">
        <v>31</v>
      </c>
      <c r="E118" s="65">
        <v>24</v>
      </c>
      <c r="F118" s="65">
        <v>744</v>
      </c>
      <c r="G118" s="65">
        <v>0</v>
      </c>
      <c r="H118" s="66">
        <v>0</v>
      </c>
      <c r="I118" s="66">
        <v>1</v>
      </c>
      <c r="J118" s="65" t="s">
        <v>247</v>
      </c>
    </row>
    <row r="119" customHeight="1" spans="1:10">
      <c r="A119" s="82"/>
      <c r="B119" s="83"/>
      <c r="C119" s="65" t="s">
        <v>211</v>
      </c>
      <c r="D119" s="65">
        <v>31</v>
      </c>
      <c r="E119" s="65">
        <v>24</v>
      </c>
      <c r="F119" s="65">
        <v>744</v>
      </c>
      <c r="G119" s="65">
        <v>744</v>
      </c>
      <c r="H119" s="66">
        <v>1</v>
      </c>
      <c r="I119" s="66">
        <v>1</v>
      </c>
      <c r="J119" s="65"/>
    </row>
    <row r="120" customHeight="1" spans="1:10">
      <c r="A120" s="82"/>
      <c r="B120" s="83"/>
      <c r="C120" s="65" t="s">
        <v>212</v>
      </c>
      <c r="D120" s="65">
        <v>31</v>
      </c>
      <c r="E120" s="65">
        <v>24</v>
      </c>
      <c r="F120" s="65">
        <v>744</v>
      </c>
      <c r="G120" s="65">
        <v>0</v>
      </c>
      <c r="H120" s="66">
        <v>0</v>
      </c>
      <c r="I120" s="66">
        <v>1</v>
      </c>
      <c r="J120" s="65" t="s">
        <v>247</v>
      </c>
    </row>
    <row r="121" customHeight="1" spans="1:10">
      <c r="A121" s="82"/>
      <c r="B121" s="83"/>
      <c r="C121" s="65" t="s">
        <v>213</v>
      </c>
      <c r="D121" s="65">
        <v>31</v>
      </c>
      <c r="E121" s="65">
        <v>24</v>
      </c>
      <c r="F121" s="65">
        <v>744</v>
      </c>
      <c r="G121" s="65">
        <v>0</v>
      </c>
      <c r="H121" s="66">
        <v>0</v>
      </c>
      <c r="I121" s="66">
        <v>0</v>
      </c>
      <c r="J121" s="65"/>
    </row>
    <row r="122" customHeight="1" spans="1:10">
      <c r="A122" s="82"/>
      <c r="B122" s="83"/>
      <c r="C122" s="65" t="s">
        <v>214</v>
      </c>
      <c r="D122" s="65">
        <v>31</v>
      </c>
      <c r="E122" s="65">
        <v>24</v>
      </c>
      <c r="F122" s="65">
        <v>744</v>
      </c>
      <c r="G122" s="65">
        <v>744</v>
      </c>
      <c r="H122" s="66">
        <v>1</v>
      </c>
      <c r="I122" s="66">
        <v>1</v>
      </c>
      <c r="J122" s="65"/>
    </row>
    <row r="123" customHeight="1" spans="1:10">
      <c r="A123" s="82"/>
      <c r="B123" s="83"/>
      <c r="C123" s="65" t="s">
        <v>215</v>
      </c>
      <c r="D123" s="65">
        <v>31</v>
      </c>
      <c r="E123" s="65">
        <v>24</v>
      </c>
      <c r="F123" s="65">
        <v>744</v>
      </c>
      <c r="G123" s="65">
        <v>744</v>
      </c>
      <c r="H123" s="66">
        <v>1</v>
      </c>
      <c r="I123" s="66">
        <v>1</v>
      </c>
      <c r="J123" s="65"/>
    </row>
    <row r="124" customHeight="1" spans="1:10">
      <c r="A124" s="82"/>
      <c r="B124" s="83"/>
      <c r="C124" s="65" t="s">
        <v>216</v>
      </c>
      <c r="D124" s="65">
        <v>31</v>
      </c>
      <c r="E124" s="65">
        <v>24</v>
      </c>
      <c r="F124" s="65">
        <v>744</v>
      </c>
      <c r="G124" s="65">
        <v>744</v>
      </c>
      <c r="H124" s="66">
        <v>1</v>
      </c>
      <c r="I124" s="66">
        <v>1</v>
      </c>
      <c r="J124" s="65"/>
    </row>
    <row r="125" customHeight="1" spans="1:10">
      <c r="A125" s="82"/>
      <c r="B125" s="83"/>
      <c r="C125" s="65" t="s">
        <v>217</v>
      </c>
      <c r="D125" s="65">
        <v>31</v>
      </c>
      <c r="E125" s="65">
        <v>24</v>
      </c>
      <c r="F125" s="65">
        <v>744</v>
      </c>
      <c r="G125" s="65">
        <v>744</v>
      </c>
      <c r="H125" s="66">
        <v>1</v>
      </c>
      <c r="I125" s="66">
        <v>1</v>
      </c>
      <c r="J125" s="65"/>
    </row>
    <row r="126" customHeight="1" spans="1:10">
      <c r="A126" s="82"/>
      <c r="B126" s="83"/>
      <c r="C126" s="65" t="s">
        <v>218</v>
      </c>
      <c r="D126" s="65">
        <v>31</v>
      </c>
      <c r="E126" s="65">
        <v>24</v>
      </c>
      <c r="F126" s="65">
        <v>744</v>
      </c>
      <c r="G126" s="65">
        <v>408</v>
      </c>
      <c r="H126" s="66">
        <v>0.548387096774194</v>
      </c>
      <c r="I126" s="66">
        <v>1</v>
      </c>
      <c r="J126" s="65" t="s">
        <v>248</v>
      </c>
    </row>
    <row r="127" customHeight="1" spans="1:10">
      <c r="A127" s="82"/>
      <c r="B127" s="83"/>
      <c r="C127" s="65" t="s">
        <v>219</v>
      </c>
      <c r="D127" s="65">
        <v>31</v>
      </c>
      <c r="E127" s="65">
        <v>24</v>
      </c>
      <c r="F127" s="65">
        <v>744</v>
      </c>
      <c r="G127" s="65">
        <v>744</v>
      </c>
      <c r="H127" s="66">
        <v>1</v>
      </c>
      <c r="I127" s="66">
        <v>1</v>
      </c>
      <c r="J127" s="65"/>
    </row>
    <row r="128" customHeight="1" spans="1:10">
      <c r="A128" s="82"/>
      <c r="B128" s="83"/>
      <c r="C128" s="65" t="s">
        <v>220</v>
      </c>
      <c r="D128" s="65">
        <v>31</v>
      </c>
      <c r="E128" s="65">
        <v>24</v>
      </c>
      <c r="F128" s="65">
        <v>744</v>
      </c>
      <c r="G128" s="65">
        <v>744</v>
      </c>
      <c r="H128" s="66">
        <v>1</v>
      </c>
      <c r="I128" s="66">
        <v>1</v>
      </c>
      <c r="J128" s="65"/>
    </row>
    <row r="129" customHeight="1" spans="1:10">
      <c r="A129" s="82"/>
      <c r="B129" s="83"/>
      <c r="C129" s="65" t="s">
        <v>222</v>
      </c>
      <c r="D129" s="65">
        <v>31</v>
      </c>
      <c r="E129" s="65">
        <v>24</v>
      </c>
      <c r="F129" s="65">
        <v>744</v>
      </c>
      <c r="G129" s="65">
        <v>744</v>
      </c>
      <c r="H129" s="66">
        <v>1</v>
      </c>
      <c r="I129" s="66">
        <v>1</v>
      </c>
      <c r="J129" s="65"/>
    </row>
    <row r="130" customHeight="1" spans="1:10">
      <c r="A130" s="82"/>
      <c r="B130" s="83"/>
      <c r="C130" s="65" t="s">
        <v>223</v>
      </c>
      <c r="D130" s="65">
        <v>31</v>
      </c>
      <c r="E130" s="65">
        <v>24</v>
      </c>
      <c r="F130" s="65">
        <v>744</v>
      </c>
      <c r="G130" s="65">
        <v>744</v>
      </c>
      <c r="H130" s="66">
        <v>1</v>
      </c>
      <c r="I130" s="66">
        <v>1</v>
      </c>
      <c r="J130" s="65"/>
    </row>
    <row r="131" customHeight="1" spans="1:10">
      <c r="A131" s="82"/>
      <c r="B131" s="83"/>
      <c r="C131" s="65" t="s">
        <v>224</v>
      </c>
      <c r="D131" s="65">
        <v>31</v>
      </c>
      <c r="E131" s="65">
        <v>24</v>
      </c>
      <c r="F131" s="65">
        <v>744</v>
      </c>
      <c r="G131" s="65">
        <v>744</v>
      </c>
      <c r="H131" s="66">
        <v>1</v>
      </c>
      <c r="I131" s="80">
        <v>1</v>
      </c>
      <c r="J131" s="65"/>
    </row>
    <row r="132" customHeight="1" spans="1:10">
      <c r="A132" s="84"/>
      <c r="B132" s="85"/>
      <c r="C132" s="65" t="s">
        <v>225</v>
      </c>
      <c r="D132" s="65">
        <v>31</v>
      </c>
      <c r="E132" s="65">
        <v>24</v>
      </c>
      <c r="F132" s="65">
        <v>744</v>
      </c>
      <c r="G132" s="65">
        <v>0</v>
      </c>
      <c r="H132" s="66">
        <v>0</v>
      </c>
      <c r="I132" s="66">
        <v>0</v>
      </c>
      <c r="J132" s="65"/>
    </row>
    <row r="133" ht="14.25" spans="1:10">
      <c r="A133" s="67" t="s">
        <v>78</v>
      </c>
      <c r="B133" s="67"/>
      <c r="C133" s="15"/>
      <c r="D133" s="15"/>
      <c r="E133" s="68" t="s">
        <v>79</v>
      </c>
      <c r="F133" s="68"/>
      <c r="G133" s="69"/>
      <c r="H133" s="10" t="str">
        <f>H38</f>
        <v>制表时间：2023/9/5</v>
      </c>
      <c r="I133" s="10"/>
      <c r="J133" s="10"/>
    </row>
    <row r="134" ht="7" customHeight="1" spans="2:6">
      <c r="B134" s="86"/>
      <c r="F134" s="87"/>
    </row>
    <row r="135" ht="5" customHeight="1" spans="2:6">
      <c r="B135" s="86"/>
      <c r="F135" s="87"/>
    </row>
    <row r="136" s="53" customFormat="1" ht="29" customHeight="1" spans="1:212">
      <c r="A136" s="57" t="s">
        <v>174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f>A2</f>
        <v>45139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175</v>
      </c>
      <c r="B138" s="6" t="s">
        <v>176</v>
      </c>
      <c r="C138" s="6" t="s">
        <v>177</v>
      </c>
      <c r="D138" s="6" t="s">
        <v>178</v>
      </c>
      <c r="E138" s="60" t="s">
        <v>179</v>
      </c>
      <c r="F138" s="60" t="s">
        <v>180</v>
      </c>
      <c r="G138" s="61" t="s">
        <v>181</v>
      </c>
      <c r="H138" s="62" t="s">
        <v>182</v>
      </c>
      <c r="I138" s="60" t="s">
        <v>183</v>
      </c>
      <c r="J138" s="6" t="s">
        <v>184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185</v>
      </c>
      <c r="E140" s="60" t="s">
        <v>186</v>
      </c>
      <c r="F140" s="60" t="s">
        <v>187</v>
      </c>
      <c r="G140" s="61" t="s">
        <v>187</v>
      </c>
      <c r="H140" s="62" t="s">
        <v>188</v>
      </c>
      <c r="I140" s="60" t="s">
        <v>188</v>
      </c>
      <c r="J140" s="6"/>
    </row>
    <row r="141" customHeight="1" spans="1:10">
      <c r="A141" s="64" t="s">
        <v>245</v>
      </c>
      <c r="B141" s="64" t="s">
        <v>249</v>
      </c>
      <c r="C141" s="65" t="s">
        <v>226</v>
      </c>
      <c r="D141" s="65">
        <v>31</v>
      </c>
      <c r="E141" s="65">
        <v>24</v>
      </c>
      <c r="F141" s="65">
        <v>744</v>
      </c>
      <c r="G141" s="65">
        <v>0</v>
      </c>
      <c r="H141" s="66">
        <v>0</v>
      </c>
      <c r="I141" s="66">
        <v>0</v>
      </c>
      <c r="J141" s="65"/>
    </row>
    <row r="142" customHeight="1" spans="1:10">
      <c r="A142" s="65"/>
      <c r="B142" s="65"/>
      <c r="C142" s="65" t="s">
        <v>227</v>
      </c>
      <c r="D142" s="65">
        <v>31</v>
      </c>
      <c r="E142" s="65">
        <v>24</v>
      </c>
      <c r="F142" s="65">
        <v>744</v>
      </c>
      <c r="G142" s="65">
        <v>0</v>
      </c>
      <c r="H142" s="66">
        <v>0</v>
      </c>
      <c r="I142" s="66">
        <v>0</v>
      </c>
      <c r="J142" s="65"/>
    </row>
    <row r="143" customHeight="1" spans="1:10">
      <c r="A143" s="65"/>
      <c r="B143" s="65"/>
      <c r="C143" s="65" t="s">
        <v>228</v>
      </c>
      <c r="D143" s="65">
        <v>31</v>
      </c>
      <c r="E143" s="65">
        <v>24</v>
      </c>
      <c r="F143" s="65">
        <v>744</v>
      </c>
      <c r="G143" s="65">
        <v>744</v>
      </c>
      <c r="H143" s="66">
        <v>1</v>
      </c>
      <c r="I143" s="66">
        <v>1</v>
      </c>
      <c r="J143" s="65"/>
    </row>
    <row r="144" customHeight="1" spans="1:10">
      <c r="A144" s="65"/>
      <c r="B144" s="65"/>
      <c r="C144" s="65" t="s">
        <v>229</v>
      </c>
      <c r="D144" s="65">
        <v>31</v>
      </c>
      <c r="E144" s="65">
        <v>24</v>
      </c>
      <c r="F144" s="65">
        <v>744</v>
      </c>
      <c r="G144" s="65">
        <v>744</v>
      </c>
      <c r="H144" s="66">
        <v>1</v>
      </c>
      <c r="I144" s="66">
        <v>1</v>
      </c>
      <c r="J144" s="65"/>
    </row>
    <row r="145" customHeight="1" spans="1:10">
      <c r="A145" s="65"/>
      <c r="B145" s="65"/>
      <c r="C145" s="65" t="s">
        <v>230</v>
      </c>
      <c r="D145" s="65">
        <v>31</v>
      </c>
      <c r="E145" s="65">
        <v>24</v>
      </c>
      <c r="F145" s="65">
        <v>744</v>
      </c>
      <c r="G145" s="65">
        <v>0</v>
      </c>
      <c r="H145" s="66">
        <v>0</v>
      </c>
      <c r="I145" s="66">
        <v>0</v>
      </c>
      <c r="J145" s="65"/>
    </row>
    <row r="146" customHeight="1" spans="1:10">
      <c r="A146" s="65"/>
      <c r="B146" s="65"/>
      <c r="C146" s="65" t="s">
        <v>231</v>
      </c>
      <c r="D146" s="65">
        <v>31</v>
      </c>
      <c r="E146" s="65">
        <v>24</v>
      </c>
      <c r="F146" s="65">
        <v>744</v>
      </c>
      <c r="G146" s="65">
        <v>744</v>
      </c>
      <c r="H146" s="66">
        <v>1</v>
      </c>
      <c r="I146" s="66">
        <v>1</v>
      </c>
      <c r="J146" s="65"/>
    </row>
    <row r="147" customHeight="1" spans="1:10">
      <c r="A147" s="65"/>
      <c r="B147" s="64" t="s">
        <v>250</v>
      </c>
      <c r="C147" s="65" t="s">
        <v>191</v>
      </c>
      <c r="D147" s="65">
        <v>31</v>
      </c>
      <c r="E147" s="65">
        <v>24</v>
      </c>
      <c r="F147" s="65">
        <v>744</v>
      </c>
      <c r="G147" s="65">
        <v>744</v>
      </c>
      <c r="H147" s="80">
        <v>1</v>
      </c>
      <c r="I147" s="80">
        <v>1</v>
      </c>
      <c r="J147" s="65" t="s">
        <v>241</v>
      </c>
    </row>
    <row r="148" customHeight="1" spans="1:10">
      <c r="A148" s="65"/>
      <c r="B148" s="65"/>
      <c r="C148" s="65" t="s">
        <v>193</v>
      </c>
      <c r="D148" s="65">
        <v>31</v>
      </c>
      <c r="E148" s="65">
        <v>24</v>
      </c>
      <c r="F148" s="65">
        <v>744</v>
      </c>
      <c r="G148" s="65">
        <v>744</v>
      </c>
      <c r="H148" s="80">
        <v>1</v>
      </c>
      <c r="I148" s="80">
        <v>1</v>
      </c>
      <c r="J148" s="65" t="s">
        <v>241</v>
      </c>
    </row>
    <row r="149" customHeight="1" spans="1:10">
      <c r="A149" s="65"/>
      <c r="B149" s="64" t="s">
        <v>251</v>
      </c>
      <c r="C149" s="65" t="s">
        <v>191</v>
      </c>
      <c r="D149" s="65">
        <v>31</v>
      </c>
      <c r="E149" s="65">
        <v>24</v>
      </c>
      <c r="F149" s="65">
        <v>744</v>
      </c>
      <c r="G149" s="65">
        <v>0</v>
      </c>
      <c r="H149" s="66">
        <v>0</v>
      </c>
      <c r="I149" s="66">
        <v>1</v>
      </c>
      <c r="J149" s="65"/>
    </row>
    <row r="150" customHeight="1" spans="1:10">
      <c r="A150" s="65"/>
      <c r="B150" s="65"/>
      <c r="C150" s="65" t="s">
        <v>193</v>
      </c>
      <c r="D150" s="65">
        <v>31</v>
      </c>
      <c r="E150" s="65">
        <v>24</v>
      </c>
      <c r="F150" s="65">
        <v>744</v>
      </c>
      <c r="G150" s="65">
        <v>392</v>
      </c>
      <c r="H150" s="66">
        <v>0.526881720430108</v>
      </c>
      <c r="I150" s="66">
        <v>1</v>
      </c>
      <c r="J150" s="65"/>
    </row>
    <row r="151" customHeight="1" spans="1:10">
      <c r="A151" s="65"/>
      <c r="B151" s="65"/>
      <c r="C151" s="65" t="s">
        <v>197</v>
      </c>
      <c r="D151" s="65">
        <v>31</v>
      </c>
      <c r="E151" s="65">
        <v>24</v>
      </c>
      <c r="F151" s="65">
        <v>744</v>
      </c>
      <c r="G151" s="65">
        <v>0</v>
      </c>
      <c r="H151" s="66">
        <v>0</v>
      </c>
      <c r="I151" s="66">
        <v>1</v>
      </c>
      <c r="J151" s="65"/>
    </row>
    <row r="152" customHeight="1" spans="1:10">
      <c r="A152" s="65"/>
      <c r="B152" s="64" t="s">
        <v>252</v>
      </c>
      <c r="C152" s="65" t="s">
        <v>191</v>
      </c>
      <c r="D152" s="65">
        <v>31</v>
      </c>
      <c r="E152" s="65">
        <v>24</v>
      </c>
      <c r="F152" s="65">
        <v>744</v>
      </c>
      <c r="G152" s="65">
        <v>738</v>
      </c>
      <c r="H152" s="66">
        <v>0.991935483870968</v>
      </c>
      <c r="I152" s="66">
        <v>1</v>
      </c>
      <c r="J152" s="65"/>
    </row>
    <row r="153" customHeight="1" spans="1:10">
      <c r="A153" s="65"/>
      <c r="B153" s="65"/>
      <c r="C153" s="65" t="s">
        <v>193</v>
      </c>
      <c r="D153" s="65">
        <v>31</v>
      </c>
      <c r="E153" s="65">
        <v>24</v>
      </c>
      <c r="F153" s="65">
        <v>744</v>
      </c>
      <c r="G153" s="65">
        <v>744</v>
      </c>
      <c r="H153" s="66">
        <v>1</v>
      </c>
      <c r="I153" s="66">
        <v>1</v>
      </c>
      <c r="J153" s="65"/>
    </row>
    <row r="154" customHeight="1" spans="1:10">
      <c r="A154" s="65"/>
      <c r="B154" s="65"/>
      <c r="C154" s="65" t="s">
        <v>197</v>
      </c>
      <c r="D154" s="65">
        <v>31</v>
      </c>
      <c r="E154" s="65">
        <v>24</v>
      </c>
      <c r="F154" s="65">
        <v>744</v>
      </c>
      <c r="G154" s="65">
        <v>744</v>
      </c>
      <c r="H154" s="66">
        <v>1</v>
      </c>
      <c r="I154" s="66">
        <v>1</v>
      </c>
      <c r="J154" s="65"/>
    </row>
    <row r="155" customHeight="1" spans="1:10">
      <c r="A155" s="65"/>
      <c r="B155" s="88" t="s">
        <v>253</v>
      </c>
      <c r="C155" s="89" t="s">
        <v>191</v>
      </c>
      <c r="D155" s="89">
        <v>31</v>
      </c>
      <c r="E155" s="89">
        <v>24</v>
      </c>
      <c r="F155" s="89">
        <v>744</v>
      </c>
      <c r="G155" s="89">
        <v>48</v>
      </c>
      <c r="H155" s="90">
        <v>0.0645161290322581</v>
      </c>
      <c r="I155" s="90">
        <v>1</v>
      </c>
      <c r="J155" s="65"/>
    </row>
    <row r="156" customHeight="1" spans="1:10">
      <c r="A156" s="65"/>
      <c r="B156" s="89"/>
      <c r="C156" s="89" t="s">
        <v>193</v>
      </c>
      <c r="D156" s="89">
        <v>31</v>
      </c>
      <c r="E156" s="89">
        <v>24</v>
      </c>
      <c r="F156" s="89">
        <v>744</v>
      </c>
      <c r="G156" s="89">
        <v>624</v>
      </c>
      <c r="H156" s="90">
        <v>0.838709677419355</v>
      </c>
      <c r="I156" s="90">
        <v>1</v>
      </c>
      <c r="J156" s="65"/>
    </row>
    <row r="157" customHeight="1" spans="1:10">
      <c r="A157" s="65"/>
      <c r="B157" s="89"/>
      <c r="C157" s="89" t="s">
        <v>197</v>
      </c>
      <c r="D157" s="89">
        <v>31</v>
      </c>
      <c r="E157" s="89">
        <v>24</v>
      </c>
      <c r="F157" s="89">
        <v>744</v>
      </c>
      <c r="G157" s="89">
        <v>672</v>
      </c>
      <c r="H157" s="90">
        <v>0.903225806451613</v>
      </c>
      <c r="I157" s="90">
        <v>1</v>
      </c>
      <c r="J157" s="65"/>
    </row>
    <row r="158" customHeight="1" spans="1:10">
      <c r="A158" s="65"/>
      <c r="B158" s="89"/>
      <c r="C158" s="89" t="s">
        <v>198</v>
      </c>
      <c r="D158" s="89">
        <v>31</v>
      </c>
      <c r="E158" s="89">
        <v>24</v>
      </c>
      <c r="F158" s="89">
        <v>744</v>
      </c>
      <c r="G158" s="89">
        <v>672</v>
      </c>
      <c r="H158" s="90">
        <v>0.903225806451613</v>
      </c>
      <c r="I158" s="90">
        <v>1</v>
      </c>
      <c r="J158" s="65"/>
    </row>
    <row r="159" customHeight="1" spans="1:10">
      <c r="A159" s="65"/>
      <c r="B159" s="89"/>
      <c r="C159" s="89" t="s">
        <v>199</v>
      </c>
      <c r="D159" s="89">
        <v>31</v>
      </c>
      <c r="E159" s="89">
        <v>24</v>
      </c>
      <c r="F159" s="89">
        <v>744</v>
      </c>
      <c r="G159" s="89">
        <v>624</v>
      </c>
      <c r="H159" s="90">
        <v>0.838709677419355</v>
      </c>
      <c r="I159" s="90">
        <v>1</v>
      </c>
      <c r="J159" s="65"/>
    </row>
    <row r="160" customHeight="1" spans="1:10">
      <c r="A160" s="65"/>
      <c r="B160" s="89"/>
      <c r="C160" s="89" t="s">
        <v>202</v>
      </c>
      <c r="D160" s="89">
        <v>31</v>
      </c>
      <c r="E160" s="89">
        <v>24</v>
      </c>
      <c r="F160" s="89">
        <v>744</v>
      </c>
      <c r="G160" s="89">
        <v>48</v>
      </c>
      <c r="H160" s="90">
        <v>0.0645161290322581</v>
      </c>
      <c r="I160" s="90">
        <v>1</v>
      </c>
      <c r="J160" s="65"/>
    </row>
    <row r="161" customHeight="1" spans="1:10">
      <c r="A161" s="64" t="s">
        <v>254</v>
      </c>
      <c r="B161" s="64" t="s">
        <v>255</v>
      </c>
      <c r="C161" s="65" t="s">
        <v>191</v>
      </c>
      <c r="D161" s="65">
        <v>31</v>
      </c>
      <c r="E161" s="65">
        <v>24</v>
      </c>
      <c r="F161" s="65">
        <v>744</v>
      </c>
      <c r="G161" s="65">
        <v>744</v>
      </c>
      <c r="H161" s="66">
        <v>1</v>
      </c>
      <c r="I161" s="66">
        <v>1</v>
      </c>
      <c r="J161" s="65"/>
    </row>
    <row r="162" customHeight="1" spans="1:10">
      <c r="A162" s="65"/>
      <c r="B162" s="65"/>
      <c r="C162" s="65" t="s">
        <v>193</v>
      </c>
      <c r="D162" s="65">
        <v>31</v>
      </c>
      <c r="E162" s="65">
        <v>24</v>
      </c>
      <c r="F162" s="65">
        <v>744</v>
      </c>
      <c r="G162" s="65">
        <v>0</v>
      </c>
      <c r="H162" s="66">
        <v>0</v>
      </c>
      <c r="I162" s="66">
        <v>0</v>
      </c>
      <c r="J162" s="65"/>
    </row>
    <row r="163" customHeight="1" spans="1:10">
      <c r="A163" s="65"/>
      <c r="B163" s="65"/>
      <c r="C163" s="65" t="s">
        <v>197</v>
      </c>
      <c r="D163" s="65">
        <v>31</v>
      </c>
      <c r="E163" s="65">
        <v>24</v>
      </c>
      <c r="F163" s="65">
        <v>744</v>
      </c>
      <c r="G163" s="65">
        <v>744</v>
      </c>
      <c r="H163" s="66">
        <v>1</v>
      </c>
      <c r="I163" s="66">
        <v>1</v>
      </c>
      <c r="J163" s="65"/>
    </row>
    <row r="164" ht="17" customHeight="1" spans="1:10">
      <c r="A164" s="65"/>
      <c r="B164" s="65"/>
      <c r="C164" s="65" t="s">
        <v>198</v>
      </c>
      <c r="D164" s="65">
        <v>31</v>
      </c>
      <c r="E164" s="65">
        <v>24</v>
      </c>
      <c r="F164" s="65">
        <v>744</v>
      </c>
      <c r="G164" s="65">
        <v>0</v>
      </c>
      <c r="H164" s="66">
        <v>0</v>
      </c>
      <c r="I164" s="66">
        <v>0</v>
      </c>
      <c r="J164" s="65"/>
    </row>
    <row r="165" customHeight="1" spans="1:10">
      <c r="A165" s="65"/>
      <c r="B165" s="65"/>
      <c r="C165" s="65" t="s">
        <v>199</v>
      </c>
      <c r="D165" s="65">
        <v>31</v>
      </c>
      <c r="E165" s="65">
        <v>24</v>
      </c>
      <c r="F165" s="65">
        <v>744</v>
      </c>
      <c r="G165" s="65">
        <v>744</v>
      </c>
      <c r="H165" s="66">
        <v>1</v>
      </c>
      <c r="I165" s="66">
        <v>1</v>
      </c>
      <c r="J165" s="65"/>
    </row>
    <row r="166" customHeight="1" spans="1:10">
      <c r="A166" s="65"/>
      <c r="B166" s="65"/>
      <c r="C166" s="65" t="s">
        <v>202</v>
      </c>
      <c r="D166" s="65">
        <v>31</v>
      </c>
      <c r="E166" s="65">
        <v>24</v>
      </c>
      <c r="F166" s="65">
        <v>744</v>
      </c>
      <c r="G166" s="65">
        <v>0</v>
      </c>
      <c r="H166" s="66">
        <v>0</v>
      </c>
      <c r="I166" s="66">
        <v>0</v>
      </c>
      <c r="J166" s="65"/>
    </row>
    <row r="167" customHeight="1" spans="1:10">
      <c r="A167" s="65"/>
      <c r="B167" s="65"/>
      <c r="C167" s="65" t="s">
        <v>209</v>
      </c>
      <c r="D167" s="65">
        <v>31</v>
      </c>
      <c r="E167" s="65">
        <v>24</v>
      </c>
      <c r="F167" s="65">
        <v>744</v>
      </c>
      <c r="G167" s="65">
        <v>0</v>
      </c>
      <c r="H167" s="66">
        <v>0</v>
      </c>
      <c r="I167" s="66">
        <v>0</v>
      </c>
      <c r="J167" s="65"/>
    </row>
    <row r="168" customHeight="1" spans="1:10">
      <c r="A168" s="65"/>
      <c r="B168" s="65"/>
      <c r="C168" s="65" t="s">
        <v>210</v>
      </c>
      <c r="D168" s="65">
        <v>31</v>
      </c>
      <c r="E168" s="65">
        <v>24</v>
      </c>
      <c r="F168" s="65">
        <v>744</v>
      </c>
      <c r="G168" s="65">
        <v>744</v>
      </c>
      <c r="H168" s="66">
        <v>1</v>
      </c>
      <c r="I168" s="66">
        <v>1</v>
      </c>
      <c r="J168" s="65"/>
    </row>
    <row r="169" customHeight="1" spans="1:10">
      <c r="A169" s="65"/>
      <c r="B169" s="65"/>
      <c r="C169" s="65" t="s">
        <v>211</v>
      </c>
      <c r="D169" s="65">
        <v>31</v>
      </c>
      <c r="E169" s="65">
        <v>24</v>
      </c>
      <c r="F169" s="65">
        <v>744</v>
      </c>
      <c r="G169" s="65">
        <v>744</v>
      </c>
      <c r="H169" s="66">
        <v>1</v>
      </c>
      <c r="I169" s="66">
        <v>1</v>
      </c>
      <c r="J169" s="65"/>
    </row>
    <row r="170" customHeight="1" spans="1:10">
      <c r="A170" s="65"/>
      <c r="B170" s="65"/>
      <c r="C170" s="65" t="s">
        <v>212</v>
      </c>
      <c r="D170" s="65">
        <v>31</v>
      </c>
      <c r="E170" s="65">
        <v>24</v>
      </c>
      <c r="F170" s="65">
        <v>744</v>
      </c>
      <c r="G170" s="65">
        <v>744</v>
      </c>
      <c r="H170" s="66">
        <v>1</v>
      </c>
      <c r="I170" s="66">
        <v>1</v>
      </c>
      <c r="J170" s="65"/>
    </row>
    <row r="171" customHeight="1" spans="1:10">
      <c r="A171" s="65"/>
      <c r="B171" s="65"/>
      <c r="C171" s="65" t="s">
        <v>213</v>
      </c>
      <c r="D171" s="65">
        <v>31</v>
      </c>
      <c r="E171" s="65">
        <v>24</v>
      </c>
      <c r="F171" s="65">
        <v>744</v>
      </c>
      <c r="G171" s="65">
        <v>744</v>
      </c>
      <c r="H171" s="66">
        <v>1</v>
      </c>
      <c r="I171" s="66">
        <v>1</v>
      </c>
      <c r="J171" s="65"/>
    </row>
    <row r="172" customHeight="1" spans="1:10">
      <c r="A172" s="65"/>
      <c r="B172" s="65"/>
      <c r="C172" s="65" t="s">
        <v>214</v>
      </c>
      <c r="D172" s="65">
        <v>31</v>
      </c>
      <c r="E172" s="65">
        <v>24</v>
      </c>
      <c r="F172" s="65">
        <v>744</v>
      </c>
      <c r="G172" s="65">
        <v>744</v>
      </c>
      <c r="H172" s="66">
        <v>1</v>
      </c>
      <c r="I172" s="66">
        <v>1</v>
      </c>
      <c r="J172" s="65"/>
    </row>
    <row r="173" customHeight="1" spans="1:10">
      <c r="A173" s="65"/>
      <c r="B173" s="65"/>
      <c r="C173" s="65" t="s">
        <v>215</v>
      </c>
      <c r="D173" s="65">
        <v>31</v>
      </c>
      <c r="E173" s="65">
        <v>24</v>
      </c>
      <c r="F173" s="65">
        <v>744</v>
      </c>
      <c r="G173" s="65">
        <v>744</v>
      </c>
      <c r="H173" s="66">
        <v>1</v>
      </c>
      <c r="I173" s="66">
        <v>1</v>
      </c>
      <c r="J173" s="65"/>
    </row>
    <row r="174" customHeight="1" spans="1:10">
      <c r="A174" s="65"/>
      <c r="B174" s="65"/>
      <c r="C174" s="65" t="s">
        <v>216</v>
      </c>
      <c r="D174" s="65">
        <v>31</v>
      </c>
      <c r="E174" s="65">
        <v>24</v>
      </c>
      <c r="F174" s="65">
        <v>744</v>
      </c>
      <c r="G174" s="65">
        <v>744</v>
      </c>
      <c r="H174" s="66">
        <v>1</v>
      </c>
      <c r="I174" s="66">
        <v>1</v>
      </c>
      <c r="J174" s="65"/>
    </row>
    <row r="175" customHeight="1" spans="1:10">
      <c r="A175" s="65"/>
      <c r="B175" s="65"/>
      <c r="C175" s="65" t="s">
        <v>217</v>
      </c>
      <c r="D175" s="65">
        <v>31</v>
      </c>
      <c r="E175" s="65">
        <v>24</v>
      </c>
      <c r="F175" s="65">
        <v>744</v>
      </c>
      <c r="G175" s="65">
        <v>744</v>
      </c>
      <c r="H175" s="66">
        <v>1</v>
      </c>
      <c r="I175" s="66">
        <v>1</v>
      </c>
      <c r="J175" s="65"/>
    </row>
    <row r="176" customHeight="1" spans="1:10">
      <c r="A176" s="65"/>
      <c r="B176" s="65"/>
      <c r="C176" s="65" t="s">
        <v>218</v>
      </c>
      <c r="D176" s="65">
        <v>31</v>
      </c>
      <c r="E176" s="65">
        <v>24</v>
      </c>
      <c r="F176" s="65">
        <v>744</v>
      </c>
      <c r="G176" s="65">
        <v>744</v>
      </c>
      <c r="H176" s="66">
        <v>1</v>
      </c>
      <c r="I176" s="66">
        <v>1</v>
      </c>
      <c r="J176" s="65"/>
    </row>
    <row r="177" ht="14.25" spans="1:10">
      <c r="A177" s="65"/>
      <c r="B177" s="65"/>
      <c r="C177" s="65" t="s">
        <v>219</v>
      </c>
      <c r="D177" s="65">
        <v>31</v>
      </c>
      <c r="E177" s="65">
        <v>24</v>
      </c>
      <c r="F177" s="65">
        <v>744</v>
      </c>
      <c r="G177" s="65">
        <v>0</v>
      </c>
      <c r="H177" s="66">
        <v>0</v>
      </c>
      <c r="I177" s="66">
        <v>0</v>
      </c>
      <c r="J177" s="65"/>
    </row>
    <row r="178" ht="14.25" spans="1:10">
      <c r="A178" s="65"/>
      <c r="B178" s="65"/>
      <c r="C178" s="65" t="s">
        <v>220</v>
      </c>
      <c r="D178" s="65">
        <v>31</v>
      </c>
      <c r="E178" s="65">
        <v>24</v>
      </c>
      <c r="F178" s="65">
        <v>744</v>
      </c>
      <c r="G178" s="65">
        <v>744</v>
      </c>
      <c r="H178" s="66">
        <v>1</v>
      </c>
      <c r="I178" s="66">
        <v>1</v>
      </c>
      <c r="J178" s="65"/>
    </row>
    <row r="179" customHeight="1" spans="1:10">
      <c r="A179" s="67" t="s">
        <v>78</v>
      </c>
      <c r="B179" s="67"/>
      <c r="C179" s="15"/>
      <c r="D179" s="15"/>
      <c r="E179" s="68" t="s">
        <v>79</v>
      </c>
      <c r="F179" s="68"/>
      <c r="G179" s="69"/>
      <c r="H179" s="10" t="str">
        <f>H38</f>
        <v>制表时间：2023/9/5</v>
      </c>
      <c r="I179" s="10"/>
      <c r="J179" s="10"/>
    </row>
    <row r="180" ht="23" customHeight="1"/>
    <row r="181" ht="28" customHeight="1" spans="1:10">
      <c r="A181" s="57" t="s">
        <v>174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f>A2</f>
        <v>45139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175</v>
      </c>
      <c r="B183" s="6" t="s">
        <v>176</v>
      </c>
      <c r="C183" s="6" t="s">
        <v>177</v>
      </c>
      <c r="D183" s="6" t="s">
        <v>178</v>
      </c>
      <c r="E183" s="60" t="s">
        <v>179</v>
      </c>
      <c r="F183" s="60" t="s">
        <v>180</v>
      </c>
      <c r="G183" s="61" t="s">
        <v>181</v>
      </c>
      <c r="H183" s="62" t="s">
        <v>182</v>
      </c>
      <c r="I183" s="60" t="s">
        <v>183</v>
      </c>
      <c r="J183" s="6" t="s">
        <v>184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185</v>
      </c>
      <c r="E185" s="60" t="s">
        <v>186</v>
      </c>
      <c r="F185" s="60" t="s">
        <v>187</v>
      </c>
      <c r="G185" s="61" t="s">
        <v>187</v>
      </c>
      <c r="H185" s="62" t="s">
        <v>188</v>
      </c>
      <c r="I185" s="60" t="s">
        <v>188</v>
      </c>
      <c r="J185" s="6"/>
    </row>
    <row r="186" customHeight="1" spans="1:10">
      <c r="A186" s="64" t="s">
        <v>254</v>
      </c>
      <c r="B186" s="64" t="s">
        <v>255</v>
      </c>
      <c r="C186" s="65" t="s">
        <v>222</v>
      </c>
      <c r="D186" s="65">
        <v>31</v>
      </c>
      <c r="E186" s="65">
        <v>24</v>
      </c>
      <c r="F186" s="65">
        <v>744</v>
      </c>
      <c r="G186" s="65">
        <v>744</v>
      </c>
      <c r="H186" s="66">
        <v>1</v>
      </c>
      <c r="I186" s="66">
        <v>1</v>
      </c>
      <c r="J186" s="65"/>
    </row>
    <row r="187" customHeight="1" spans="1:10">
      <c r="A187" s="65"/>
      <c r="B187" s="65"/>
      <c r="C187" s="65" t="s">
        <v>223</v>
      </c>
      <c r="D187" s="65">
        <v>31</v>
      </c>
      <c r="E187" s="65">
        <v>24</v>
      </c>
      <c r="F187" s="65">
        <v>744</v>
      </c>
      <c r="G187" s="65">
        <v>744</v>
      </c>
      <c r="H187" s="66">
        <v>1</v>
      </c>
      <c r="I187" s="66">
        <v>1</v>
      </c>
      <c r="J187" s="65"/>
    </row>
    <row r="188" ht="20" customHeight="1" spans="1:10">
      <c r="A188" s="65"/>
      <c r="B188" s="65"/>
      <c r="C188" s="65" t="s">
        <v>224</v>
      </c>
      <c r="D188" s="65">
        <v>31</v>
      </c>
      <c r="E188" s="65">
        <v>24</v>
      </c>
      <c r="F188" s="65">
        <v>744</v>
      </c>
      <c r="G188" s="65">
        <v>744</v>
      </c>
      <c r="H188" s="66">
        <v>1</v>
      </c>
      <c r="I188" s="66">
        <v>1</v>
      </c>
      <c r="J188" s="65"/>
    </row>
    <row r="189" customHeight="1" spans="1:10">
      <c r="A189" s="65"/>
      <c r="B189" s="65"/>
      <c r="C189" s="65" t="s">
        <v>225</v>
      </c>
      <c r="D189" s="65">
        <v>31</v>
      </c>
      <c r="E189" s="65">
        <v>24</v>
      </c>
      <c r="F189" s="65">
        <v>744</v>
      </c>
      <c r="G189" s="65">
        <v>0</v>
      </c>
      <c r="H189" s="66">
        <v>0</v>
      </c>
      <c r="I189" s="66">
        <v>0</v>
      </c>
      <c r="J189" s="65"/>
    </row>
    <row r="190" customHeight="1" spans="1:10">
      <c r="A190" s="65"/>
      <c r="B190" s="65"/>
      <c r="C190" s="65" t="s">
        <v>226</v>
      </c>
      <c r="D190" s="65">
        <v>31</v>
      </c>
      <c r="E190" s="65">
        <v>24</v>
      </c>
      <c r="F190" s="65">
        <v>744</v>
      </c>
      <c r="G190" s="65">
        <v>744</v>
      </c>
      <c r="H190" s="66">
        <v>1</v>
      </c>
      <c r="I190" s="66">
        <v>1</v>
      </c>
      <c r="J190" s="65"/>
    </row>
    <row r="191" customHeight="1" spans="1:10">
      <c r="A191" s="65"/>
      <c r="B191" s="65"/>
      <c r="C191" s="65" t="s">
        <v>227</v>
      </c>
      <c r="D191" s="65">
        <v>31</v>
      </c>
      <c r="E191" s="65">
        <v>24</v>
      </c>
      <c r="F191" s="65">
        <v>744</v>
      </c>
      <c r="G191" s="65">
        <v>744</v>
      </c>
      <c r="H191" s="66">
        <v>1</v>
      </c>
      <c r="I191" s="66">
        <v>1</v>
      </c>
      <c r="J191" s="65"/>
    </row>
    <row r="192" customHeight="1" spans="1:10">
      <c r="A192" s="65"/>
      <c r="B192" s="65"/>
      <c r="C192" s="65" t="s">
        <v>228</v>
      </c>
      <c r="D192" s="65">
        <v>31</v>
      </c>
      <c r="E192" s="65">
        <v>24</v>
      </c>
      <c r="F192" s="65">
        <v>744</v>
      </c>
      <c r="G192" s="65">
        <v>0</v>
      </c>
      <c r="H192" s="66">
        <v>0</v>
      </c>
      <c r="I192" s="66">
        <v>0</v>
      </c>
      <c r="J192" s="65"/>
    </row>
    <row r="193" customHeight="1" spans="1:10">
      <c r="A193" s="65"/>
      <c r="B193" s="65"/>
      <c r="C193" s="65" t="s">
        <v>229</v>
      </c>
      <c r="D193" s="65">
        <v>31</v>
      </c>
      <c r="E193" s="65">
        <v>24</v>
      </c>
      <c r="F193" s="65">
        <v>744</v>
      </c>
      <c r="G193" s="65">
        <v>744</v>
      </c>
      <c r="H193" s="66">
        <v>1</v>
      </c>
      <c r="I193" s="66">
        <v>1</v>
      </c>
      <c r="J193" s="65"/>
    </row>
    <row r="194" customHeight="1" spans="1:10">
      <c r="A194" s="65"/>
      <c r="B194" s="65"/>
      <c r="C194" s="65" t="s">
        <v>230</v>
      </c>
      <c r="D194" s="65">
        <v>31</v>
      </c>
      <c r="E194" s="65">
        <v>24</v>
      </c>
      <c r="F194" s="65">
        <v>744</v>
      </c>
      <c r="G194" s="65">
        <v>744</v>
      </c>
      <c r="H194" s="66">
        <v>1</v>
      </c>
      <c r="I194" s="66">
        <v>1</v>
      </c>
      <c r="J194" s="65"/>
    </row>
    <row r="195" customHeight="1" spans="1:10">
      <c r="A195" s="65"/>
      <c r="B195" s="65"/>
      <c r="C195" s="65" t="s">
        <v>231</v>
      </c>
      <c r="D195" s="65">
        <v>31</v>
      </c>
      <c r="E195" s="65">
        <v>24</v>
      </c>
      <c r="F195" s="65">
        <v>744</v>
      </c>
      <c r="G195" s="65">
        <v>0</v>
      </c>
      <c r="H195" s="66">
        <v>0</v>
      </c>
      <c r="I195" s="66">
        <v>1</v>
      </c>
      <c r="J195" s="65" t="s">
        <v>247</v>
      </c>
    </row>
    <row r="196" customHeight="1" spans="1:10">
      <c r="A196" s="65"/>
      <c r="B196" s="65"/>
      <c r="C196" s="65" t="s">
        <v>232</v>
      </c>
      <c r="D196" s="65">
        <v>31</v>
      </c>
      <c r="E196" s="65">
        <v>24</v>
      </c>
      <c r="F196" s="65">
        <v>744</v>
      </c>
      <c r="G196" s="65">
        <v>744</v>
      </c>
      <c r="H196" s="66">
        <v>1</v>
      </c>
      <c r="I196" s="66">
        <v>1</v>
      </c>
      <c r="J196" s="65"/>
    </row>
    <row r="197" customHeight="1" spans="1:10">
      <c r="A197" s="65"/>
      <c r="B197" s="65"/>
      <c r="C197" s="65" t="s">
        <v>233</v>
      </c>
      <c r="D197" s="65">
        <v>31</v>
      </c>
      <c r="E197" s="65">
        <v>24</v>
      </c>
      <c r="F197" s="65">
        <v>744</v>
      </c>
      <c r="G197" s="65">
        <v>0</v>
      </c>
      <c r="H197" s="66">
        <v>0</v>
      </c>
      <c r="I197" s="66">
        <v>1</v>
      </c>
      <c r="J197" s="65" t="s">
        <v>247</v>
      </c>
    </row>
    <row r="198" customHeight="1" spans="1:10">
      <c r="A198" s="65"/>
      <c r="B198" s="65"/>
      <c r="C198" s="65" t="s">
        <v>234</v>
      </c>
      <c r="D198" s="65">
        <v>31</v>
      </c>
      <c r="E198" s="65">
        <v>24</v>
      </c>
      <c r="F198" s="65">
        <v>744</v>
      </c>
      <c r="G198" s="65">
        <v>744</v>
      </c>
      <c r="H198" s="66">
        <v>1</v>
      </c>
      <c r="I198" s="66">
        <v>1</v>
      </c>
      <c r="J198" s="65"/>
    </row>
    <row r="199" customHeight="1" spans="1:10">
      <c r="A199" s="65"/>
      <c r="B199" s="65"/>
      <c r="C199" s="65" t="s">
        <v>235</v>
      </c>
      <c r="D199" s="65">
        <v>31</v>
      </c>
      <c r="E199" s="65">
        <v>24</v>
      </c>
      <c r="F199" s="65">
        <v>744</v>
      </c>
      <c r="G199" s="65">
        <v>0</v>
      </c>
      <c r="H199" s="66">
        <v>0</v>
      </c>
      <c r="I199" s="66">
        <v>0</v>
      </c>
      <c r="J199" s="65"/>
    </row>
    <row r="200" customHeight="1" spans="1:10">
      <c r="A200" s="65"/>
      <c r="B200" s="65"/>
      <c r="C200" s="65" t="s">
        <v>236</v>
      </c>
      <c r="D200" s="65">
        <v>31</v>
      </c>
      <c r="E200" s="65">
        <v>24</v>
      </c>
      <c r="F200" s="65">
        <v>744</v>
      </c>
      <c r="G200" s="65">
        <v>744</v>
      </c>
      <c r="H200" s="66">
        <v>1</v>
      </c>
      <c r="I200" s="66">
        <v>1</v>
      </c>
      <c r="J200" s="65"/>
    </row>
    <row r="201" customHeight="1" spans="1:10">
      <c r="A201" s="65"/>
      <c r="B201" s="65"/>
      <c r="C201" s="65" t="s">
        <v>237</v>
      </c>
      <c r="D201" s="65">
        <v>31</v>
      </c>
      <c r="E201" s="65">
        <v>24</v>
      </c>
      <c r="F201" s="65">
        <v>744</v>
      </c>
      <c r="G201" s="65">
        <v>744</v>
      </c>
      <c r="H201" s="66">
        <v>1</v>
      </c>
      <c r="I201" s="66">
        <v>1</v>
      </c>
      <c r="J201" s="65"/>
    </row>
    <row r="202" customHeight="1" spans="1:10">
      <c r="A202" s="65"/>
      <c r="B202" s="65"/>
      <c r="C202" s="65" t="s">
        <v>238</v>
      </c>
      <c r="D202" s="65">
        <v>31</v>
      </c>
      <c r="E202" s="65">
        <v>24</v>
      </c>
      <c r="F202" s="65">
        <v>744</v>
      </c>
      <c r="G202" s="65">
        <v>744</v>
      </c>
      <c r="H202" s="66">
        <v>1</v>
      </c>
      <c r="I202" s="66">
        <v>1</v>
      </c>
      <c r="J202" s="65" t="s">
        <v>247</v>
      </c>
    </row>
    <row r="203" customHeight="1" spans="1:10">
      <c r="A203" s="65"/>
      <c r="B203" s="65"/>
      <c r="C203" s="65" t="s">
        <v>239</v>
      </c>
      <c r="D203" s="65">
        <v>31</v>
      </c>
      <c r="E203" s="65">
        <v>24</v>
      </c>
      <c r="F203" s="65">
        <v>744</v>
      </c>
      <c r="G203" s="65">
        <v>744</v>
      </c>
      <c r="H203" s="66">
        <v>1</v>
      </c>
      <c r="I203" s="66">
        <v>1</v>
      </c>
      <c r="J203" s="65" t="s">
        <v>247</v>
      </c>
    </row>
    <row r="204" customHeight="1" spans="1:10">
      <c r="A204" s="65"/>
      <c r="B204" s="64" t="s">
        <v>250</v>
      </c>
      <c r="C204" s="65" t="s">
        <v>197</v>
      </c>
      <c r="D204" s="65">
        <v>31</v>
      </c>
      <c r="E204" s="65">
        <v>24</v>
      </c>
      <c r="F204" s="65">
        <v>744</v>
      </c>
      <c r="G204" s="65">
        <v>744</v>
      </c>
      <c r="H204" s="66">
        <v>1</v>
      </c>
      <c r="I204" s="66">
        <v>1</v>
      </c>
      <c r="J204" s="65" t="s">
        <v>241</v>
      </c>
    </row>
    <row r="205" customHeight="1" spans="1:10">
      <c r="A205" s="65"/>
      <c r="B205" s="65"/>
      <c r="C205" s="65" t="s">
        <v>198</v>
      </c>
      <c r="D205" s="65">
        <v>31</v>
      </c>
      <c r="E205" s="65">
        <v>24</v>
      </c>
      <c r="F205" s="65">
        <v>744</v>
      </c>
      <c r="G205" s="65">
        <v>744</v>
      </c>
      <c r="H205" s="66">
        <v>1</v>
      </c>
      <c r="I205" s="66">
        <v>1</v>
      </c>
      <c r="J205" s="65" t="s">
        <v>241</v>
      </c>
    </row>
    <row r="206" customHeight="1" spans="1:10">
      <c r="A206" s="65"/>
      <c r="B206" s="64" t="s">
        <v>252</v>
      </c>
      <c r="C206" s="65" t="s">
        <v>198</v>
      </c>
      <c r="D206" s="65">
        <v>31</v>
      </c>
      <c r="E206" s="65">
        <v>24</v>
      </c>
      <c r="F206" s="65">
        <v>744</v>
      </c>
      <c r="G206" s="65">
        <v>736</v>
      </c>
      <c r="H206" s="66">
        <v>0.989247311827957</v>
      </c>
      <c r="I206" s="66">
        <v>1</v>
      </c>
      <c r="J206" s="65"/>
    </row>
    <row r="207" customHeight="1" spans="1:10">
      <c r="A207" s="65"/>
      <c r="B207" s="65"/>
      <c r="C207" s="65" t="s">
        <v>199</v>
      </c>
      <c r="D207" s="65">
        <v>31</v>
      </c>
      <c r="E207" s="65">
        <v>24</v>
      </c>
      <c r="F207" s="65">
        <v>744</v>
      </c>
      <c r="G207" s="65">
        <v>744</v>
      </c>
      <c r="H207" s="66">
        <v>1</v>
      </c>
      <c r="I207" s="66">
        <v>1</v>
      </c>
      <c r="J207" s="65"/>
    </row>
    <row r="208" customHeight="1" spans="1:10">
      <c r="A208" s="65"/>
      <c r="B208" s="65"/>
      <c r="C208" s="65" t="s">
        <v>202</v>
      </c>
      <c r="D208" s="65">
        <v>31</v>
      </c>
      <c r="E208" s="65">
        <v>24</v>
      </c>
      <c r="F208" s="65">
        <v>744</v>
      </c>
      <c r="G208" s="65">
        <v>744</v>
      </c>
      <c r="H208" s="66">
        <v>1</v>
      </c>
      <c r="I208" s="66">
        <v>1</v>
      </c>
      <c r="J208" s="65"/>
    </row>
    <row r="209" customHeight="1" spans="1:10">
      <c r="A209" s="65"/>
      <c r="B209" s="64" t="s">
        <v>253</v>
      </c>
      <c r="C209" s="65" t="s">
        <v>191</v>
      </c>
      <c r="D209" s="65">
        <v>31</v>
      </c>
      <c r="E209" s="65">
        <v>24</v>
      </c>
      <c r="F209" s="65">
        <v>744</v>
      </c>
      <c r="G209" s="65">
        <v>240</v>
      </c>
      <c r="H209" s="66">
        <v>0.32258064516129</v>
      </c>
      <c r="I209" s="66">
        <v>1</v>
      </c>
      <c r="J209" s="65"/>
    </row>
    <row r="210" customHeight="1" spans="1:10">
      <c r="A210" s="65"/>
      <c r="B210" s="65"/>
      <c r="C210" s="65" t="s">
        <v>193</v>
      </c>
      <c r="D210" s="65">
        <v>31</v>
      </c>
      <c r="E210" s="65">
        <v>24</v>
      </c>
      <c r="F210" s="65">
        <v>744</v>
      </c>
      <c r="G210" s="65">
        <v>600</v>
      </c>
      <c r="H210" s="66">
        <v>0.806451612903226</v>
      </c>
      <c r="I210" s="66">
        <v>1</v>
      </c>
      <c r="J210" s="65"/>
    </row>
    <row r="211" customHeight="1" spans="1:10">
      <c r="A211" s="65"/>
      <c r="B211" s="65"/>
      <c r="C211" s="65" t="s">
        <v>197</v>
      </c>
      <c r="D211" s="65">
        <v>31</v>
      </c>
      <c r="E211" s="65">
        <v>24</v>
      </c>
      <c r="F211" s="65">
        <v>744</v>
      </c>
      <c r="G211" s="65">
        <v>744</v>
      </c>
      <c r="H211" s="66">
        <v>1</v>
      </c>
      <c r="I211" s="66">
        <v>1</v>
      </c>
      <c r="J211" s="65"/>
    </row>
    <row r="212" customHeight="1" spans="1:10">
      <c r="A212" s="65"/>
      <c r="B212" s="65"/>
      <c r="C212" s="65" t="s">
        <v>198</v>
      </c>
      <c r="D212" s="65">
        <v>31</v>
      </c>
      <c r="E212" s="65">
        <v>24</v>
      </c>
      <c r="F212" s="65">
        <v>744</v>
      </c>
      <c r="G212" s="65">
        <v>744</v>
      </c>
      <c r="H212" s="66">
        <v>1</v>
      </c>
      <c r="I212" s="66">
        <v>1</v>
      </c>
      <c r="J212" s="65"/>
    </row>
    <row r="213" customHeight="1" spans="1:10">
      <c r="A213" s="65"/>
      <c r="B213" s="65"/>
      <c r="C213" s="65" t="s">
        <v>199</v>
      </c>
      <c r="D213" s="65">
        <v>31</v>
      </c>
      <c r="E213" s="65">
        <v>24</v>
      </c>
      <c r="F213" s="65">
        <v>744</v>
      </c>
      <c r="G213" s="65">
        <v>672</v>
      </c>
      <c r="H213" s="66">
        <v>0.903225806451613</v>
      </c>
      <c r="I213" s="66">
        <v>1</v>
      </c>
      <c r="J213" s="65"/>
    </row>
    <row r="214" customHeight="1" spans="1:10">
      <c r="A214" s="65"/>
      <c r="B214" s="65"/>
      <c r="C214" s="65" t="s">
        <v>202</v>
      </c>
      <c r="D214" s="65">
        <v>31</v>
      </c>
      <c r="E214" s="65">
        <v>24</v>
      </c>
      <c r="F214" s="65">
        <v>744</v>
      </c>
      <c r="G214" s="65">
        <v>140</v>
      </c>
      <c r="H214" s="66">
        <v>0.188172043010753</v>
      </c>
      <c r="I214" s="66">
        <v>1</v>
      </c>
      <c r="J214" s="65"/>
    </row>
    <row r="215" customHeight="1" spans="1:10">
      <c r="A215" s="81" t="s">
        <v>256</v>
      </c>
      <c r="B215" s="64" t="s">
        <v>257</v>
      </c>
      <c r="C215" s="65" t="s">
        <v>191</v>
      </c>
      <c r="D215" s="65">
        <v>31</v>
      </c>
      <c r="E215" s="65">
        <v>24</v>
      </c>
      <c r="F215" s="65">
        <v>744</v>
      </c>
      <c r="G215" s="65">
        <v>744</v>
      </c>
      <c r="H215" s="66">
        <v>1</v>
      </c>
      <c r="I215" s="66">
        <v>1</v>
      </c>
      <c r="J215" s="65"/>
    </row>
    <row r="216" customHeight="1" spans="1:10">
      <c r="A216" s="82"/>
      <c r="B216" s="65"/>
      <c r="C216" s="65" t="s">
        <v>193</v>
      </c>
      <c r="D216" s="65">
        <v>31</v>
      </c>
      <c r="E216" s="65">
        <v>24</v>
      </c>
      <c r="F216" s="65">
        <v>744</v>
      </c>
      <c r="G216" s="65">
        <v>0</v>
      </c>
      <c r="H216" s="66">
        <v>0</v>
      </c>
      <c r="I216" s="66">
        <v>1</v>
      </c>
      <c r="J216" s="65"/>
    </row>
    <row r="217" customHeight="1" spans="1:10">
      <c r="A217" s="82"/>
      <c r="B217" s="65"/>
      <c r="C217" s="65" t="s">
        <v>197</v>
      </c>
      <c r="D217" s="65">
        <v>31</v>
      </c>
      <c r="E217" s="65">
        <v>24</v>
      </c>
      <c r="F217" s="65">
        <v>744</v>
      </c>
      <c r="G217" s="65">
        <v>742</v>
      </c>
      <c r="H217" s="66">
        <v>0.997311827956989</v>
      </c>
      <c r="I217" s="66">
        <v>1</v>
      </c>
      <c r="J217" s="65"/>
    </row>
    <row r="218" customHeight="1" spans="1:10">
      <c r="A218" s="82"/>
      <c r="B218" s="65"/>
      <c r="C218" s="65" t="s">
        <v>198</v>
      </c>
      <c r="D218" s="65">
        <v>31</v>
      </c>
      <c r="E218" s="65">
        <v>24</v>
      </c>
      <c r="F218" s="65">
        <v>744</v>
      </c>
      <c r="G218" s="65">
        <v>714</v>
      </c>
      <c r="H218" s="66">
        <v>0.959677419354839</v>
      </c>
      <c r="I218" s="66">
        <v>1</v>
      </c>
      <c r="J218" s="65"/>
    </row>
    <row r="219" customHeight="1" spans="1:10">
      <c r="A219" s="82"/>
      <c r="B219" s="64" t="s">
        <v>258</v>
      </c>
      <c r="C219" s="65" t="s">
        <v>191</v>
      </c>
      <c r="D219" s="65">
        <v>31</v>
      </c>
      <c r="E219" s="65">
        <v>24</v>
      </c>
      <c r="F219" s="65">
        <v>744</v>
      </c>
      <c r="G219" s="65">
        <v>744</v>
      </c>
      <c r="H219" s="80">
        <v>1</v>
      </c>
      <c r="I219" s="66">
        <v>1</v>
      </c>
      <c r="J219" s="5"/>
    </row>
    <row r="220" customHeight="1" spans="1:10">
      <c r="A220" s="82"/>
      <c r="B220" s="65"/>
      <c r="C220" s="65" t="s">
        <v>193</v>
      </c>
      <c r="D220" s="65">
        <v>31</v>
      </c>
      <c r="E220" s="65">
        <v>24</v>
      </c>
      <c r="F220" s="65">
        <v>744</v>
      </c>
      <c r="G220" s="65">
        <v>744</v>
      </c>
      <c r="H220" s="80">
        <v>1</v>
      </c>
      <c r="I220" s="66">
        <v>1</v>
      </c>
      <c r="J220" s="5"/>
    </row>
    <row r="221" customHeight="1" spans="1:10">
      <c r="A221" s="82"/>
      <c r="B221" s="65"/>
      <c r="C221" s="65" t="s">
        <v>197</v>
      </c>
      <c r="D221" s="65">
        <v>31</v>
      </c>
      <c r="E221" s="65">
        <v>24</v>
      </c>
      <c r="F221" s="65">
        <v>744</v>
      </c>
      <c r="G221" s="65">
        <v>144</v>
      </c>
      <c r="H221" s="80">
        <v>0.193548387096774</v>
      </c>
      <c r="I221" s="66">
        <v>1</v>
      </c>
      <c r="J221" s="5"/>
    </row>
    <row r="222" ht="14.25" spans="1:10">
      <c r="A222" s="84"/>
      <c r="B222" s="65"/>
      <c r="C222" s="65" t="s">
        <v>198</v>
      </c>
      <c r="D222" s="65">
        <v>31</v>
      </c>
      <c r="E222" s="65">
        <v>24</v>
      </c>
      <c r="F222" s="65">
        <v>744</v>
      </c>
      <c r="G222" s="65">
        <v>744</v>
      </c>
      <c r="H222" s="80">
        <v>1</v>
      </c>
      <c r="I222" s="66">
        <v>1</v>
      </c>
      <c r="J222" s="5"/>
    </row>
    <row r="223" customHeight="1" spans="1:10">
      <c r="A223" s="67" t="s">
        <v>78</v>
      </c>
      <c r="B223" s="67"/>
      <c r="C223" s="15"/>
      <c r="D223" s="15"/>
      <c r="E223" s="68" t="s">
        <v>79</v>
      </c>
      <c r="F223" s="68"/>
      <c r="G223" s="69"/>
      <c r="H223" s="10" t="str">
        <f>H38</f>
        <v>制表时间：2023/9/5</v>
      </c>
      <c r="I223" s="10"/>
      <c r="J223" s="10"/>
    </row>
    <row r="224" ht="17" customHeight="1"/>
    <row r="225" ht="16" customHeight="1"/>
    <row r="226" ht="30" customHeight="1" spans="1:10">
      <c r="A226" s="57" t="s">
        <v>174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0">
        <f>A2</f>
        <v>45139</v>
      </c>
      <c r="B227" s="70"/>
      <c r="C227" s="70"/>
      <c r="D227" s="70"/>
      <c r="E227" s="70"/>
      <c r="F227" s="70"/>
      <c r="G227" s="70"/>
      <c r="H227" s="70"/>
      <c r="I227" s="70"/>
      <c r="J227" s="70"/>
    </row>
    <row r="228" ht="21" customHeight="1" spans="1:10">
      <c r="A228" s="6" t="s">
        <v>175</v>
      </c>
      <c r="B228" s="6" t="s">
        <v>176</v>
      </c>
      <c r="C228" s="6" t="s">
        <v>177</v>
      </c>
      <c r="D228" s="6" t="s">
        <v>178</v>
      </c>
      <c r="E228" s="60" t="s">
        <v>179</v>
      </c>
      <c r="F228" s="60" t="s">
        <v>180</v>
      </c>
      <c r="G228" s="61" t="s">
        <v>181</v>
      </c>
      <c r="H228" s="62" t="s">
        <v>182</v>
      </c>
      <c r="I228" s="60" t="s">
        <v>183</v>
      </c>
      <c r="J228" s="6" t="s">
        <v>184</v>
      </c>
    </row>
    <row r="229" ht="25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ht="24" customHeight="1" spans="1:10">
      <c r="A230" s="63"/>
      <c r="B230" s="6"/>
      <c r="C230" s="63"/>
      <c r="D230" s="6" t="s">
        <v>185</v>
      </c>
      <c r="E230" s="60" t="s">
        <v>186</v>
      </c>
      <c r="F230" s="60" t="s">
        <v>187</v>
      </c>
      <c r="G230" s="61" t="s">
        <v>187</v>
      </c>
      <c r="H230" s="62" t="s">
        <v>188</v>
      </c>
      <c r="I230" s="60" t="s">
        <v>188</v>
      </c>
      <c r="J230" s="6"/>
    </row>
    <row r="231" customHeight="1" spans="1:10">
      <c r="A231" s="64" t="s">
        <v>256</v>
      </c>
      <c r="B231" s="64" t="s">
        <v>259</v>
      </c>
      <c r="C231" s="65" t="s">
        <v>191</v>
      </c>
      <c r="D231" s="65">
        <v>31</v>
      </c>
      <c r="E231" s="65">
        <v>24</v>
      </c>
      <c r="F231" s="65">
        <v>744</v>
      </c>
      <c r="G231" s="65">
        <v>0</v>
      </c>
      <c r="H231" s="66">
        <v>0</v>
      </c>
      <c r="I231" s="66">
        <v>1</v>
      </c>
      <c r="J231" s="65"/>
    </row>
    <row r="232" customHeight="1" spans="1:10">
      <c r="A232" s="64"/>
      <c r="B232" s="65"/>
      <c r="C232" s="65" t="s">
        <v>193</v>
      </c>
      <c r="D232" s="65">
        <v>31</v>
      </c>
      <c r="E232" s="65">
        <v>24</v>
      </c>
      <c r="F232" s="65">
        <v>744</v>
      </c>
      <c r="G232" s="65">
        <v>0</v>
      </c>
      <c r="H232" s="66">
        <v>0</v>
      </c>
      <c r="I232" s="66">
        <v>1</v>
      </c>
      <c r="J232" s="65"/>
    </row>
    <row r="233" customHeight="1" spans="1:10">
      <c r="A233" s="64"/>
      <c r="B233" s="65"/>
      <c r="C233" s="65" t="s">
        <v>197</v>
      </c>
      <c r="D233" s="65">
        <v>31</v>
      </c>
      <c r="E233" s="65">
        <v>24</v>
      </c>
      <c r="F233" s="65">
        <v>744</v>
      </c>
      <c r="G233" s="65">
        <v>0</v>
      </c>
      <c r="H233" s="66">
        <v>0</v>
      </c>
      <c r="I233" s="66">
        <v>1</v>
      </c>
      <c r="J233" s="65"/>
    </row>
    <row r="234" customHeight="1" spans="1:10">
      <c r="A234" s="64"/>
      <c r="B234" s="65"/>
      <c r="C234" s="65" t="s">
        <v>198</v>
      </c>
      <c r="D234" s="65">
        <v>31</v>
      </c>
      <c r="E234" s="65">
        <v>24</v>
      </c>
      <c r="F234" s="65">
        <v>744</v>
      </c>
      <c r="G234" s="65">
        <v>0</v>
      </c>
      <c r="H234" s="66">
        <v>0</v>
      </c>
      <c r="I234" s="66">
        <v>1</v>
      </c>
      <c r="J234" s="65"/>
    </row>
    <row r="235" customHeight="1" spans="1:10">
      <c r="A235" s="64"/>
      <c r="B235" s="64" t="s">
        <v>260</v>
      </c>
      <c r="C235" s="65" t="s">
        <v>191</v>
      </c>
      <c r="D235" s="65">
        <v>31</v>
      </c>
      <c r="E235" s="65">
        <v>24</v>
      </c>
      <c r="F235" s="65">
        <v>744</v>
      </c>
      <c r="G235" s="65">
        <v>522</v>
      </c>
      <c r="H235" s="66">
        <v>0.701612903225806</v>
      </c>
      <c r="I235" s="66">
        <v>1</v>
      </c>
      <c r="J235" s="65"/>
    </row>
    <row r="236" customHeight="1" spans="1:10">
      <c r="A236" s="64"/>
      <c r="B236" s="65"/>
      <c r="C236" s="65" t="s">
        <v>193</v>
      </c>
      <c r="D236" s="65">
        <v>31</v>
      </c>
      <c r="E236" s="65">
        <v>24</v>
      </c>
      <c r="F236" s="65">
        <v>744</v>
      </c>
      <c r="G236" s="65">
        <v>186</v>
      </c>
      <c r="H236" s="66">
        <v>0.25</v>
      </c>
      <c r="I236" s="66">
        <v>1</v>
      </c>
      <c r="J236" s="65"/>
    </row>
    <row r="237" customHeight="1" spans="1:10">
      <c r="A237" s="64"/>
      <c r="B237" s="65"/>
      <c r="C237" s="65" t="s">
        <v>197</v>
      </c>
      <c r="D237" s="65">
        <v>31</v>
      </c>
      <c r="E237" s="65">
        <v>24</v>
      </c>
      <c r="F237" s="65">
        <v>744</v>
      </c>
      <c r="G237" s="65">
        <v>168</v>
      </c>
      <c r="H237" s="66">
        <v>0.225806451612903</v>
      </c>
      <c r="I237" s="66">
        <v>1</v>
      </c>
      <c r="J237" s="65"/>
    </row>
    <row r="238" customHeight="1" spans="1:10">
      <c r="A238" s="64"/>
      <c r="B238" s="65"/>
      <c r="C238" s="65" t="s">
        <v>198</v>
      </c>
      <c r="D238" s="65">
        <v>31</v>
      </c>
      <c r="E238" s="65">
        <v>24</v>
      </c>
      <c r="F238" s="65">
        <v>744</v>
      </c>
      <c r="G238" s="65">
        <v>96</v>
      </c>
      <c r="H238" s="66">
        <v>0.129032258064516</v>
      </c>
      <c r="I238" s="66">
        <v>1</v>
      </c>
      <c r="J238" s="65"/>
    </row>
    <row r="239" customHeight="1" spans="1:10">
      <c r="A239" s="64"/>
      <c r="B239" s="65"/>
      <c r="C239" s="65" t="s">
        <v>199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/>
    </row>
    <row r="240" customHeight="1" spans="1:10">
      <c r="A240" s="64"/>
      <c r="B240" s="65"/>
      <c r="C240" s="65" t="s">
        <v>202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/>
    </row>
    <row r="241" customHeight="1" spans="1:10">
      <c r="A241" s="64"/>
      <c r="B241" s="64" t="s">
        <v>261</v>
      </c>
      <c r="C241" s="65" t="s">
        <v>191</v>
      </c>
      <c r="D241" s="65">
        <v>31</v>
      </c>
      <c r="E241" s="65">
        <v>24</v>
      </c>
      <c r="F241" s="65">
        <v>744</v>
      </c>
      <c r="G241" s="65">
        <v>124</v>
      </c>
      <c r="H241" s="66">
        <v>0.166666666666667</v>
      </c>
      <c r="I241" s="66">
        <v>1</v>
      </c>
      <c r="J241" s="65"/>
    </row>
    <row r="242" customHeight="1" spans="1:10">
      <c r="A242" s="64"/>
      <c r="B242" s="65"/>
      <c r="C242" s="65" t="s">
        <v>193</v>
      </c>
      <c r="D242" s="65">
        <v>31</v>
      </c>
      <c r="E242" s="65">
        <v>24</v>
      </c>
      <c r="F242" s="65">
        <v>744</v>
      </c>
      <c r="G242" s="65">
        <v>124</v>
      </c>
      <c r="H242" s="66">
        <v>0.166666666666667</v>
      </c>
      <c r="I242" s="66">
        <v>1</v>
      </c>
      <c r="J242" s="65"/>
    </row>
    <row r="243" customHeight="1" spans="1:10">
      <c r="A243" s="64"/>
      <c r="B243" s="65"/>
      <c r="C243" s="65" t="s">
        <v>197</v>
      </c>
      <c r="D243" s="65">
        <v>31</v>
      </c>
      <c r="E243" s="65">
        <v>24</v>
      </c>
      <c r="F243" s="65">
        <v>744</v>
      </c>
      <c r="G243" s="65">
        <v>124</v>
      </c>
      <c r="H243" s="66">
        <v>0.166666666666667</v>
      </c>
      <c r="I243" s="66">
        <v>1</v>
      </c>
      <c r="J243" s="65"/>
    </row>
    <row r="244" customHeight="1" spans="1:10">
      <c r="A244" s="64"/>
      <c r="B244" s="65"/>
      <c r="C244" s="65" t="s">
        <v>198</v>
      </c>
      <c r="D244" s="65">
        <v>31</v>
      </c>
      <c r="E244" s="65">
        <v>24</v>
      </c>
      <c r="F244" s="65">
        <v>744</v>
      </c>
      <c r="G244" s="65">
        <v>124</v>
      </c>
      <c r="H244" s="66">
        <v>0.166666666666667</v>
      </c>
      <c r="I244" s="66">
        <v>1</v>
      </c>
      <c r="J244" s="65"/>
    </row>
    <row r="245" customHeight="1" spans="1:10">
      <c r="A245" s="64"/>
      <c r="B245" s="64" t="s">
        <v>262</v>
      </c>
      <c r="C245" s="65" t="s">
        <v>191</v>
      </c>
      <c r="D245" s="65">
        <v>31</v>
      </c>
      <c r="E245" s="65">
        <v>24</v>
      </c>
      <c r="F245" s="65">
        <v>744</v>
      </c>
      <c r="G245" s="65">
        <v>120</v>
      </c>
      <c r="H245" s="66">
        <v>0.161290322580645</v>
      </c>
      <c r="I245" s="66">
        <v>1</v>
      </c>
      <c r="J245" s="65"/>
    </row>
    <row r="246" customHeight="1" spans="1:10">
      <c r="A246" s="64"/>
      <c r="B246" s="65"/>
      <c r="C246" s="65" t="s">
        <v>193</v>
      </c>
      <c r="D246" s="65">
        <v>31</v>
      </c>
      <c r="E246" s="65">
        <v>24</v>
      </c>
      <c r="F246" s="65">
        <v>744</v>
      </c>
      <c r="G246" s="65">
        <v>314</v>
      </c>
      <c r="H246" s="66">
        <v>0.422043010752688</v>
      </c>
      <c r="I246" s="66">
        <v>1</v>
      </c>
      <c r="J246" s="65"/>
    </row>
    <row r="247" customHeight="1" spans="1:10">
      <c r="A247" s="64"/>
      <c r="B247" s="65"/>
      <c r="C247" s="65" t="s">
        <v>197</v>
      </c>
      <c r="D247" s="65">
        <v>31</v>
      </c>
      <c r="E247" s="65">
        <v>24</v>
      </c>
      <c r="F247" s="65">
        <v>744</v>
      </c>
      <c r="G247" s="65">
        <v>338</v>
      </c>
      <c r="H247" s="66">
        <v>0.454301075268817</v>
      </c>
      <c r="I247" s="66">
        <v>1</v>
      </c>
      <c r="J247" s="65"/>
    </row>
    <row r="248" customHeight="1" spans="1:10">
      <c r="A248" s="64"/>
      <c r="B248" s="65"/>
      <c r="C248" s="65" t="s">
        <v>198</v>
      </c>
      <c r="D248" s="65">
        <v>31</v>
      </c>
      <c r="E248" s="65">
        <v>24</v>
      </c>
      <c r="F248" s="65">
        <v>744</v>
      </c>
      <c r="G248" s="65">
        <v>506</v>
      </c>
      <c r="H248" s="66">
        <v>0.68010752688172</v>
      </c>
      <c r="I248" s="66">
        <v>1</v>
      </c>
      <c r="J248" s="65"/>
    </row>
    <row r="249" customHeight="1" spans="1:10">
      <c r="A249" s="64"/>
      <c r="B249" s="65"/>
      <c r="C249" s="65" t="s">
        <v>199</v>
      </c>
      <c r="D249" s="65">
        <v>31</v>
      </c>
      <c r="E249" s="65">
        <v>24</v>
      </c>
      <c r="F249" s="65">
        <v>744</v>
      </c>
      <c r="G249" s="65">
        <v>0</v>
      </c>
      <c r="H249" s="66">
        <v>0</v>
      </c>
      <c r="I249" s="66">
        <v>1</v>
      </c>
      <c r="J249" s="65"/>
    </row>
    <row r="250" customHeight="1" spans="1:10">
      <c r="A250" s="64"/>
      <c r="B250" s="65"/>
      <c r="C250" s="65" t="s">
        <v>202</v>
      </c>
      <c r="D250" s="65">
        <v>31</v>
      </c>
      <c r="E250" s="65">
        <v>24</v>
      </c>
      <c r="F250" s="65">
        <v>744</v>
      </c>
      <c r="G250" s="65">
        <v>408</v>
      </c>
      <c r="H250" s="66">
        <v>0.548387096774194</v>
      </c>
      <c r="I250" s="66">
        <v>1</v>
      </c>
      <c r="J250" s="65"/>
    </row>
    <row r="251" customHeight="1" spans="1:10">
      <c r="A251" s="64"/>
      <c r="B251" s="64" t="s">
        <v>263</v>
      </c>
      <c r="C251" s="65" t="s">
        <v>191</v>
      </c>
      <c r="D251" s="65">
        <v>31</v>
      </c>
      <c r="E251" s="65">
        <v>24</v>
      </c>
      <c r="F251" s="65">
        <v>744</v>
      </c>
      <c r="G251" s="65">
        <v>0</v>
      </c>
      <c r="H251" s="66">
        <v>0</v>
      </c>
      <c r="I251" s="66">
        <v>1</v>
      </c>
      <c r="J251" s="65"/>
    </row>
    <row r="252" customHeight="1" spans="1:10">
      <c r="A252" s="64"/>
      <c r="B252" s="65"/>
      <c r="C252" s="65" t="s">
        <v>193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/>
    </row>
    <row r="253" customHeight="1" spans="1:10">
      <c r="A253" s="64"/>
      <c r="B253" s="65"/>
      <c r="C253" s="65" t="s">
        <v>197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/>
    </row>
    <row r="254" customHeight="1" spans="1:10">
      <c r="A254" s="64"/>
      <c r="B254" s="65"/>
      <c r="C254" s="65" t="s">
        <v>198</v>
      </c>
      <c r="D254" s="65">
        <v>31</v>
      </c>
      <c r="E254" s="65">
        <v>24</v>
      </c>
      <c r="F254" s="65">
        <v>744</v>
      </c>
      <c r="G254" s="65">
        <v>0</v>
      </c>
      <c r="H254" s="66">
        <v>0</v>
      </c>
      <c r="I254" s="66">
        <v>1</v>
      </c>
      <c r="J254" s="65"/>
    </row>
    <row r="255" customHeight="1" spans="1:10">
      <c r="A255" s="64"/>
      <c r="B255" s="65"/>
      <c r="C255" s="65" t="s">
        <v>199</v>
      </c>
      <c r="D255" s="65">
        <v>31</v>
      </c>
      <c r="E255" s="65">
        <v>24</v>
      </c>
      <c r="F255" s="65">
        <v>744</v>
      </c>
      <c r="G255" s="65">
        <v>0</v>
      </c>
      <c r="H255" s="66">
        <v>0</v>
      </c>
      <c r="I255" s="66">
        <v>1</v>
      </c>
      <c r="J255" s="65"/>
    </row>
    <row r="256" customHeight="1" spans="1:10">
      <c r="A256" s="64"/>
      <c r="B256" s="65"/>
      <c r="C256" s="65" t="s">
        <v>202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/>
    </row>
    <row r="257" customHeight="1" spans="1:10">
      <c r="A257" s="64"/>
      <c r="B257" s="65"/>
      <c r="C257" s="65" t="s">
        <v>209</v>
      </c>
      <c r="D257" s="65">
        <v>31</v>
      </c>
      <c r="E257" s="65">
        <v>24</v>
      </c>
      <c r="F257" s="65">
        <v>744</v>
      </c>
      <c r="G257" s="65">
        <v>0</v>
      </c>
      <c r="H257" s="66">
        <v>0</v>
      </c>
      <c r="I257" s="66">
        <v>1</v>
      </c>
      <c r="J257" s="65"/>
    </row>
    <row r="258" customHeight="1" spans="1:10">
      <c r="A258" s="64"/>
      <c r="B258" s="65"/>
      <c r="C258" s="65" t="s">
        <v>210</v>
      </c>
      <c r="D258" s="65">
        <v>31</v>
      </c>
      <c r="E258" s="65">
        <v>24</v>
      </c>
      <c r="F258" s="65">
        <v>744</v>
      </c>
      <c r="G258" s="65">
        <v>0</v>
      </c>
      <c r="H258" s="66">
        <v>0</v>
      </c>
      <c r="I258" s="66">
        <v>1</v>
      </c>
      <c r="J258" s="65"/>
    </row>
    <row r="259" customHeight="1" spans="1:10">
      <c r="A259" s="64"/>
      <c r="B259" s="6" t="s">
        <v>264</v>
      </c>
      <c r="C259" s="65" t="s">
        <v>191</v>
      </c>
      <c r="D259" s="65">
        <v>31</v>
      </c>
      <c r="E259" s="65">
        <v>24</v>
      </c>
      <c r="F259" s="65">
        <v>744</v>
      </c>
      <c r="G259" s="65">
        <v>744</v>
      </c>
      <c r="H259" s="66">
        <v>1</v>
      </c>
      <c r="I259" s="66">
        <v>1</v>
      </c>
      <c r="J259" s="65"/>
    </row>
    <row r="260" customHeight="1" spans="1:10">
      <c r="A260" s="64"/>
      <c r="B260" s="5"/>
      <c r="C260" s="65" t="s">
        <v>193</v>
      </c>
      <c r="D260" s="65">
        <v>31</v>
      </c>
      <c r="E260" s="65">
        <v>24</v>
      </c>
      <c r="F260" s="65">
        <v>744</v>
      </c>
      <c r="G260" s="65">
        <v>744</v>
      </c>
      <c r="H260" s="66">
        <v>1</v>
      </c>
      <c r="I260" s="66">
        <v>1</v>
      </c>
      <c r="J260" s="65"/>
    </row>
    <row r="261" customHeight="1" spans="1:10">
      <c r="A261" s="64"/>
      <c r="B261" s="5"/>
      <c r="C261" s="65" t="s">
        <v>197</v>
      </c>
      <c r="D261" s="65">
        <v>31</v>
      </c>
      <c r="E261" s="65">
        <v>24</v>
      </c>
      <c r="F261" s="65">
        <v>744</v>
      </c>
      <c r="G261" s="65">
        <v>0</v>
      </c>
      <c r="H261" s="66">
        <v>0</v>
      </c>
      <c r="I261" s="66">
        <v>1</v>
      </c>
      <c r="J261" s="65"/>
    </row>
    <row r="262" customHeight="1" spans="1:10">
      <c r="A262" s="64"/>
      <c r="B262" s="6" t="s">
        <v>265</v>
      </c>
      <c r="C262" s="65" t="s">
        <v>191</v>
      </c>
      <c r="D262" s="65">
        <v>31</v>
      </c>
      <c r="E262" s="65">
        <v>24</v>
      </c>
      <c r="F262" s="65">
        <v>744</v>
      </c>
      <c r="G262" s="65">
        <v>744</v>
      </c>
      <c r="H262" s="66">
        <v>1</v>
      </c>
      <c r="I262" s="66">
        <v>1</v>
      </c>
      <c r="J262" s="65"/>
    </row>
    <row r="263" customHeight="1" spans="1:10">
      <c r="A263" s="64"/>
      <c r="B263" s="5"/>
      <c r="C263" s="65" t="s">
        <v>193</v>
      </c>
      <c r="D263" s="65">
        <v>31</v>
      </c>
      <c r="E263" s="65">
        <v>24</v>
      </c>
      <c r="F263" s="65">
        <v>744</v>
      </c>
      <c r="G263" s="65">
        <v>744</v>
      </c>
      <c r="H263" s="66">
        <v>1</v>
      </c>
      <c r="I263" s="66">
        <v>1</v>
      </c>
      <c r="J263" s="65"/>
    </row>
    <row r="264" customHeight="1" spans="1:10">
      <c r="A264" s="64"/>
      <c r="B264" s="5"/>
      <c r="C264" s="65" t="s">
        <v>197</v>
      </c>
      <c r="D264" s="65">
        <v>31</v>
      </c>
      <c r="E264" s="65">
        <v>24</v>
      </c>
      <c r="F264" s="65">
        <v>744</v>
      </c>
      <c r="G264" s="65">
        <v>744</v>
      </c>
      <c r="H264" s="66">
        <v>1</v>
      </c>
      <c r="I264" s="66">
        <v>1</v>
      </c>
      <c r="J264" s="65"/>
    </row>
    <row r="265" customHeight="1" spans="1:10">
      <c r="A265" s="64"/>
      <c r="B265" s="5"/>
      <c r="C265" s="65" t="s">
        <v>198</v>
      </c>
      <c r="D265" s="65">
        <v>31</v>
      </c>
      <c r="E265" s="65">
        <v>24</v>
      </c>
      <c r="F265" s="65">
        <v>744</v>
      </c>
      <c r="G265" s="65">
        <v>744</v>
      </c>
      <c r="H265" s="66">
        <v>1</v>
      </c>
      <c r="I265" s="66">
        <v>1</v>
      </c>
      <c r="J265" s="65"/>
    </row>
    <row r="266" customHeight="1" spans="1:10">
      <c r="A266" s="64"/>
      <c r="B266" s="5"/>
      <c r="C266" s="65" t="s">
        <v>199</v>
      </c>
      <c r="D266" s="65">
        <v>31</v>
      </c>
      <c r="E266" s="65">
        <v>24</v>
      </c>
      <c r="F266" s="65">
        <v>744</v>
      </c>
      <c r="G266" s="65">
        <v>744</v>
      </c>
      <c r="H266" s="66">
        <v>1</v>
      </c>
      <c r="I266" s="66">
        <v>1</v>
      </c>
      <c r="J266" s="65"/>
    </row>
    <row r="267" ht="19" customHeight="1" spans="1:10">
      <c r="A267" s="67" t="s">
        <v>78</v>
      </c>
      <c r="B267" s="67"/>
      <c r="C267" s="15"/>
      <c r="D267" s="15"/>
      <c r="E267" s="68" t="s">
        <v>79</v>
      </c>
      <c r="F267" s="68"/>
      <c r="G267" s="69"/>
      <c r="H267" s="10" t="str">
        <f>H38</f>
        <v>制表时间：2023/9/5</v>
      </c>
      <c r="I267" s="10"/>
      <c r="J267" s="10"/>
    </row>
    <row r="268" ht="19" customHeight="1" spans="1:10">
      <c r="A268" s="91"/>
      <c r="B268" s="91"/>
      <c r="C268" s="15"/>
      <c r="D268" s="15"/>
      <c r="E268" s="92"/>
      <c r="F268" s="92"/>
      <c r="G268" s="93"/>
      <c r="H268" s="15"/>
      <c r="I268" s="15"/>
      <c r="J268" s="15"/>
    </row>
    <row r="269" ht="17" customHeight="1" spans="1:10">
      <c r="A269" s="57" t="s">
        <v>174</v>
      </c>
      <c r="B269" s="57"/>
      <c r="C269" s="57"/>
      <c r="D269" s="57"/>
      <c r="E269" s="57"/>
      <c r="F269" s="57"/>
      <c r="G269" s="57"/>
      <c r="H269" s="58"/>
      <c r="I269" s="57"/>
      <c r="J269" s="57"/>
    </row>
    <row r="270" customHeight="1" spans="1:10">
      <c r="A270" s="59">
        <f>A2</f>
        <v>45139</v>
      </c>
      <c r="B270" s="59"/>
      <c r="C270" s="59"/>
      <c r="D270" s="59"/>
      <c r="E270" s="59"/>
      <c r="F270" s="59"/>
      <c r="G270" s="59"/>
      <c r="H270" s="59"/>
      <c r="I270" s="59"/>
      <c r="J270" s="59"/>
    </row>
    <row r="271" ht="13" customHeight="1" spans="1:10">
      <c r="A271" s="6" t="s">
        <v>175</v>
      </c>
      <c r="B271" s="6" t="s">
        <v>176</v>
      </c>
      <c r="C271" s="6" t="s">
        <v>177</v>
      </c>
      <c r="D271" s="6" t="s">
        <v>178</v>
      </c>
      <c r="E271" s="60" t="s">
        <v>179</v>
      </c>
      <c r="F271" s="60" t="s">
        <v>180</v>
      </c>
      <c r="G271" s="61" t="s">
        <v>181</v>
      </c>
      <c r="H271" s="62" t="s">
        <v>182</v>
      </c>
      <c r="I271" s="60" t="s">
        <v>183</v>
      </c>
      <c r="J271" s="6" t="s">
        <v>184</v>
      </c>
    </row>
    <row r="272" ht="12" customHeight="1" spans="1:10">
      <c r="A272" s="6"/>
      <c r="B272" s="6"/>
      <c r="C272" s="6"/>
      <c r="D272" s="6"/>
      <c r="E272" s="60"/>
      <c r="F272" s="60"/>
      <c r="G272" s="61"/>
      <c r="H272" s="62"/>
      <c r="I272" s="60"/>
      <c r="J272" s="6"/>
    </row>
    <row r="273" ht="15" customHeight="1" spans="1:10">
      <c r="A273" s="63"/>
      <c r="B273" s="6"/>
      <c r="C273" s="63"/>
      <c r="D273" s="6" t="s">
        <v>185</v>
      </c>
      <c r="E273" s="60" t="s">
        <v>186</v>
      </c>
      <c r="F273" s="60" t="s">
        <v>187</v>
      </c>
      <c r="G273" s="61" t="s">
        <v>187</v>
      </c>
      <c r="H273" s="62" t="s">
        <v>188</v>
      </c>
      <c r="I273" s="60" t="s">
        <v>188</v>
      </c>
      <c r="J273" s="6"/>
    </row>
    <row r="274" customHeight="1" spans="1:10">
      <c r="A274" s="64" t="s">
        <v>256</v>
      </c>
      <c r="B274" s="64" t="s">
        <v>265</v>
      </c>
      <c r="C274" s="65" t="s">
        <v>202</v>
      </c>
      <c r="D274" s="65">
        <v>31</v>
      </c>
      <c r="E274" s="65">
        <v>24</v>
      </c>
      <c r="F274" s="65">
        <v>744</v>
      </c>
      <c r="G274" s="65">
        <v>744</v>
      </c>
      <c r="H274" s="66">
        <v>1</v>
      </c>
      <c r="I274" s="66">
        <v>1</v>
      </c>
      <c r="J274" s="65"/>
    </row>
    <row r="275" customHeight="1" spans="1:10">
      <c r="A275" s="65"/>
      <c r="B275" s="64"/>
      <c r="C275" s="65" t="s">
        <v>209</v>
      </c>
      <c r="D275" s="65">
        <v>31</v>
      </c>
      <c r="E275" s="65">
        <v>24</v>
      </c>
      <c r="F275" s="65">
        <v>744</v>
      </c>
      <c r="G275" s="65">
        <v>744</v>
      </c>
      <c r="H275" s="66">
        <v>1</v>
      </c>
      <c r="I275" s="66">
        <v>1</v>
      </c>
      <c r="J275" s="65"/>
    </row>
    <row r="276" customHeight="1" spans="1:10">
      <c r="A276" s="65"/>
      <c r="B276" s="64"/>
      <c r="C276" s="65" t="s">
        <v>210</v>
      </c>
      <c r="D276" s="65">
        <v>31</v>
      </c>
      <c r="E276" s="65">
        <v>24</v>
      </c>
      <c r="F276" s="65">
        <v>744</v>
      </c>
      <c r="G276" s="65">
        <v>744</v>
      </c>
      <c r="H276" s="66">
        <v>1</v>
      </c>
      <c r="I276" s="66">
        <v>1</v>
      </c>
      <c r="J276" s="65"/>
    </row>
    <row r="277" customHeight="1" spans="1:10">
      <c r="A277" s="65"/>
      <c r="B277" s="64" t="s">
        <v>266</v>
      </c>
      <c r="C277" s="65" t="s">
        <v>211</v>
      </c>
      <c r="D277" s="65">
        <v>31</v>
      </c>
      <c r="E277" s="65">
        <v>24</v>
      </c>
      <c r="F277" s="65">
        <v>744</v>
      </c>
      <c r="G277" s="65">
        <v>744</v>
      </c>
      <c r="H277" s="66">
        <v>1</v>
      </c>
      <c r="I277" s="66">
        <v>1</v>
      </c>
      <c r="J277" s="65"/>
    </row>
    <row r="278" customHeight="1" spans="1:10">
      <c r="A278" s="65"/>
      <c r="B278" s="65"/>
      <c r="C278" s="65" t="s">
        <v>212</v>
      </c>
      <c r="D278" s="65">
        <v>31</v>
      </c>
      <c r="E278" s="65">
        <v>24</v>
      </c>
      <c r="F278" s="65">
        <v>744</v>
      </c>
      <c r="G278" s="65">
        <v>744</v>
      </c>
      <c r="H278" s="66">
        <v>1</v>
      </c>
      <c r="I278" s="66">
        <v>1</v>
      </c>
      <c r="J278" s="65"/>
    </row>
    <row r="279" ht="17" customHeight="1" spans="1:10">
      <c r="A279" s="65"/>
      <c r="B279" s="65"/>
      <c r="C279" s="65" t="s">
        <v>213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4"/>
    </row>
    <row r="280" customHeight="1" spans="1:10">
      <c r="A280" s="65"/>
      <c r="B280" s="65"/>
      <c r="C280" s="65" t="s">
        <v>214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/>
    </row>
    <row r="281" customHeight="1" spans="1:10">
      <c r="A281" s="65"/>
      <c r="B281" s="65"/>
      <c r="C281" s="65" t="s">
        <v>215</v>
      </c>
      <c r="D281" s="65">
        <v>31</v>
      </c>
      <c r="E281" s="65">
        <v>24</v>
      </c>
      <c r="F281" s="65">
        <v>744</v>
      </c>
      <c r="G281" s="65">
        <v>744</v>
      </c>
      <c r="H281" s="66">
        <v>1</v>
      </c>
      <c r="I281" s="66">
        <v>1</v>
      </c>
      <c r="J281" s="65"/>
    </row>
    <row r="282" customHeight="1" spans="1:10">
      <c r="A282" s="65"/>
      <c r="B282" s="65"/>
      <c r="C282" s="65" t="s">
        <v>216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1</v>
      </c>
      <c r="J282" s="65"/>
    </row>
    <row r="283" customHeight="1" spans="1:10">
      <c r="A283" s="65"/>
      <c r="B283" s="65"/>
      <c r="C283" s="65" t="s">
        <v>217</v>
      </c>
      <c r="D283" s="65">
        <v>31</v>
      </c>
      <c r="E283" s="65">
        <v>24</v>
      </c>
      <c r="F283" s="65">
        <v>744</v>
      </c>
      <c r="G283" s="65">
        <v>742</v>
      </c>
      <c r="H283" s="66">
        <v>0.99</v>
      </c>
      <c r="I283" s="66">
        <v>0.99</v>
      </c>
      <c r="J283" s="65" t="s">
        <v>267</v>
      </c>
    </row>
    <row r="284" customHeight="1" spans="1:10">
      <c r="A284" s="65"/>
      <c r="B284" s="65"/>
      <c r="C284" s="65" t="s">
        <v>218</v>
      </c>
      <c r="D284" s="65">
        <v>31</v>
      </c>
      <c r="E284" s="65">
        <v>24</v>
      </c>
      <c r="F284" s="65">
        <v>744</v>
      </c>
      <c r="G284" s="65">
        <v>744</v>
      </c>
      <c r="H284" s="66">
        <v>1</v>
      </c>
      <c r="I284" s="66">
        <v>1</v>
      </c>
      <c r="J284" s="65" t="s">
        <v>268</v>
      </c>
    </row>
    <row r="285" customHeight="1" spans="1:10">
      <c r="A285" s="65"/>
      <c r="B285" s="65" t="s">
        <v>269</v>
      </c>
      <c r="C285" s="65" t="s">
        <v>191</v>
      </c>
      <c r="D285" s="65">
        <v>31</v>
      </c>
      <c r="E285" s="65">
        <v>24</v>
      </c>
      <c r="F285" s="65">
        <v>744</v>
      </c>
      <c r="G285" s="65">
        <v>50.6</v>
      </c>
      <c r="H285" s="66">
        <v>0.068010752688172</v>
      </c>
      <c r="I285" s="66">
        <v>1</v>
      </c>
      <c r="J285" s="65"/>
    </row>
    <row r="286" customHeight="1" spans="1:10">
      <c r="A286" s="65"/>
      <c r="B286" s="65"/>
      <c r="C286" s="65" t="s">
        <v>193</v>
      </c>
      <c r="D286" s="65">
        <v>31</v>
      </c>
      <c r="E286" s="65">
        <v>24</v>
      </c>
      <c r="F286" s="65">
        <v>744</v>
      </c>
      <c r="G286" s="65">
        <v>0</v>
      </c>
      <c r="H286" s="66">
        <v>0</v>
      </c>
      <c r="I286" s="66">
        <v>1</v>
      </c>
      <c r="J286" s="65"/>
    </row>
    <row r="287" customHeight="1" spans="1:10">
      <c r="A287" s="65"/>
      <c r="B287" s="65"/>
      <c r="C287" s="65" t="s">
        <v>197</v>
      </c>
      <c r="D287" s="65">
        <v>31</v>
      </c>
      <c r="E287" s="65">
        <v>24</v>
      </c>
      <c r="F287" s="65">
        <v>744</v>
      </c>
      <c r="G287" s="65">
        <v>48.4</v>
      </c>
      <c r="H287" s="66">
        <v>0.0650537634408602</v>
      </c>
      <c r="I287" s="66">
        <v>1</v>
      </c>
      <c r="J287" s="65"/>
    </row>
    <row r="288" customHeight="1" spans="1:10">
      <c r="A288" s="65"/>
      <c r="B288" s="65" t="s">
        <v>270</v>
      </c>
      <c r="C288" s="65" t="s">
        <v>191</v>
      </c>
      <c r="D288" s="65">
        <v>31</v>
      </c>
      <c r="E288" s="65">
        <v>24</v>
      </c>
      <c r="F288" s="65">
        <v>744</v>
      </c>
      <c r="G288" s="65">
        <v>38</v>
      </c>
      <c r="H288" s="66">
        <v>0.0510752688172043</v>
      </c>
      <c r="I288" s="66">
        <v>1</v>
      </c>
      <c r="J288" s="65"/>
    </row>
    <row r="289" customHeight="1" spans="1:10">
      <c r="A289" s="65"/>
      <c r="B289" s="65"/>
      <c r="C289" s="65" t="s">
        <v>193</v>
      </c>
      <c r="D289" s="65">
        <v>31</v>
      </c>
      <c r="E289" s="65">
        <v>24</v>
      </c>
      <c r="F289" s="65">
        <v>744</v>
      </c>
      <c r="G289" s="65">
        <v>38.7</v>
      </c>
      <c r="H289" s="66">
        <v>0.0520161290322581</v>
      </c>
      <c r="I289" s="66">
        <v>1</v>
      </c>
      <c r="J289" s="65"/>
    </row>
    <row r="290" customHeight="1" spans="1:10">
      <c r="A290" s="65"/>
      <c r="B290" s="65"/>
      <c r="C290" s="65" t="s">
        <v>197</v>
      </c>
      <c r="D290" s="65">
        <v>31</v>
      </c>
      <c r="E290" s="65">
        <v>24</v>
      </c>
      <c r="F290" s="65">
        <v>744</v>
      </c>
      <c r="G290" s="65">
        <v>37</v>
      </c>
      <c r="H290" s="66">
        <v>0.0497311827956989</v>
      </c>
      <c r="I290" s="66">
        <v>1</v>
      </c>
      <c r="J290" s="65"/>
    </row>
    <row r="291" ht="17" customHeight="1" spans="1:10">
      <c r="A291" s="64" t="s">
        <v>271</v>
      </c>
      <c r="B291" s="81" t="s">
        <v>272</v>
      </c>
      <c r="C291" s="65" t="s">
        <v>191</v>
      </c>
      <c r="D291" s="65">
        <v>31</v>
      </c>
      <c r="E291" s="65">
        <v>24</v>
      </c>
      <c r="F291" s="65">
        <v>744</v>
      </c>
      <c r="G291" s="65">
        <v>704</v>
      </c>
      <c r="H291" s="66">
        <v>0.946236559139785</v>
      </c>
      <c r="I291" s="66">
        <v>1</v>
      </c>
      <c r="J291" s="65" t="s">
        <v>273</v>
      </c>
    </row>
    <row r="292" customHeight="1" spans="1:10">
      <c r="A292" s="65"/>
      <c r="B292" s="83"/>
      <c r="C292" s="65" t="s">
        <v>193</v>
      </c>
      <c r="D292" s="65">
        <v>31</v>
      </c>
      <c r="E292" s="65">
        <v>24</v>
      </c>
      <c r="F292" s="65">
        <v>744</v>
      </c>
      <c r="G292" s="65">
        <v>704</v>
      </c>
      <c r="H292" s="66">
        <v>0.946236559139785</v>
      </c>
      <c r="I292" s="66">
        <v>1</v>
      </c>
      <c r="J292" s="65" t="s">
        <v>273</v>
      </c>
    </row>
    <row r="293" customHeight="1" spans="1:10">
      <c r="A293" s="65"/>
      <c r="B293" s="83"/>
      <c r="C293" s="65" t="s">
        <v>197</v>
      </c>
      <c r="D293" s="65">
        <v>31</v>
      </c>
      <c r="E293" s="65">
        <v>24</v>
      </c>
      <c r="F293" s="65">
        <v>744</v>
      </c>
      <c r="G293" s="65">
        <v>704</v>
      </c>
      <c r="H293" s="66">
        <v>0.946236559139785</v>
      </c>
      <c r="I293" s="66">
        <v>1</v>
      </c>
      <c r="J293" s="65" t="s">
        <v>273</v>
      </c>
    </row>
    <row r="294" customHeight="1" spans="1:10">
      <c r="A294" s="65"/>
      <c r="B294" s="83"/>
      <c r="C294" s="65" t="s">
        <v>198</v>
      </c>
      <c r="D294" s="65">
        <v>31</v>
      </c>
      <c r="E294" s="65">
        <v>24</v>
      </c>
      <c r="F294" s="65">
        <v>744</v>
      </c>
      <c r="G294" s="65">
        <v>588</v>
      </c>
      <c r="H294" s="66">
        <v>0.790322580645161</v>
      </c>
      <c r="I294" s="66">
        <v>0.99</v>
      </c>
      <c r="J294" s="65" t="s">
        <v>274</v>
      </c>
    </row>
    <row r="295" customHeight="1" spans="1:10">
      <c r="A295" s="65"/>
      <c r="B295" s="83"/>
      <c r="C295" s="65" t="s">
        <v>199</v>
      </c>
      <c r="D295" s="65">
        <v>31</v>
      </c>
      <c r="E295" s="65">
        <v>24</v>
      </c>
      <c r="F295" s="65">
        <v>744</v>
      </c>
      <c r="G295" s="65">
        <v>412</v>
      </c>
      <c r="H295" s="66">
        <v>0.553763440860215</v>
      </c>
      <c r="I295" s="66">
        <v>0.99</v>
      </c>
      <c r="J295" s="65" t="s">
        <v>275</v>
      </c>
    </row>
    <row r="296" customHeight="1" spans="1:10">
      <c r="A296" s="65"/>
      <c r="B296" s="83"/>
      <c r="C296" s="65" t="s">
        <v>202</v>
      </c>
      <c r="D296" s="65">
        <v>31</v>
      </c>
      <c r="E296" s="65">
        <v>24</v>
      </c>
      <c r="F296" s="65">
        <v>744</v>
      </c>
      <c r="G296" s="65">
        <v>14</v>
      </c>
      <c r="H296" s="66">
        <v>0.0188172043010753</v>
      </c>
      <c r="I296" s="66">
        <v>0.99</v>
      </c>
      <c r="J296" s="65" t="s">
        <v>276</v>
      </c>
    </row>
    <row r="297" customHeight="1" spans="1:10">
      <c r="A297" s="65"/>
      <c r="B297" s="83"/>
      <c r="C297" s="65" t="s">
        <v>209</v>
      </c>
      <c r="D297" s="65">
        <v>31</v>
      </c>
      <c r="E297" s="65">
        <v>24</v>
      </c>
      <c r="F297" s="65">
        <v>744</v>
      </c>
      <c r="G297" s="65">
        <v>118</v>
      </c>
      <c r="H297" s="66">
        <v>0.158602150537634</v>
      </c>
      <c r="I297" s="66">
        <v>1</v>
      </c>
      <c r="J297" s="65" t="s">
        <v>273</v>
      </c>
    </row>
    <row r="298" customHeight="1" spans="1:10">
      <c r="A298" s="65"/>
      <c r="B298" s="85"/>
      <c r="C298" s="65" t="s">
        <v>210</v>
      </c>
      <c r="D298" s="65">
        <v>31</v>
      </c>
      <c r="E298" s="65">
        <v>24</v>
      </c>
      <c r="F298" s="65">
        <v>744</v>
      </c>
      <c r="G298" s="65">
        <v>130</v>
      </c>
      <c r="H298" s="66">
        <v>0.174731182795699</v>
      </c>
      <c r="I298" s="66">
        <v>1</v>
      </c>
      <c r="J298" s="65" t="s">
        <v>273</v>
      </c>
    </row>
    <row r="299" customHeight="1" spans="1:10">
      <c r="A299" s="65"/>
      <c r="B299" s="81" t="s">
        <v>277</v>
      </c>
      <c r="C299" s="65" t="s">
        <v>211</v>
      </c>
      <c r="D299" s="65">
        <v>31</v>
      </c>
      <c r="E299" s="65">
        <v>24</v>
      </c>
      <c r="F299" s="65">
        <v>744</v>
      </c>
      <c r="G299" s="65">
        <v>42</v>
      </c>
      <c r="H299" s="66">
        <v>0.0564516129032258</v>
      </c>
      <c r="I299" s="66">
        <v>1</v>
      </c>
      <c r="J299" s="65" t="s">
        <v>273</v>
      </c>
    </row>
    <row r="300" customHeight="1" spans="1:10">
      <c r="A300" s="65"/>
      <c r="B300" s="83"/>
      <c r="C300" s="65" t="s">
        <v>212</v>
      </c>
      <c r="D300" s="65">
        <v>31</v>
      </c>
      <c r="E300" s="65">
        <v>24</v>
      </c>
      <c r="F300" s="65">
        <v>744</v>
      </c>
      <c r="G300" s="65">
        <v>128</v>
      </c>
      <c r="H300" s="66">
        <v>0.172043010752688</v>
      </c>
      <c r="I300" s="66">
        <v>1</v>
      </c>
      <c r="J300" s="65" t="s">
        <v>273</v>
      </c>
    </row>
    <row r="301" customHeight="1" spans="1:10">
      <c r="A301" s="65"/>
      <c r="B301" s="83"/>
      <c r="C301" s="65" t="s">
        <v>213</v>
      </c>
      <c r="D301" s="65">
        <v>31</v>
      </c>
      <c r="E301" s="65">
        <v>24</v>
      </c>
      <c r="F301" s="65">
        <v>744</v>
      </c>
      <c r="G301" s="65">
        <v>636</v>
      </c>
      <c r="H301" s="66">
        <v>0.854838709677419</v>
      </c>
      <c r="I301" s="66">
        <v>1</v>
      </c>
      <c r="J301" s="65" t="s">
        <v>273</v>
      </c>
    </row>
    <row r="302" customHeight="1" spans="1:10">
      <c r="A302" s="65"/>
      <c r="B302" s="83"/>
      <c r="C302" s="65" t="s">
        <v>214</v>
      </c>
      <c r="D302" s="65">
        <v>31</v>
      </c>
      <c r="E302" s="65">
        <v>24</v>
      </c>
      <c r="F302" s="65">
        <v>744</v>
      </c>
      <c r="G302" s="65">
        <v>706</v>
      </c>
      <c r="H302" s="66">
        <v>0.948924731182796</v>
      </c>
      <c r="I302" s="66">
        <v>1</v>
      </c>
      <c r="J302" s="65" t="s">
        <v>273</v>
      </c>
    </row>
    <row r="303" customHeight="1" spans="1:10">
      <c r="A303" s="65"/>
      <c r="B303" s="5" t="s">
        <v>278</v>
      </c>
      <c r="C303" s="65" t="s">
        <v>191</v>
      </c>
      <c r="D303" s="65">
        <v>31</v>
      </c>
      <c r="E303" s="65">
        <v>24</v>
      </c>
      <c r="F303" s="65">
        <v>744</v>
      </c>
      <c r="G303" s="65">
        <v>0</v>
      </c>
      <c r="H303" s="66">
        <v>0</v>
      </c>
      <c r="I303" s="66">
        <v>1</v>
      </c>
      <c r="J303" s="65" t="s">
        <v>279</v>
      </c>
    </row>
    <row r="304" customHeight="1" spans="1:10">
      <c r="A304" s="65"/>
      <c r="B304" s="5"/>
      <c r="C304" s="65" t="s">
        <v>193</v>
      </c>
      <c r="D304" s="65">
        <v>31</v>
      </c>
      <c r="E304" s="65">
        <v>24</v>
      </c>
      <c r="F304" s="65">
        <v>744</v>
      </c>
      <c r="G304" s="65">
        <v>712</v>
      </c>
      <c r="H304" s="66">
        <v>0.956989247311828</v>
      </c>
      <c r="I304" s="66">
        <v>1</v>
      </c>
      <c r="J304" s="65" t="s">
        <v>279</v>
      </c>
    </row>
    <row r="305" customHeight="1" spans="1:10">
      <c r="A305" s="65"/>
      <c r="B305" s="5"/>
      <c r="C305" s="65" t="s">
        <v>197</v>
      </c>
      <c r="D305" s="65">
        <v>31</v>
      </c>
      <c r="E305" s="65">
        <v>24</v>
      </c>
      <c r="F305" s="65">
        <v>744</v>
      </c>
      <c r="G305" s="65">
        <v>0</v>
      </c>
      <c r="H305" s="66">
        <v>0</v>
      </c>
      <c r="I305" s="66">
        <v>1</v>
      </c>
      <c r="J305" s="65" t="s">
        <v>279</v>
      </c>
    </row>
    <row r="306" customHeight="1" spans="1:10">
      <c r="A306" s="64" t="s">
        <v>280</v>
      </c>
      <c r="B306" s="65" t="s">
        <v>281</v>
      </c>
      <c r="C306" s="65" t="s">
        <v>191</v>
      </c>
      <c r="D306" s="65">
        <v>31</v>
      </c>
      <c r="E306" s="65">
        <v>24</v>
      </c>
      <c r="F306" s="65">
        <v>744</v>
      </c>
      <c r="G306" s="65">
        <v>720</v>
      </c>
      <c r="H306" s="66">
        <v>0.967741935483871</v>
      </c>
      <c r="I306" s="66">
        <v>1</v>
      </c>
      <c r="J306" s="65" t="s">
        <v>282</v>
      </c>
    </row>
    <row r="307" customHeight="1" spans="1:10">
      <c r="A307" s="65"/>
      <c r="B307" s="65"/>
      <c r="C307" s="65" t="s">
        <v>193</v>
      </c>
      <c r="D307" s="65">
        <v>31</v>
      </c>
      <c r="E307" s="65">
        <v>24</v>
      </c>
      <c r="F307" s="65">
        <v>744</v>
      </c>
      <c r="G307" s="65">
        <v>744</v>
      </c>
      <c r="H307" s="66">
        <v>1</v>
      </c>
      <c r="I307" s="66">
        <v>1</v>
      </c>
      <c r="J307" s="65" t="s">
        <v>282</v>
      </c>
    </row>
    <row r="308" customHeight="1" spans="1:10">
      <c r="A308" s="65"/>
      <c r="B308" s="65" t="s">
        <v>283</v>
      </c>
      <c r="C308" s="65" t="s">
        <v>191</v>
      </c>
      <c r="D308" s="65">
        <v>31</v>
      </c>
      <c r="E308" s="65">
        <v>24</v>
      </c>
      <c r="F308" s="65">
        <v>744</v>
      </c>
      <c r="G308" s="65">
        <v>480</v>
      </c>
      <c r="H308" s="66">
        <v>0.645161290322581</v>
      </c>
      <c r="I308" s="66">
        <v>1</v>
      </c>
      <c r="J308" s="65"/>
    </row>
    <row r="309" customHeight="1" spans="1:10">
      <c r="A309" s="65"/>
      <c r="B309" s="65"/>
      <c r="C309" s="65" t="s">
        <v>193</v>
      </c>
      <c r="D309" s="65">
        <v>31</v>
      </c>
      <c r="E309" s="65">
        <v>24</v>
      </c>
      <c r="F309" s="65">
        <v>744</v>
      </c>
      <c r="G309" s="65">
        <v>0</v>
      </c>
      <c r="H309" s="66">
        <v>0</v>
      </c>
      <c r="I309" s="66">
        <v>1</v>
      </c>
      <c r="J309" s="65"/>
    </row>
    <row r="310" customHeight="1" spans="1:10">
      <c r="A310" s="65"/>
      <c r="B310" s="65"/>
      <c r="C310" s="65" t="s">
        <v>197</v>
      </c>
      <c r="D310" s="65">
        <v>31</v>
      </c>
      <c r="E310" s="65">
        <v>24</v>
      </c>
      <c r="F310" s="65">
        <v>744</v>
      </c>
      <c r="G310" s="65">
        <v>520</v>
      </c>
      <c r="H310" s="66">
        <v>0.698924731182796</v>
      </c>
      <c r="I310" s="66">
        <v>1</v>
      </c>
      <c r="J310" s="65"/>
    </row>
    <row r="311" ht="18" customHeight="1" spans="1:10">
      <c r="A311" s="65"/>
      <c r="B311" s="65" t="s">
        <v>284</v>
      </c>
      <c r="C311" s="65" t="s">
        <v>191</v>
      </c>
      <c r="D311" s="65">
        <v>31</v>
      </c>
      <c r="E311" s="65">
        <v>24</v>
      </c>
      <c r="F311" s="65">
        <v>744</v>
      </c>
      <c r="G311" s="65">
        <v>480</v>
      </c>
      <c r="H311" s="66">
        <v>0.645161290322581</v>
      </c>
      <c r="I311" s="66">
        <v>1</v>
      </c>
      <c r="J311" s="64" t="s">
        <v>285</v>
      </c>
    </row>
    <row r="312" ht="18" customHeight="1" spans="1:10">
      <c r="A312" s="65"/>
      <c r="B312" s="65"/>
      <c r="C312" s="65" t="s">
        <v>193</v>
      </c>
      <c r="D312" s="65">
        <v>31</v>
      </c>
      <c r="E312" s="65">
        <v>24</v>
      </c>
      <c r="F312" s="65">
        <v>744</v>
      </c>
      <c r="G312" s="65">
        <v>520</v>
      </c>
      <c r="H312" s="66">
        <v>0.698924731182796</v>
      </c>
      <c r="I312" s="66">
        <v>1</v>
      </c>
      <c r="J312" s="64" t="s">
        <v>285</v>
      </c>
    </row>
    <row r="313" ht="24" customHeight="1" spans="1:10">
      <c r="A313" s="67" t="s">
        <v>78</v>
      </c>
      <c r="B313" s="67"/>
      <c r="C313" s="15"/>
      <c r="D313" s="15"/>
      <c r="E313" s="68" t="s">
        <v>79</v>
      </c>
      <c r="F313" s="68"/>
      <c r="G313" s="69"/>
      <c r="H313" s="10" t="str">
        <f>H38</f>
        <v>制表时间：2023/9/5</v>
      </c>
      <c r="I313" s="10"/>
      <c r="J313" s="10"/>
    </row>
    <row r="314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67:J267"/>
    <mergeCell ref="A269:J269"/>
    <mergeCell ref="A270:J270"/>
    <mergeCell ref="H313:J313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6"/>
    <mergeCell ref="A271:A273"/>
    <mergeCell ref="A274:A290"/>
    <mergeCell ref="A291:A305"/>
    <mergeCell ref="A306:A312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0"/>
    <mergeCell ref="B251:B258"/>
    <mergeCell ref="B259:B261"/>
    <mergeCell ref="B262:B266"/>
    <mergeCell ref="B271:B273"/>
    <mergeCell ref="B274:B276"/>
    <mergeCell ref="B277:B284"/>
    <mergeCell ref="B285:B287"/>
    <mergeCell ref="B288:B290"/>
    <mergeCell ref="B291:B298"/>
    <mergeCell ref="B299:B302"/>
    <mergeCell ref="B303:B305"/>
    <mergeCell ref="B306:B307"/>
    <mergeCell ref="B308:B310"/>
    <mergeCell ref="B311:B312"/>
    <mergeCell ref="C3:C5"/>
    <mergeCell ref="C48:C50"/>
    <mergeCell ref="C93:C95"/>
    <mergeCell ref="C138:C140"/>
    <mergeCell ref="C183:C185"/>
    <mergeCell ref="C228:C230"/>
    <mergeCell ref="C271:C273"/>
    <mergeCell ref="D3:D4"/>
    <mergeCell ref="D48:D49"/>
    <mergeCell ref="D93:D94"/>
    <mergeCell ref="D138:D139"/>
    <mergeCell ref="D183:D184"/>
    <mergeCell ref="D228:D229"/>
    <mergeCell ref="D271:D272"/>
    <mergeCell ref="E3:E4"/>
    <mergeCell ref="E48:E49"/>
    <mergeCell ref="E93:E94"/>
    <mergeCell ref="E138:E139"/>
    <mergeCell ref="E183:E184"/>
    <mergeCell ref="E228:E229"/>
    <mergeCell ref="E271:E272"/>
    <mergeCell ref="F3:F4"/>
    <mergeCell ref="F48:F49"/>
    <mergeCell ref="F93:F94"/>
    <mergeCell ref="F138:F139"/>
    <mergeCell ref="F183:F184"/>
    <mergeCell ref="F228:F229"/>
    <mergeCell ref="F271:F272"/>
    <mergeCell ref="G3:G4"/>
    <mergeCell ref="G48:G49"/>
    <mergeCell ref="G93:G94"/>
    <mergeCell ref="G138:G139"/>
    <mergeCell ref="G183:G184"/>
    <mergeCell ref="G228:G229"/>
    <mergeCell ref="G271:G272"/>
    <mergeCell ref="H3:H4"/>
    <mergeCell ref="H48:H49"/>
    <mergeCell ref="H93:H94"/>
    <mergeCell ref="H138:H139"/>
    <mergeCell ref="H183:H184"/>
    <mergeCell ref="H228:H229"/>
    <mergeCell ref="H271:H272"/>
    <mergeCell ref="I3:I4"/>
    <mergeCell ref="I48:I49"/>
    <mergeCell ref="I93:I94"/>
    <mergeCell ref="I138:I139"/>
    <mergeCell ref="I183:I184"/>
    <mergeCell ref="I228:I229"/>
    <mergeCell ref="I271:I272"/>
    <mergeCell ref="J3:J5"/>
    <mergeCell ref="J48:J50"/>
    <mergeCell ref="J93:J95"/>
    <mergeCell ref="J138:J140"/>
    <mergeCell ref="J183:J185"/>
    <mergeCell ref="J228:J230"/>
    <mergeCell ref="J271:J273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11" workbookViewId="0">
      <selection activeCell="K30" sqref="K30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83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f>处理量!A2</f>
        <v>45139</v>
      </c>
      <c r="E2" s="33"/>
      <c r="F2" s="31"/>
    </row>
    <row r="3" ht="20.25" customHeight="1" spans="1:7">
      <c r="A3" s="34" t="s">
        <v>286</v>
      </c>
      <c r="B3" s="34" t="s">
        <v>177</v>
      </c>
      <c r="C3" s="34" t="s">
        <v>287</v>
      </c>
      <c r="D3" s="34" t="s">
        <v>288</v>
      </c>
      <c r="E3" s="34" t="s">
        <v>289</v>
      </c>
      <c r="F3" s="34" t="s">
        <v>290</v>
      </c>
      <c r="G3" s="35" t="s">
        <v>138</v>
      </c>
    </row>
    <row r="4" ht="22.5" spans="1:8">
      <c r="A4" s="36" t="s">
        <v>291</v>
      </c>
      <c r="B4" s="37" t="s">
        <v>292</v>
      </c>
      <c r="C4" s="37" t="s">
        <v>293</v>
      </c>
      <c r="D4" s="34" t="s">
        <v>294</v>
      </c>
      <c r="E4" s="34" t="s">
        <v>295</v>
      </c>
      <c r="F4" s="38" t="s">
        <v>296</v>
      </c>
      <c r="G4" s="39" t="s">
        <v>297</v>
      </c>
      <c r="H4" s="40"/>
    </row>
    <row r="5" ht="22.5" spans="1:7">
      <c r="A5" s="41"/>
      <c r="B5" s="37" t="s">
        <v>298</v>
      </c>
      <c r="C5" s="37" t="s">
        <v>293</v>
      </c>
      <c r="D5" s="34" t="s">
        <v>294</v>
      </c>
      <c r="E5" s="34" t="s">
        <v>295</v>
      </c>
      <c r="F5" s="34" t="s">
        <v>296</v>
      </c>
      <c r="G5" s="39" t="str">
        <f>G4</f>
        <v>2023-08-04 2023-08-11 2023-08-18 2023-08-25</v>
      </c>
    </row>
    <row r="6" ht="22.5" spans="1:7">
      <c r="A6" s="41"/>
      <c r="B6" s="37" t="s">
        <v>299</v>
      </c>
      <c r="C6" s="37" t="s">
        <v>293</v>
      </c>
      <c r="D6" s="34" t="s">
        <v>294</v>
      </c>
      <c r="E6" s="34" t="s">
        <v>295</v>
      </c>
      <c r="F6" s="34" t="s">
        <v>296</v>
      </c>
      <c r="G6" s="39" t="str">
        <f t="shared" ref="G6:G20" si="0">G5</f>
        <v>2023-08-04 2023-08-11 2023-08-18 2023-08-25</v>
      </c>
    </row>
    <row r="7" ht="22.5" spans="1:7">
      <c r="A7" s="42"/>
      <c r="B7" s="37" t="s">
        <v>300</v>
      </c>
      <c r="C7" s="37" t="s">
        <v>293</v>
      </c>
      <c r="D7" s="34" t="s">
        <v>294</v>
      </c>
      <c r="E7" s="34" t="s">
        <v>295</v>
      </c>
      <c r="F7" s="34" t="s">
        <v>296</v>
      </c>
      <c r="G7" s="39" t="str">
        <f t="shared" si="0"/>
        <v>2023-08-04 2023-08-11 2023-08-18 2023-08-25</v>
      </c>
    </row>
    <row r="8" ht="22.5" spans="1:7">
      <c r="A8" s="36" t="s">
        <v>301</v>
      </c>
      <c r="B8" s="37" t="s">
        <v>292</v>
      </c>
      <c r="C8" s="37" t="s">
        <v>302</v>
      </c>
      <c r="D8" s="34" t="s">
        <v>294</v>
      </c>
      <c r="E8" s="34" t="s">
        <v>295</v>
      </c>
      <c r="F8" s="34" t="s">
        <v>296</v>
      </c>
      <c r="G8" s="39" t="str">
        <f t="shared" si="0"/>
        <v>2023-08-04 2023-08-11 2023-08-18 2023-08-25</v>
      </c>
    </row>
    <row r="9" ht="22.5" spans="1:7">
      <c r="A9" s="41"/>
      <c r="B9" s="37" t="s">
        <v>298</v>
      </c>
      <c r="C9" s="37" t="s">
        <v>302</v>
      </c>
      <c r="D9" s="34" t="s">
        <v>294</v>
      </c>
      <c r="E9" s="34" t="s">
        <v>295</v>
      </c>
      <c r="F9" s="34" t="s">
        <v>296</v>
      </c>
      <c r="G9" s="39" t="str">
        <f t="shared" si="0"/>
        <v>2023-08-04 2023-08-11 2023-08-18 2023-08-25</v>
      </c>
    </row>
    <row r="10" ht="22.5" spans="1:7">
      <c r="A10" s="41"/>
      <c r="B10" s="37" t="s">
        <v>299</v>
      </c>
      <c r="C10" s="37" t="s">
        <v>302</v>
      </c>
      <c r="D10" s="34" t="s">
        <v>294</v>
      </c>
      <c r="E10" s="34" t="s">
        <v>295</v>
      </c>
      <c r="F10" s="34" t="s">
        <v>296</v>
      </c>
      <c r="G10" s="39" t="str">
        <f t="shared" si="0"/>
        <v>2023-08-04 2023-08-11 2023-08-18 2023-08-25</v>
      </c>
    </row>
    <row r="11" ht="22.5" spans="1:7">
      <c r="A11" s="42"/>
      <c r="B11" s="37" t="s">
        <v>300</v>
      </c>
      <c r="C11" s="37" t="s">
        <v>302</v>
      </c>
      <c r="D11" s="34" t="s">
        <v>294</v>
      </c>
      <c r="E11" s="34" t="s">
        <v>295</v>
      </c>
      <c r="F11" s="34" t="s">
        <v>296</v>
      </c>
      <c r="G11" s="39" t="str">
        <f t="shared" si="0"/>
        <v>2023-08-04 2023-08-11 2023-08-18 2023-08-25</v>
      </c>
    </row>
    <row r="12" ht="24" customHeight="1" spans="1:7">
      <c r="A12" s="37" t="s">
        <v>303</v>
      </c>
      <c r="B12" s="37" t="s">
        <v>191</v>
      </c>
      <c r="C12" s="34" t="s">
        <v>304</v>
      </c>
      <c r="D12" s="34" t="s">
        <v>305</v>
      </c>
      <c r="E12" s="34" t="s">
        <v>295</v>
      </c>
      <c r="F12" s="34" t="s">
        <v>306</v>
      </c>
      <c r="G12" s="39" t="str">
        <f t="shared" si="0"/>
        <v>2023-08-04 2023-08-11 2023-08-18 2023-08-25</v>
      </c>
    </row>
    <row r="13" ht="22.5" spans="1:7">
      <c r="A13" s="36" t="s">
        <v>307</v>
      </c>
      <c r="B13" s="37" t="s">
        <v>292</v>
      </c>
      <c r="C13" s="34" t="s">
        <v>308</v>
      </c>
      <c r="D13" s="34" t="s">
        <v>309</v>
      </c>
      <c r="E13" s="34" t="s">
        <v>295</v>
      </c>
      <c r="F13" s="34" t="s">
        <v>296</v>
      </c>
      <c r="G13" s="39" t="str">
        <f t="shared" si="0"/>
        <v>2023-08-04 2023-08-11 2023-08-18 2023-08-25</v>
      </c>
    </row>
    <row r="14" ht="22.5" spans="1:7">
      <c r="A14" s="41"/>
      <c r="B14" s="37" t="s">
        <v>298</v>
      </c>
      <c r="C14" s="34" t="s">
        <v>308</v>
      </c>
      <c r="D14" s="34" t="s">
        <v>309</v>
      </c>
      <c r="E14" s="34" t="s">
        <v>295</v>
      </c>
      <c r="F14" s="34" t="s">
        <v>296</v>
      </c>
      <c r="G14" s="39" t="str">
        <f t="shared" si="0"/>
        <v>2023-08-04 2023-08-11 2023-08-18 2023-08-25</v>
      </c>
    </row>
    <row r="15" ht="22.5" spans="1:7">
      <c r="A15" s="41"/>
      <c r="B15" s="37" t="s">
        <v>299</v>
      </c>
      <c r="C15" s="34" t="s">
        <v>308</v>
      </c>
      <c r="D15" s="34" t="s">
        <v>309</v>
      </c>
      <c r="E15" s="34" t="s">
        <v>295</v>
      </c>
      <c r="F15" s="34" t="s">
        <v>296</v>
      </c>
      <c r="G15" s="39" t="str">
        <f t="shared" si="0"/>
        <v>2023-08-04 2023-08-11 2023-08-18 2023-08-25</v>
      </c>
    </row>
    <row r="16" ht="22.5" spans="1:7">
      <c r="A16" s="42"/>
      <c r="B16" s="37" t="s">
        <v>300</v>
      </c>
      <c r="C16" s="34" t="s">
        <v>308</v>
      </c>
      <c r="D16" s="34" t="s">
        <v>309</v>
      </c>
      <c r="E16" s="34" t="s">
        <v>295</v>
      </c>
      <c r="F16" s="34" t="s">
        <v>296</v>
      </c>
      <c r="G16" s="39" t="str">
        <f t="shared" si="0"/>
        <v>2023-08-04 2023-08-11 2023-08-18 2023-08-25</v>
      </c>
    </row>
    <row r="17" ht="22.5" spans="1:7">
      <c r="A17" s="34" t="s">
        <v>310</v>
      </c>
      <c r="B17" s="37" t="s">
        <v>292</v>
      </c>
      <c r="C17" s="34" t="s">
        <v>311</v>
      </c>
      <c r="D17" s="34" t="s">
        <v>309</v>
      </c>
      <c r="E17" s="34" t="s">
        <v>295</v>
      </c>
      <c r="F17" s="34" t="s">
        <v>296</v>
      </c>
      <c r="G17" s="39" t="str">
        <f t="shared" si="0"/>
        <v>2023-08-04 2023-08-11 2023-08-18 2023-08-25</v>
      </c>
    </row>
    <row r="18" ht="22.5" spans="1:7">
      <c r="A18" s="34"/>
      <c r="B18" s="37" t="s">
        <v>298</v>
      </c>
      <c r="C18" s="37" t="s">
        <v>302</v>
      </c>
      <c r="D18" s="34" t="s">
        <v>309</v>
      </c>
      <c r="E18" s="34" t="s">
        <v>295</v>
      </c>
      <c r="F18" s="34" t="s">
        <v>296</v>
      </c>
      <c r="G18" s="39" t="str">
        <f t="shared" si="0"/>
        <v>2023-08-04 2023-08-11 2023-08-18 2023-08-25</v>
      </c>
    </row>
    <row r="19" ht="22.5" spans="1:7">
      <c r="A19" s="34"/>
      <c r="B19" s="37" t="s">
        <v>299</v>
      </c>
      <c r="C19" s="34" t="s">
        <v>311</v>
      </c>
      <c r="D19" s="34" t="s">
        <v>309</v>
      </c>
      <c r="E19" s="34" t="s">
        <v>295</v>
      </c>
      <c r="F19" s="34" t="s">
        <v>296</v>
      </c>
      <c r="G19" s="39" t="str">
        <f t="shared" si="0"/>
        <v>2023-08-04 2023-08-11 2023-08-18 2023-08-25</v>
      </c>
    </row>
    <row r="20" ht="22.5" spans="1:7">
      <c r="A20" s="34"/>
      <c r="B20" s="37" t="s">
        <v>300</v>
      </c>
      <c r="C20" s="37" t="s">
        <v>302</v>
      </c>
      <c r="D20" s="34" t="s">
        <v>309</v>
      </c>
      <c r="E20" s="34" t="s">
        <v>295</v>
      </c>
      <c r="F20" s="34" t="s">
        <v>296</v>
      </c>
      <c r="G20" s="39" t="str">
        <f t="shared" si="0"/>
        <v>2023-08-04 2023-08-11 2023-08-18 2023-08-25</v>
      </c>
    </row>
    <row r="21" ht="20.25" customHeight="1" spans="1:7">
      <c r="A21" s="43" t="s">
        <v>78</v>
      </c>
      <c r="B21" s="43"/>
      <c r="C21" s="43"/>
      <c r="D21" s="43" t="s">
        <v>79</v>
      </c>
      <c r="E21" s="43"/>
      <c r="F21" s="43" t="s">
        <v>312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83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45139</v>
      </c>
      <c r="E26" s="50"/>
      <c r="F26" s="31"/>
    </row>
    <row r="27" ht="18.75" customHeight="1" spans="1:7">
      <c r="A27" s="34" t="s">
        <v>286</v>
      </c>
      <c r="B27" s="34" t="s">
        <v>177</v>
      </c>
      <c r="C27" s="34" t="s">
        <v>287</v>
      </c>
      <c r="D27" s="34" t="s">
        <v>288</v>
      </c>
      <c r="E27" s="34" t="s">
        <v>289</v>
      </c>
      <c r="F27" s="34" t="s">
        <v>290</v>
      </c>
      <c r="G27" s="34" t="s">
        <v>138</v>
      </c>
    </row>
    <row r="28" ht="19.5" customHeight="1" spans="1:7">
      <c r="A28" s="34" t="s">
        <v>313</v>
      </c>
      <c r="B28" s="51" t="s">
        <v>292</v>
      </c>
      <c r="C28" s="51" t="s">
        <v>302</v>
      </c>
      <c r="D28" s="34" t="s">
        <v>294</v>
      </c>
      <c r="E28" s="37" t="s">
        <v>295</v>
      </c>
      <c r="F28" s="34" t="s">
        <v>306</v>
      </c>
      <c r="G28" s="52">
        <v>45155</v>
      </c>
    </row>
    <row r="29" ht="19.5" customHeight="1" spans="1:7">
      <c r="A29" s="34"/>
      <c r="B29" s="51" t="s">
        <v>300</v>
      </c>
      <c r="C29" s="51" t="s">
        <v>302</v>
      </c>
      <c r="D29" s="34" t="s">
        <v>294</v>
      </c>
      <c r="E29" s="37" t="s">
        <v>295</v>
      </c>
      <c r="F29" s="34" t="s">
        <v>306</v>
      </c>
      <c r="G29" s="52">
        <f>G28</f>
        <v>45155</v>
      </c>
    </row>
    <row r="30" ht="19.5" customHeight="1" spans="1:7">
      <c r="A30" s="34" t="s">
        <v>314</v>
      </c>
      <c r="B30" s="51" t="s">
        <v>292</v>
      </c>
      <c r="C30" s="37" t="s">
        <v>304</v>
      </c>
      <c r="D30" s="34" t="s">
        <v>309</v>
      </c>
      <c r="E30" s="37" t="s">
        <v>295</v>
      </c>
      <c r="F30" s="34" t="s">
        <v>306</v>
      </c>
      <c r="G30" s="52">
        <f>G29</f>
        <v>45155</v>
      </c>
    </row>
    <row r="31" ht="19.5" customHeight="1" spans="1:7">
      <c r="A31" s="34"/>
      <c r="B31" s="51" t="s">
        <v>300</v>
      </c>
      <c r="C31" s="37" t="s">
        <v>304</v>
      </c>
      <c r="D31" s="34" t="s">
        <v>309</v>
      </c>
      <c r="E31" s="37" t="s">
        <v>295</v>
      </c>
      <c r="F31" s="34" t="s">
        <v>306</v>
      </c>
      <c r="G31" s="52">
        <f>G30</f>
        <v>45155</v>
      </c>
    </row>
    <row r="32" ht="20.25" customHeight="1" spans="1:7">
      <c r="A32" s="43" t="s">
        <v>78</v>
      </c>
      <c r="B32" s="43"/>
      <c r="C32" s="43"/>
      <c r="D32" s="43" t="s">
        <v>79</v>
      </c>
      <c r="E32" s="43"/>
      <c r="F32" s="43" t="str">
        <f>F21</f>
        <v>制表日期：2023/9/5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Q7" sqref="Q7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315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316</v>
      </c>
      <c r="B3" s="5"/>
      <c r="C3" s="5"/>
      <c r="D3" s="5"/>
      <c r="E3" s="5" t="s">
        <v>317</v>
      </c>
      <c r="F3" s="5"/>
      <c r="G3" s="5"/>
      <c r="H3" s="5"/>
      <c r="I3" s="3"/>
    </row>
    <row r="4" customHeight="1" spans="1:9">
      <c r="A4" s="5" t="s">
        <v>318</v>
      </c>
      <c r="B4" s="5"/>
      <c r="C4" s="5"/>
      <c r="D4" s="5"/>
      <c r="E4" s="5" t="s">
        <v>319</v>
      </c>
      <c r="F4" s="5"/>
      <c r="G4" s="5" t="s">
        <v>320</v>
      </c>
      <c r="H4" s="5"/>
      <c r="I4" s="25"/>
    </row>
    <row r="5" customHeight="1" spans="1:8">
      <c r="A5" s="5" t="s">
        <v>321</v>
      </c>
      <c r="B5" s="5" t="s">
        <v>322</v>
      </c>
      <c r="C5" s="5" t="s">
        <v>323</v>
      </c>
      <c r="D5" s="5" t="s">
        <v>324</v>
      </c>
      <c r="E5" s="5" t="s">
        <v>321</v>
      </c>
      <c r="F5" s="5" t="s">
        <v>322</v>
      </c>
      <c r="G5" s="5" t="s">
        <v>321</v>
      </c>
      <c r="H5" s="5" t="s">
        <v>324</v>
      </c>
    </row>
    <row r="6" customHeight="1" spans="1:15">
      <c r="A6" s="6" t="s">
        <v>325</v>
      </c>
      <c r="B6" s="7">
        <v>0.98</v>
      </c>
      <c r="C6" s="7">
        <v>8.32</v>
      </c>
      <c r="D6" s="7">
        <v>3.52</v>
      </c>
      <c r="E6" s="6" t="s">
        <v>325</v>
      </c>
      <c r="F6" s="7">
        <v>7.24</v>
      </c>
      <c r="G6" s="6" t="s">
        <v>325</v>
      </c>
      <c r="H6" s="7">
        <v>2.03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326</v>
      </c>
      <c r="B7" s="7">
        <v>2.95</v>
      </c>
      <c r="C7" s="7">
        <v>5.11</v>
      </c>
      <c r="D7" s="7">
        <v>2.41</v>
      </c>
      <c r="E7" s="6" t="s">
        <v>326</v>
      </c>
      <c r="F7" s="7">
        <v>6.81</v>
      </c>
      <c r="G7" s="6" t="s">
        <v>327</v>
      </c>
      <c r="H7" s="7">
        <v>2.53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327</v>
      </c>
      <c r="B8" s="7">
        <v>5.84</v>
      </c>
      <c r="C8" s="7">
        <v>3.24</v>
      </c>
      <c r="D8" s="7">
        <v>1.53</v>
      </c>
      <c r="E8" s="6" t="s">
        <v>327</v>
      </c>
      <c r="F8" s="7">
        <v>4.21</v>
      </c>
      <c r="G8" s="6" t="s">
        <v>328</v>
      </c>
      <c r="H8" s="7">
        <v>3.41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328</v>
      </c>
      <c r="B9" s="7">
        <v>8.81</v>
      </c>
      <c r="C9" s="7">
        <v>1.11</v>
      </c>
      <c r="D9" s="7">
        <v>1.08</v>
      </c>
      <c r="E9" s="6" t="s">
        <v>329</v>
      </c>
      <c r="F9" s="7">
        <v>2.23</v>
      </c>
      <c r="G9" s="6" t="s">
        <v>330</v>
      </c>
      <c r="H9" s="7">
        <v>4.12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331</v>
      </c>
      <c r="B10" s="9">
        <v>4228</v>
      </c>
      <c r="C10" s="10"/>
      <c r="D10" s="11"/>
      <c r="E10" s="6" t="s">
        <v>328</v>
      </c>
      <c r="F10" s="7">
        <v>1.53</v>
      </c>
      <c r="G10" s="5" t="s">
        <v>331</v>
      </c>
      <c r="H10" s="12">
        <v>4346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330</v>
      </c>
      <c r="F11" s="7">
        <v>1.02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331</v>
      </c>
      <c r="F12" s="5">
        <v>4024</v>
      </c>
      <c r="G12" s="5"/>
      <c r="H12" s="22"/>
      <c r="M12" s="26"/>
    </row>
    <row r="13" s="1" customFormat="1" customHeight="1" spans="1:14">
      <c r="A13" s="23" t="s">
        <v>78</v>
      </c>
      <c r="B13" s="23"/>
      <c r="C13" s="23"/>
      <c r="D13" s="23" t="s">
        <v>79</v>
      </c>
      <c r="E13" s="24"/>
      <c r="F13" s="24"/>
      <c r="G13" s="23" t="s">
        <v>312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朱铖</cp:lastModifiedBy>
  <cp:revision>1</cp:revision>
  <dcterms:created xsi:type="dcterms:W3CDTF">1996-12-17T01:32:00Z</dcterms:created>
  <cp:lastPrinted>2018-05-07T02:15:00Z</cp:lastPrinted>
  <dcterms:modified xsi:type="dcterms:W3CDTF">2023-09-14T03:39:00Z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2052-11.8.2.11718</vt:lpwstr>
  </property>
  <property fmtid="{D5CDD505-2E9C-101B-9397-08002B2CF9AE}" pid="3" name="ICV">
    <vt:lpwstr>AC0587F76FD54565A1D1EFF08F6CA2B5</vt:lpwstr>
  </property>
</Properties>
</file>