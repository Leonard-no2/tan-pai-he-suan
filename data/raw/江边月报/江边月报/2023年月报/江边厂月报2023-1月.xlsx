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45" windowHeight="12195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definedNames>
    <definedName name="_xlnm.Print_Area" localSheetId="0">处理量!$A$1:$R$38</definedName>
    <definedName name="_xlnm.Print_Area" localSheetId="1">汇总!$A$1:$M$21</definedName>
    <definedName name="_xlnm.Print_Area" localSheetId="2">进出水!$A$1:$U$39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<sst xmlns="http://schemas.openxmlformats.org/spreadsheetml/2006/main" count="969" uniqueCount="321">
  <si>
    <t>常州市深水江边污水处理有限公司污水处理运行月报表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</si>
  <si>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</si>
  <si>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</si>
  <si>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</si>
  <si>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 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</si>
  <si>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</si>
  <si>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</si>
  <si>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</si>
  <si>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</si>
  <si>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</si>
  <si>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</si>
  <si>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</si>
  <si>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</si>
  <si>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</si>
  <si>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</si>
  <si>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</si>
  <si>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</si>
  <si>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</si>
  <si>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</si>
  <si>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</si>
  <si>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最新时间</t>
  </si>
  <si>
    <t>PAC</t>
  </si>
  <si>
    <t>PAM阳</t>
  </si>
  <si>
    <t>PAM阴</t>
  </si>
  <si>
    <t>HCL</t>
  </si>
  <si>
    <t>NACLO3</t>
  </si>
  <si>
    <t>合计</t>
  </si>
  <si>
    <t>干泥量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</si>
  <si>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</si>
  <si>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</si>
  <si>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</si>
  <si>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</si>
  <si>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</si>
  <si>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</si>
  <si>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</si>
  <si>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</si>
  <si>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</si>
  <si>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</si>
  <si>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</si>
  <si>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</si>
  <si>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阴</t>
  </si>
  <si>
    <t>聚丙烯酰阳离子</t>
  </si>
  <si>
    <t>聚丙烯酰阴离子</t>
  </si>
  <si>
    <t>晴</t>
  </si>
  <si>
    <t>工业盐酸</t>
  </si>
  <si>
    <t>工业氯酸钠</t>
  </si>
  <si>
    <t>混凝药剂</t>
  </si>
  <si>
    <t>污泥外运</t>
  </si>
  <si>
    <t>计算见下表</t>
  </si>
  <si>
    <t>自来水</t>
  </si>
  <si>
    <t>总药剂</t>
  </si>
  <si>
    <t>除磷药剂</t>
  </si>
  <si>
    <t>总泥量</t>
  </si>
  <si>
    <t>英科（吨）</t>
  </si>
  <si>
    <t>国电（吨）</t>
  </si>
  <si>
    <t>外运（吨）</t>
  </si>
  <si>
    <t>江边费用</t>
  </si>
  <si>
    <t>雨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</si>
  <si>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</si>
  <si>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</si>
  <si>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</si>
  <si>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</si>
  <si>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</si>
  <si>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</si>
  <si>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</si>
  <si>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</si>
  <si>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</si>
  <si>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</si>
  <si>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</si>
  <si>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</si>
  <si>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</si>
  <si>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</si>
  <si>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</si>
  <si>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</si>
  <si>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</si>
  <si>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</si>
  <si>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</si>
  <si>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</si>
  <si>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</si>
  <si>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</si>
  <si>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</si>
  <si>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</si>
  <si>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</si>
  <si>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</si>
  <si>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</si>
  <si>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</si>
  <si>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</si>
  <si>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</si>
  <si>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</si>
  <si>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</si>
  <si>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</si>
  <si>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</si>
  <si>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</si>
  <si>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</si>
  <si>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</si>
  <si>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</si>
  <si>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</si>
  <si>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</si>
  <si>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</si>
  <si>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</si>
  <si>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</si>
  <si>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</si>
  <si>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</si>
  <si>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</si>
  <si>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</si>
  <si>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</si>
  <si>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</si>
  <si>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</si>
  <si>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</si>
  <si>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</si>
  <si>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</si>
  <si>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</si>
  <si>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</si>
  <si>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</si>
  <si>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</si>
  <si>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</si>
  <si>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</si>
  <si>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</si>
  <si>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</si>
  <si>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</si>
  <si>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</si>
  <si>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</si>
  <si>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</si>
  <si>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</si>
  <si>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</si>
  <si>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</si>
  <si>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</si>
  <si>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</si>
  <si>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</si>
  <si>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</si>
  <si>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</si>
  <si>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>本月产生泥饼2433.32吨，其中运往常州市英科环境科技有限公司1461.04吨，国电常州发电有限公司972.28吨。</t>
  </si>
  <si>
    <t>审核：                                               制表：                               制表日期：2023/2/2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</si>
  <si>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</si>
  <si>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</si>
  <si>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</si>
  <si>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</si>
  <si>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</si>
  <si>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</si>
  <si>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</si>
  <si>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</si>
  <si>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</si>
  <si>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</si>
  <si>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</si>
  <si>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</si>
  <si>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</si>
  <si>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</si>
  <si>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&lt;16</t>
  </si>
  <si>
    <t>制表时间：2023/2/6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</si>
  <si>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</si>
  <si>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</si>
  <si>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</si>
  <si>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</si>
  <si>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</si>
  <si>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</si>
  <si>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</si>
  <si>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</si>
  <si>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</si>
  <si>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</si>
  <si>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</si>
  <si>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</si>
  <si>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</si>
  <si>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</si>
  <si>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</si>
  <si>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</si>
  <si>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</si>
  <si>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</si>
  <si>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</si>
  <si>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</si>
  <si>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</si>
  <si>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</si>
  <si>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</si>
  <si>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</si>
  <si>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</si>
  <si>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（h/d）</t>
  </si>
  <si>
    <t>（h）</t>
  </si>
  <si>
    <t>%</t>
  </si>
  <si>
    <t>预
处
理</t>
  </si>
  <si>
    <t>粗格栅机</t>
  </si>
  <si>
    <t>1#</t>
  </si>
  <si>
    <t>2#</t>
  </si>
  <si>
    <t>螺旋输送机</t>
  </si>
  <si>
    <t>螺旋压榨机</t>
  </si>
  <si>
    <t>进水泵</t>
  </si>
  <si>
    <t>18日吊出检修</t>
  </si>
  <si>
    <t>3#</t>
  </si>
  <si>
    <t>4#</t>
  </si>
  <si>
    <t>5#</t>
  </si>
  <si>
    <t>细格栅机</t>
  </si>
  <si>
    <t>19日加油保养</t>
  </si>
  <si>
    <t>19日加油保养、30日更换保险螺丝</t>
  </si>
  <si>
    <t>6#</t>
  </si>
  <si>
    <t>搅拌机</t>
  </si>
  <si>
    <t>砂水分离机</t>
  </si>
  <si>
    <t>高压鼓风机</t>
  </si>
  <si>
    <t>4日进风滤网更换</t>
  </si>
  <si>
    <t>10日进风滤网更换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</si>
  <si>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</si>
  <si>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</si>
  <si>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</si>
  <si>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</si>
  <si>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</si>
  <si>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</si>
  <si>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</si>
  <si>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</si>
  <si>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</si>
  <si>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</si>
  <si>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</si>
  <si>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</si>
  <si>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</si>
  <si>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</si>
  <si>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</si>
  <si>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</si>
  <si>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</si>
  <si>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</si>
  <si>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</si>
  <si>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</si>
  <si>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</si>
  <si>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</si>
  <si>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</si>
  <si>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</si>
  <si>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</si>
  <si>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</si>
  <si>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</si>
  <si>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</si>
  <si>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</si>
  <si>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</si>
  <si>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</si>
  <si>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</si>
  <si>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</si>
  <si>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</si>
  <si>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</si>
  <si>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</si>
  <si>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</si>
  <si>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</si>
  <si>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</si>
  <si>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一期
厌、缺
、好氧
区搅拌
器</t>
  </si>
  <si>
    <t>二沉池
刮吸泥机</t>
  </si>
  <si>
    <t>剩余
污泥泵</t>
  </si>
  <si>
    <t>外回
流泵</t>
  </si>
  <si>
    <t>内回
流泵</t>
  </si>
  <si>
    <t>二
期
二
级
处
理</t>
  </si>
  <si>
    <t>二
期
厌
、
缺
、
好
氧
区
搅
拌
器</t>
  </si>
  <si>
    <t>深
度
处
理</t>
  </si>
  <si>
    <t>三次
提升泵</t>
  </si>
  <si>
    <t>高沉
刮泥机</t>
  </si>
  <si>
    <t>20日加油保养</t>
  </si>
  <si>
    <t>高沉池
絮凝搅拌器</t>
  </si>
  <si>
    <t>高沉池
混凝搅拌器</t>
  </si>
  <si>
    <t>高沉池
剩余污泥泵</t>
  </si>
  <si>
    <t>PAC
投加泵</t>
  </si>
  <si>
    <t>PAM
投加泵</t>
  </si>
  <si>
    <t>提标
空压机</t>
  </si>
  <si>
    <t>12日加油保养</t>
  </si>
  <si>
    <t>12日更换回油管、12日加油保养</t>
  </si>
  <si>
    <t>V型滤池
（南）</t>
  </si>
  <si>
    <t>10日更换气管</t>
  </si>
  <si>
    <t>V型滤池
（北）</t>
  </si>
  <si>
    <t>15日更换进水阀电磁阀</t>
  </si>
  <si>
    <t>13日更换液位计</t>
  </si>
  <si>
    <t>反冲洗泵</t>
  </si>
  <si>
    <t>反冲洗风机</t>
  </si>
  <si>
    <t>5日软启动器修理、12日加油保养</t>
  </si>
  <si>
    <t>二
氧
化
氯
发
生
器
房</t>
  </si>
  <si>
    <t>欧泰华
二氧化氯
发生器</t>
  </si>
  <si>
    <t>16日更换加热管</t>
  </si>
  <si>
    <t>山大华特
二氧化氯
发生器</t>
  </si>
  <si>
    <t>16日更换温控探头</t>
  </si>
  <si>
    <t>增压水泵</t>
  </si>
  <si>
    <t>脱
水
机
房</t>
  </si>
  <si>
    <t>浓缩池刮泥机</t>
  </si>
  <si>
    <t>4日中心柱加油</t>
  </si>
  <si>
    <t>进泥泵</t>
  </si>
  <si>
    <t>脱水离心机</t>
  </si>
  <si>
    <t>3-6日干泥泵定转子更换、17日加油保养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</si>
  <si>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</si>
  <si>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</si>
  <si>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</si>
  <si>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</si>
  <si>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</si>
  <si>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</si>
  <si>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</si>
  <si>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美商生化</t>
    </r>
    <r>
      <rPr>
        <sz val="10"/>
        <rFont val="宋体"/>
        <charset val="134"/>
      </rPr>
      <t>T-10</t>
    </r>
  </si>
  <si>
    <t>一期生反池</t>
  </si>
  <si>
    <t>正常</t>
  </si>
  <si>
    <t>校准</t>
  </si>
  <si>
    <t>2023-01-02 2023-01-09 2023-01-16 2023-01-30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</si>
  <si>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</si>
  <si>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</si>
  <si>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</si>
  <si>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</si>
  <si>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</si>
  <si>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</si>
  <si>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</si>
  <si>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</si>
  <si>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</si>
  <si>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</si>
  <si>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</si>
  <si>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</si>
  <si>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</si>
  <si>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TXPRO-2</t>
    </r>
  </si>
  <si>
    <t>制表日期：2023/2/6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</si>
  <si>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</si>
  <si>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</si>
  <si>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</si>
  <si>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采样地点：一期南</t>
  </si>
  <si>
    <t>采样时间：2023-1-11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</si>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</sst>
</file>

<file path=xl/styles.xml><?xml version="1.0" encoding="utf-8"?>
<styleSheet xmlns="http://schemas.openxmlformats.org/spreadsheetml/2006/main">
  <numFmts count="28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0;_鰀"/>
    <numFmt numFmtId="177" formatCode="0_);[Red]\(0\)"/>
    <numFmt numFmtId="178" formatCode="0.00_);[Red]\(0.00\)"/>
    <numFmt numFmtId="179" formatCode="0_ "/>
    <numFmt numFmtId="180" formatCode="0.00;[Red]0.00"/>
    <numFmt numFmtId="181" formatCode="#,##0.00_ "/>
    <numFmt numFmtId="182" formatCode="yyyy/m/d;@"/>
    <numFmt numFmtId="183" formatCode="0.0_);[Red]\(0.0\)"/>
    <numFmt numFmtId="184" formatCode="0.000;_鰀"/>
    <numFmt numFmtId="185" formatCode="0.0;_ﰀ"/>
    <numFmt numFmtId="186" formatCode="yyyy&quot;年&quot;m&quot;月&quot;;@"/>
    <numFmt numFmtId="187" formatCode="0;[Red]0"/>
    <numFmt numFmtId="188" formatCode="0.0%"/>
    <numFmt numFmtId="189" formatCode="0.0_ "/>
    <numFmt numFmtId="190" formatCode="0.000_ "/>
    <numFmt numFmtId="191" formatCode="0.00_ "/>
    <numFmt numFmtId="192" formatCode="0.0_);\(0.0\)"/>
    <numFmt numFmtId="193" formatCode="0.0;[Red]0.0"/>
    <numFmt numFmtId="194" formatCode="0;_鰀"/>
    <numFmt numFmtId="195" formatCode="0;_䠀"/>
    <numFmt numFmtId="196" formatCode="0;_ﰀ"/>
    <numFmt numFmtId="197" formatCode="0.00;_ﰀ"/>
    <numFmt numFmtId="198" formatCode="0.000_);[Red]\(0.000\)"/>
    <numFmt numFmtId="199" formatCode="0.0000_);[Red]\(0.0000\)"/>
  </numFmts>
  <fonts count="56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9"/>
      <name val="文鼎CS中等线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9"/>
      <name val="宋体"/>
      <charset val="134"/>
    </font>
    <font>
      <u/>
      <sz val="12"/>
      <color indexed="36"/>
      <name val="宋体"/>
      <charset val="134"/>
    </font>
    <font>
      <sz val="11"/>
      <color indexed="20"/>
      <name val="宋体"/>
      <charset val="134"/>
    </font>
    <font>
      <b/>
      <sz val="11"/>
      <color indexed="56"/>
      <name val="宋体"/>
      <charset val="134"/>
    </font>
    <font>
      <sz val="11"/>
      <color indexed="52"/>
      <name val="宋体"/>
      <charset val="134"/>
    </font>
    <font>
      <sz val="11"/>
      <color indexed="8"/>
      <name val="宋体"/>
      <charset val="134"/>
    </font>
    <font>
      <b/>
      <sz val="11"/>
      <color indexed="9"/>
      <name val="宋体"/>
      <charset val="134"/>
    </font>
    <font>
      <b/>
      <sz val="18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52"/>
      <name val="宋体"/>
      <charset val="134"/>
    </font>
    <font>
      <b/>
      <sz val="15"/>
      <color indexed="56"/>
      <name val="宋体"/>
      <charset val="134"/>
    </font>
    <font>
      <b/>
      <sz val="11"/>
      <color indexed="8"/>
      <name val="宋体"/>
      <charset val="134"/>
    </font>
    <font>
      <u/>
      <sz val="12"/>
      <color indexed="12"/>
      <name val="宋体"/>
      <charset val="134"/>
    </font>
    <font>
      <sz val="11"/>
      <color indexed="60"/>
      <name val="宋体"/>
      <charset val="134"/>
    </font>
    <font>
      <b/>
      <sz val="13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17"/>
      <name val="宋体"/>
      <charset val="134"/>
    </font>
    <font>
      <b/>
      <sz val="11"/>
      <color indexed="63"/>
      <name val="宋体"/>
      <charset val="134"/>
    </font>
    <font>
      <sz val="11"/>
      <color indexed="10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620">
    <xf numFmtId="0" fontId="0" fillId="0" borderId="0"/>
    <xf numFmtId="42" fontId="0" fillId="0" borderId="0" applyFont="0" applyFill="0" applyBorder="0" applyAlignment="0" applyProtection="0"/>
    <xf numFmtId="0" fontId="33" fillId="20" borderId="0" applyNumberFormat="0" applyBorder="0" applyAlignment="0" applyProtection="0">
      <alignment vertical="center"/>
    </xf>
    <xf numFmtId="0" fontId="41" fillId="12" borderId="22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44" fontId="0" fillId="0" borderId="0" applyFont="0" applyFill="0" applyBorder="0" applyAlignment="0" applyProtection="0"/>
    <xf numFmtId="9" fontId="38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5" fillId="6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14" borderId="22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3" fillId="2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38" fillId="22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0" fillId="10" borderId="21" applyNumberFormat="0" applyFont="0" applyAlignment="0" applyProtection="0">
      <alignment vertical="center"/>
    </xf>
    <xf numFmtId="0" fontId="38" fillId="0" borderId="0">
      <alignment vertical="center"/>
    </xf>
    <xf numFmtId="0" fontId="38" fillId="11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42" fillId="14" borderId="22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10" borderId="21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42" fillId="14" borderId="22" applyNumberFormat="0" applyAlignment="0" applyProtection="0">
      <alignment vertical="center"/>
    </xf>
    <xf numFmtId="0" fontId="38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2" fillId="14" borderId="22" applyNumberFormat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50" fillId="14" borderId="27" applyNumberFormat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42" fillId="14" borderId="22" applyNumberForma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42" fillId="14" borderId="22" applyNumberFormat="0" applyAlignment="0" applyProtection="0">
      <alignment vertical="center"/>
    </xf>
    <xf numFmtId="0" fontId="39" fillId="8" borderId="20" applyNumberFormat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9" fillId="8" borderId="20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50" fillId="14" borderId="27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42" fillId="14" borderId="22" applyNumberForma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42" fillId="14" borderId="22" applyNumberFormat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2" fillId="14" borderId="22" applyNumberFormat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11" borderId="0" applyNumberFormat="0" applyBorder="0" applyAlignment="0" applyProtection="0">
      <alignment vertical="center"/>
    </xf>
    <xf numFmtId="0" fontId="50" fillId="14" borderId="27" applyNumberFormat="0" applyAlignment="0" applyProtection="0">
      <alignment vertical="center"/>
    </xf>
    <xf numFmtId="0" fontId="38" fillId="0" borderId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0" borderId="0">
      <alignment vertical="center"/>
    </xf>
    <xf numFmtId="0" fontId="33" fillId="9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0" fillId="10" borderId="21" applyNumberFormat="0" applyFont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42" fillId="14" borderId="22" applyNumberFormat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42" fillId="14" borderId="22" applyNumberFormat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42" fillId="14" borderId="22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42" fillId="14" borderId="22" applyNumberFormat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8" borderId="20" applyNumberFormat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8" borderId="20" applyNumberFormat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8" borderId="20" applyNumberFormat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8" borderId="20" applyNumberFormat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0" fillId="0" borderId="0"/>
    <xf numFmtId="0" fontId="38" fillId="24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2" fillId="14" borderId="22" applyNumberFormat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4" borderId="0">
      <alignment vertical="top"/>
      <protection locked="0"/>
    </xf>
    <xf numFmtId="0" fontId="38" fillId="24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2" fillId="14" borderId="22" applyNumberFormat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39" fillId="8" borderId="20" applyNumberFormat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0" fillId="0" borderId="0"/>
    <xf numFmtId="0" fontId="33" fillId="1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5" borderId="0">
      <alignment vertical="top"/>
      <protection locked="0"/>
    </xf>
    <xf numFmtId="0" fontId="33" fillId="5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42" fillId="14" borderId="22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42" fillId="14" borderId="22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8" fillId="0" borderId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8" fillId="0" borderId="0">
      <alignment vertical="center"/>
    </xf>
    <xf numFmtId="0" fontId="33" fillId="9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0" fillId="10" borderId="21" applyNumberFormat="0" applyFont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43" fontId="38" fillId="0" borderId="0" applyFont="0" applyFill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41" fillId="12" borderId="22" applyNumberFormat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9" fillId="8" borderId="20" applyNumberFormat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9" fontId="3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38" fillId="0" borderId="0">
      <alignment vertical="center"/>
    </xf>
    <xf numFmtId="0" fontId="47" fillId="0" borderId="26" applyNumberFormat="0" applyFill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47" fillId="0" borderId="26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6" fillId="0" borderId="23" applyNumberFormat="0" applyFill="0" applyAlignment="0" applyProtection="0">
      <alignment vertical="center"/>
    </xf>
    <xf numFmtId="0" fontId="38" fillId="0" borderId="0">
      <alignment vertical="center"/>
    </xf>
    <xf numFmtId="0" fontId="36" fillId="0" borderId="23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9" fillId="8" borderId="20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2" borderId="22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0" fillId="0" borderId="0"/>
    <xf numFmtId="0" fontId="48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/>
    <xf numFmtId="0" fontId="35" fillId="6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9" fillId="17" borderId="0" applyNumberFormat="0" applyBorder="0" applyAlignment="0" applyProtection="0">
      <alignment vertical="center"/>
    </xf>
    <xf numFmtId="0" fontId="38" fillId="0" borderId="0">
      <alignment vertical="center"/>
    </xf>
    <xf numFmtId="0" fontId="46" fillId="18" borderId="0" applyNumberFormat="0" applyBorder="0" applyAlignment="0" applyProtection="0">
      <alignment vertical="center"/>
    </xf>
    <xf numFmtId="0" fontId="42" fillId="14" borderId="22" applyNumberFormat="0" applyAlignment="0" applyProtection="0">
      <alignment vertical="center"/>
    </xf>
    <xf numFmtId="0" fontId="38" fillId="0" borderId="0">
      <alignment vertical="center"/>
    </xf>
    <xf numFmtId="0" fontId="0" fillId="0" borderId="0">
      <alignment vertical="center"/>
    </xf>
    <xf numFmtId="0" fontId="38" fillId="0" borderId="0">
      <alignment vertical="center"/>
    </xf>
    <xf numFmtId="0" fontId="0" fillId="10" borderId="21" applyNumberFormat="0" applyFont="0" applyAlignment="0" applyProtection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3" fillId="7" borderId="0" applyNumberFormat="0" applyBorder="0" applyAlignment="0" applyProtection="0">
      <alignment vertical="center"/>
    </xf>
    <xf numFmtId="0" fontId="0" fillId="0" borderId="0"/>
    <xf numFmtId="0" fontId="44" fillId="0" borderId="25" applyNumberFormat="0" applyFill="0" applyAlignment="0" applyProtection="0">
      <alignment vertical="center"/>
    </xf>
    <xf numFmtId="0" fontId="0" fillId="0" borderId="0"/>
    <xf numFmtId="0" fontId="33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8" fillId="0" borderId="0">
      <alignment vertical="center"/>
    </xf>
    <xf numFmtId="0" fontId="38" fillId="0" borderId="0">
      <alignment vertical="center"/>
    </xf>
    <xf numFmtId="0" fontId="33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1" fillId="12" borderId="22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1" fillId="12" borderId="22" applyNumberFormat="0" applyAlignment="0" applyProtection="0">
      <alignment vertical="center"/>
    </xf>
    <xf numFmtId="0" fontId="0" fillId="0" borderId="0"/>
    <xf numFmtId="0" fontId="41" fillId="12" borderId="22" applyNumberFormat="0" applyAlignment="0" applyProtection="0">
      <alignment vertical="center"/>
    </xf>
    <xf numFmtId="0" fontId="0" fillId="0" borderId="0"/>
    <xf numFmtId="0" fontId="0" fillId="0" borderId="0"/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44" fillId="0" borderId="25" applyNumberFormat="0" applyFill="0" applyAlignment="0" applyProtection="0">
      <alignment vertical="center"/>
    </xf>
    <xf numFmtId="0" fontId="42" fillId="14" borderId="22" applyNumberFormat="0" applyAlignment="0" applyProtection="0">
      <alignment vertical="center"/>
    </xf>
    <xf numFmtId="0" fontId="42" fillId="14" borderId="22" applyNumberFormat="0" applyAlignment="0" applyProtection="0">
      <alignment vertical="center"/>
    </xf>
    <xf numFmtId="0" fontId="42" fillId="14" borderId="22" applyNumberFormat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2" fillId="14" borderId="22" applyNumberFormat="0" applyAlignment="0" applyProtection="0">
      <alignment vertical="center"/>
    </xf>
    <xf numFmtId="0" fontId="39" fillId="8" borderId="20" applyNumberFormat="0" applyAlignment="0" applyProtection="0">
      <alignment vertical="center"/>
    </xf>
    <xf numFmtId="0" fontId="39" fillId="8" borderId="20" applyNumberFormat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9" fillId="8" borderId="20" applyNumberFormat="0" applyAlignment="0" applyProtection="0">
      <alignment vertical="center"/>
    </xf>
    <xf numFmtId="0" fontId="39" fillId="8" borderId="20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10" borderId="21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7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50" fillId="14" borderId="27" applyNumberFormat="0" applyAlignment="0" applyProtection="0">
      <alignment vertical="center"/>
    </xf>
    <xf numFmtId="0" fontId="50" fillId="14" borderId="27" applyNumberFormat="0" applyAlignment="0" applyProtection="0">
      <alignment vertical="center"/>
    </xf>
    <xf numFmtId="0" fontId="50" fillId="14" borderId="27" applyNumberFormat="0" applyAlignment="0" applyProtection="0">
      <alignment vertical="center"/>
    </xf>
    <xf numFmtId="0" fontId="50" fillId="14" borderId="27" applyNumberFormat="0" applyAlignment="0" applyProtection="0">
      <alignment vertical="center"/>
    </xf>
    <xf numFmtId="0" fontId="50" fillId="14" borderId="27" applyNumberFormat="0" applyAlignment="0" applyProtection="0">
      <alignment vertical="center"/>
    </xf>
    <xf numFmtId="0" fontId="50" fillId="14" borderId="27" applyNumberFormat="0" applyAlignment="0" applyProtection="0">
      <alignment vertical="center"/>
    </xf>
    <xf numFmtId="0" fontId="50" fillId="14" borderId="27" applyNumberFormat="0" applyAlignment="0" applyProtection="0">
      <alignment vertical="center"/>
    </xf>
    <xf numFmtId="0" fontId="50" fillId="14" borderId="27" applyNumberFormat="0" applyAlignment="0" applyProtection="0">
      <alignment vertical="center"/>
    </xf>
    <xf numFmtId="0" fontId="50" fillId="14" borderId="27" applyNumberFormat="0" applyAlignment="0" applyProtection="0">
      <alignment vertical="center"/>
    </xf>
    <xf numFmtId="0" fontId="50" fillId="14" borderId="27" applyNumberFormat="0" applyAlignment="0" applyProtection="0">
      <alignment vertical="center"/>
    </xf>
    <xf numFmtId="0" fontId="41" fillId="12" borderId="22" applyNumberFormat="0" applyAlignment="0" applyProtection="0">
      <alignment vertical="center"/>
    </xf>
    <xf numFmtId="0" fontId="41" fillId="12" borderId="22" applyNumberFormat="0" applyAlignment="0" applyProtection="0">
      <alignment vertical="center"/>
    </xf>
    <xf numFmtId="0" fontId="41" fillId="12" borderId="22" applyNumberFormat="0" applyAlignment="0" applyProtection="0">
      <alignment vertical="center"/>
    </xf>
    <xf numFmtId="0" fontId="41" fillId="12" borderId="22" applyNumberFormat="0" applyAlignment="0" applyProtection="0">
      <alignment vertical="center"/>
    </xf>
    <xf numFmtId="0" fontId="41" fillId="12" borderId="22" applyNumberFormat="0" applyAlignment="0" applyProtection="0">
      <alignment vertical="center"/>
    </xf>
    <xf numFmtId="0" fontId="41" fillId="12" borderId="22" applyNumberFormat="0" applyAlignment="0" applyProtection="0">
      <alignment vertical="center"/>
    </xf>
    <xf numFmtId="0" fontId="41" fillId="12" borderId="22" applyNumberFormat="0" applyAlignment="0" applyProtection="0">
      <alignment vertical="center"/>
    </xf>
    <xf numFmtId="0" fontId="0" fillId="10" borderId="21" applyNumberFormat="0" applyFont="0" applyAlignment="0" applyProtection="0">
      <alignment vertical="center"/>
    </xf>
    <xf numFmtId="0" fontId="0" fillId="10" borderId="21" applyNumberFormat="0" applyFont="0" applyAlignment="0" applyProtection="0">
      <alignment vertical="center"/>
    </xf>
    <xf numFmtId="0" fontId="0" fillId="10" borderId="21" applyNumberFormat="0" applyFont="0" applyAlignment="0" applyProtection="0">
      <alignment vertical="center"/>
    </xf>
    <xf numFmtId="0" fontId="0" fillId="10" borderId="21" applyNumberFormat="0" applyFont="0" applyAlignment="0" applyProtection="0">
      <alignment vertical="center"/>
    </xf>
    <xf numFmtId="0" fontId="0" fillId="10" borderId="21" applyNumberFormat="0" applyFont="0" applyAlignment="0" applyProtection="0">
      <alignment vertical="center"/>
    </xf>
    <xf numFmtId="0" fontId="0" fillId="10" borderId="21" applyNumberFormat="0" applyFont="0" applyAlignment="0" applyProtection="0">
      <alignment vertical="center"/>
    </xf>
    <xf numFmtId="0" fontId="0" fillId="10" borderId="21" applyNumberFormat="0" applyFont="0" applyAlignment="0" applyProtection="0">
      <alignment vertical="center"/>
    </xf>
    <xf numFmtId="0" fontId="0" fillId="0" borderId="0">
      <alignment vertical="center"/>
    </xf>
    <xf numFmtId="0" fontId="38" fillId="6" borderId="0" applyNumberFormat="0" applyBorder="0" applyAlignment="0" applyProtection="0">
      <alignment vertical="center"/>
    </xf>
  </cellStyleXfs>
  <cellXfs count="32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7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77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9" fontId="5" fillId="0" borderId="0" xfId="0" applyNumberFormat="1" applyFont="1"/>
    <xf numFmtId="181" fontId="2" fillId="0" borderId="0" xfId="0" applyNumberFormat="1" applyFont="1" applyAlignment="1">
      <alignment vertical="center"/>
    </xf>
    <xf numFmtId="0" fontId="0" fillId="0" borderId="0" xfId="0" applyFont="1"/>
    <xf numFmtId="0" fontId="6" fillId="0" borderId="0" xfId="491" applyFont="1" applyAlignment="1">
      <alignment horizontal="center" vertical="center"/>
    </xf>
    <xf numFmtId="0" fontId="7" fillId="0" borderId="0" xfId="491" applyFont="1" applyAlignment="1">
      <alignment horizontal="center" vertical="center"/>
    </xf>
    <xf numFmtId="0" fontId="8" fillId="0" borderId="0" xfId="491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77" fontId="1" fillId="0" borderId="4" xfId="0" applyNumberFormat="1" applyFont="1" applyFill="1" applyBorder="1" applyAlignment="1">
      <alignment vertical="center"/>
    </xf>
    <xf numFmtId="179" fontId="1" fillId="0" borderId="4" xfId="0" applyNumberFormat="1" applyFont="1" applyFill="1" applyBorder="1" applyAlignment="1">
      <alignment vertical="center"/>
    </xf>
    <xf numFmtId="186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77" fontId="1" fillId="0" borderId="2" xfId="0" applyNumberFormat="1" applyFont="1" applyFill="1" applyBorder="1" applyAlignment="1">
      <alignment horizontal="center" vertical="center" wrapText="1"/>
    </xf>
    <xf numFmtId="179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77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77" fontId="1" fillId="0" borderId="0" xfId="0" applyNumberFormat="1" applyFont="1" applyFill="1" applyBorder="1" applyAlignment="1">
      <alignment vertical="center"/>
    </xf>
    <xf numFmtId="179" fontId="1" fillId="0" borderId="0" xfId="0" applyNumberFormat="1" applyFont="1" applyFill="1" applyBorder="1" applyAlignment="1">
      <alignment vertical="center"/>
    </xf>
    <xf numFmtId="0" fontId="15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11" xfId="0" applyFont="1" applyFill="1" applyBorder="1" applyAlignment="1"/>
    <xf numFmtId="0" fontId="17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87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183" fontId="1" fillId="0" borderId="1" xfId="0" applyNumberFormat="1" applyFont="1" applyBorder="1" applyAlignment="1">
      <alignment horizontal="center" vertical="center" wrapText="1"/>
    </xf>
    <xf numFmtId="189" fontId="1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191" fontId="1" fillId="0" borderId="1" xfId="0" applyNumberFormat="1" applyFont="1" applyBorder="1" applyAlignment="1">
      <alignment horizontal="center" vertical="center" wrapText="1"/>
    </xf>
    <xf numFmtId="192" fontId="1" fillId="0" borderId="1" xfId="0" applyNumberFormat="1" applyFont="1" applyBorder="1" applyAlignment="1">
      <alignment horizontal="center" vertical="center" wrapText="1"/>
    </xf>
    <xf numFmtId="193" fontId="1" fillId="0" borderId="1" xfId="0" applyNumberFormat="1" applyFont="1" applyBorder="1" applyAlignment="1">
      <alignment horizontal="center" vertical="center" wrapText="1"/>
    </xf>
    <xf numFmtId="177" fontId="1" fillId="0" borderId="1" xfId="10" applyNumberFormat="1" applyFont="1" applyBorder="1" applyAlignment="1">
      <alignment horizontal="center" vertical="center" wrapText="1"/>
    </xf>
    <xf numFmtId="187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89" fontId="1" fillId="0" borderId="1" xfId="0" applyNumberFormat="1" applyFont="1" applyFill="1" applyBorder="1" applyAlignment="1">
      <alignment horizontal="center" vertical="center" wrapText="1"/>
    </xf>
    <xf numFmtId="193" fontId="1" fillId="0" borderId="1" xfId="0" applyNumberFormat="1" applyFont="1" applyFill="1" applyBorder="1" applyAlignment="1">
      <alignment horizontal="center" vertical="center" wrapText="1"/>
    </xf>
    <xf numFmtId="179" fontId="1" fillId="2" borderId="1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187" fontId="17" fillId="0" borderId="4" xfId="0" applyNumberFormat="1" applyFont="1" applyBorder="1" applyAlignment="1">
      <alignment vertical="center"/>
    </xf>
    <xf numFmtId="177" fontId="17" fillId="0" borderId="4" xfId="0" applyNumberFormat="1" applyFont="1" applyBorder="1" applyAlignment="1">
      <alignment vertical="center"/>
    </xf>
    <xf numFmtId="191" fontId="17" fillId="0" borderId="4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87" fontId="17" fillId="0" borderId="0" xfId="0" applyNumberFormat="1" applyFont="1" applyBorder="1" applyAlignment="1">
      <alignment vertical="center"/>
    </xf>
    <xf numFmtId="187" fontId="17" fillId="0" borderId="0" xfId="0" applyNumberFormat="1" applyFont="1" applyAlignment="1">
      <alignment vertical="center"/>
    </xf>
    <xf numFmtId="177" fontId="17" fillId="0" borderId="0" xfId="0" applyNumberFormat="1" applyFont="1" applyAlignment="1">
      <alignment vertical="center"/>
    </xf>
    <xf numFmtId="191" fontId="17" fillId="0" borderId="0" xfId="0" applyNumberFormat="1" applyFont="1" applyAlignment="1">
      <alignment vertical="center"/>
    </xf>
    <xf numFmtId="193" fontId="17" fillId="0" borderId="0" xfId="0" applyNumberFormat="1" applyFont="1" applyAlignment="1">
      <alignment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189" fontId="19" fillId="0" borderId="4" xfId="0" applyNumberFormat="1" applyFont="1" applyFill="1" applyBorder="1" applyAlignment="1">
      <alignment horizontal="center" vertical="center"/>
    </xf>
    <xf numFmtId="189" fontId="20" fillId="0" borderId="4" xfId="0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189" fontId="19" fillId="0" borderId="0" xfId="0" applyNumberFormat="1" applyFont="1" applyFill="1" applyAlignment="1">
      <alignment horizontal="center" vertical="center"/>
    </xf>
    <xf numFmtId="179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79" fontId="19" fillId="0" borderId="0" xfId="0" applyNumberFormat="1" applyFont="1" applyFill="1" applyAlignment="1">
      <alignment horizontal="center" vertical="center"/>
    </xf>
    <xf numFmtId="189" fontId="20" fillId="0" borderId="0" xfId="0" applyNumberFormat="1" applyFont="1" applyFill="1" applyAlignment="1">
      <alignment horizontal="center" vertical="center"/>
    </xf>
    <xf numFmtId="191" fontId="19" fillId="0" borderId="0" xfId="0" applyNumberFormat="1" applyFont="1" applyFill="1" applyAlignment="1">
      <alignment horizontal="center" vertical="center"/>
    </xf>
    <xf numFmtId="191" fontId="20" fillId="0" borderId="0" xfId="0" applyNumberFormat="1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189" fontId="19" fillId="0" borderId="11" xfId="0" applyNumberFormat="1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191" fontId="19" fillId="0" borderId="11" xfId="0" applyNumberFormat="1" applyFont="1" applyFill="1" applyBorder="1" applyAlignment="1">
      <alignment horizontal="center" vertical="center"/>
    </xf>
    <xf numFmtId="191" fontId="20" fillId="0" borderId="11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 wrapText="1"/>
    </xf>
    <xf numFmtId="180" fontId="1" fillId="0" borderId="1" xfId="10" applyNumberFormat="1" applyFont="1" applyBorder="1" applyAlignment="1">
      <alignment horizontal="center" vertical="center" wrapText="1"/>
    </xf>
    <xf numFmtId="183" fontId="1" fillId="0" borderId="1" xfId="0" applyNumberFormat="1" applyFont="1" applyFill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center" vertical="center" wrapText="1"/>
    </xf>
    <xf numFmtId="187" fontId="1" fillId="2" borderId="1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88" fontId="20" fillId="0" borderId="5" xfId="20" applyNumberFormat="1" applyFont="1" applyFill="1" applyBorder="1" applyAlignment="1">
      <alignment horizontal="center" vertical="center"/>
    </xf>
    <xf numFmtId="190" fontId="20" fillId="0" borderId="5" xfId="0" applyNumberFormat="1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horizontal="center" vertical="top" wrapText="1"/>
    </xf>
    <xf numFmtId="188" fontId="20" fillId="0" borderId="8" xfId="20" applyNumberFormat="1" applyFont="1" applyFill="1" applyBorder="1" applyAlignment="1">
      <alignment horizontal="center" vertical="center"/>
    </xf>
    <xf numFmtId="191" fontId="20" fillId="0" borderId="8" xfId="0" applyNumberFormat="1" applyFont="1" applyFill="1" applyBorder="1" applyAlignment="1">
      <alignment horizontal="center" vertical="center"/>
    </xf>
    <xf numFmtId="189" fontId="20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0" fillId="0" borderId="8" xfId="0" applyFont="1" applyFill="1" applyBorder="1" applyAlignment="1">
      <alignment horizontal="center" vertical="center"/>
    </xf>
    <xf numFmtId="188" fontId="20" fillId="0" borderId="12" xfId="20" applyNumberFormat="1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187" fontId="9" fillId="3" borderId="1" xfId="0" applyNumberFormat="1" applyFont="1" applyFill="1" applyBorder="1" applyAlignment="1">
      <alignment horizontal="center" vertical="center"/>
    </xf>
    <xf numFmtId="187" fontId="0" fillId="0" borderId="0" xfId="0" applyNumberFormat="1"/>
    <xf numFmtId="188" fontId="0" fillId="0" borderId="0" xfId="0" applyNumberFormat="1"/>
    <xf numFmtId="178" fontId="1" fillId="0" borderId="1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/>
    </xf>
    <xf numFmtId="0" fontId="9" fillId="0" borderId="0" xfId="0" applyFont="1"/>
    <xf numFmtId="0" fontId="17" fillId="0" borderId="0" xfId="0" applyFont="1" applyAlignment="1">
      <alignment horizontal="left" vertical="center"/>
    </xf>
    <xf numFmtId="189" fontId="0" fillId="0" borderId="0" xfId="0" applyNumberFormat="1"/>
    <xf numFmtId="0" fontId="1" fillId="0" borderId="0" xfId="0" applyFont="1" applyAlignment="1">
      <alignment horizontal="center" vertical="center" wrapText="1"/>
    </xf>
    <xf numFmtId="0" fontId="26" fillId="0" borderId="0" xfId="491" applyFont="1" applyAlignment="1">
      <alignment horizontal="center" vertical="center"/>
    </xf>
    <xf numFmtId="57" fontId="9" fillId="0" borderId="11" xfId="491" applyNumberFormat="1" applyFont="1" applyBorder="1" applyAlignment="1">
      <alignment horizontal="center" vertical="center"/>
    </xf>
    <xf numFmtId="0" fontId="9" fillId="0" borderId="1" xfId="491" applyFont="1" applyBorder="1" applyAlignment="1">
      <alignment horizontal="center" vertical="center" wrapText="1"/>
    </xf>
    <xf numFmtId="0" fontId="9" fillId="0" borderId="1" xfId="491" applyFont="1" applyBorder="1" applyAlignment="1">
      <alignment horizontal="center" vertical="center"/>
    </xf>
    <xf numFmtId="195" fontId="9" fillId="0" borderId="1" xfId="0" applyNumberFormat="1" applyFont="1" applyBorder="1" applyAlignment="1">
      <alignment horizontal="center" vertical="center" wrapText="1"/>
    </xf>
    <xf numFmtId="0" fontId="9" fillId="0" borderId="2" xfId="491" applyFont="1" applyBorder="1" applyAlignment="1">
      <alignment horizontal="center" vertical="center" wrapText="1"/>
    </xf>
    <xf numFmtId="191" fontId="9" fillId="0" borderId="1" xfId="0" applyNumberFormat="1" applyFont="1" applyBorder="1" applyAlignment="1">
      <alignment horizontal="center" vertical="center" wrapText="1"/>
    </xf>
    <xf numFmtId="179" fontId="9" fillId="0" borderId="2" xfId="0" applyNumberFormat="1" applyFont="1" applyBorder="1" applyAlignment="1">
      <alignment horizontal="center" vertical="center" wrapText="1"/>
    </xf>
    <xf numFmtId="0" fontId="9" fillId="0" borderId="6" xfId="491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179" fontId="9" fillId="0" borderId="9" xfId="0" applyNumberFormat="1" applyFont="1" applyBorder="1" applyAlignment="1">
      <alignment horizontal="center" vertical="center" wrapText="1"/>
    </xf>
    <xf numFmtId="189" fontId="9" fillId="0" borderId="9" xfId="0" applyNumberFormat="1" applyFont="1" applyBorder="1" applyAlignment="1">
      <alignment horizontal="center" vertical="center" wrapText="1"/>
    </xf>
    <xf numFmtId="194" fontId="9" fillId="0" borderId="1" xfId="508" applyNumberFormat="1" applyFont="1" applyBorder="1" applyAlignment="1">
      <alignment horizontal="center" vertical="center" wrapText="1"/>
    </xf>
    <xf numFmtId="0" fontId="9" fillId="0" borderId="9" xfId="491" applyFont="1" applyBorder="1" applyAlignment="1">
      <alignment horizontal="center" vertical="center" wrapText="1"/>
    </xf>
    <xf numFmtId="179" fontId="9" fillId="0" borderId="1" xfId="491" applyNumberFormat="1" applyFont="1" applyBorder="1" applyAlignment="1">
      <alignment horizontal="center" vertical="center" wrapText="1"/>
    </xf>
    <xf numFmtId="191" fontId="9" fillId="0" borderId="1" xfId="491" applyNumberFormat="1" applyFont="1" applyBorder="1" applyAlignment="1">
      <alignment horizontal="center" vertical="center" wrapText="1"/>
    </xf>
    <xf numFmtId="0" fontId="9" fillId="0" borderId="1" xfId="491" applyFont="1" applyFill="1" applyBorder="1" applyAlignment="1">
      <alignment horizontal="center" vertical="center" wrapText="1"/>
    </xf>
    <xf numFmtId="189" fontId="9" fillId="0" borderId="1" xfId="491" applyNumberFormat="1" applyFont="1" applyBorder="1" applyAlignment="1">
      <alignment horizontal="center" vertical="center" wrapText="1"/>
    </xf>
    <xf numFmtId="0" fontId="9" fillId="0" borderId="2" xfId="49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1" applyFont="1" applyFill="1" applyBorder="1" applyAlignment="1">
      <alignment horizontal="center" vertical="center"/>
    </xf>
    <xf numFmtId="189" fontId="9" fillId="0" borderId="13" xfId="0" applyNumberFormat="1" applyFont="1" applyBorder="1" applyAlignment="1">
      <alignment horizontal="center" vertical="center" wrapText="1"/>
    </xf>
    <xf numFmtId="189" fontId="9" fillId="0" borderId="14" xfId="0" applyNumberFormat="1" applyFont="1" applyBorder="1" applyAlignment="1">
      <alignment horizontal="center" vertical="center" wrapText="1"/>
    </xf>
    <xf numFmtId="191" fontId="9" fillId="0" borderId="13" xfId="0" applyNumberFormat="1" applyFont="1" applyBorder="1" applyAlignment="1">
      <alignment horizontal="center" vertical="center" wrapText="1"/>
    </xf>
    <xf numFmtId="191" fontId="9" fillId="0" borderId="14" xfId="0" applyNumberFormat="1" applyFont="1" applyBorder="1" applyAlignment="1">
      <alignment horizontal="center" vertical="center" wrapText="1"/>
    </xf>
    <xf numFmtId="189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79" fontId="9" fillId="0" borderId="13" xfId="0" applyNumberFormat="1" applyFont="1" applyBorder="1" applyAlignment="1">
      <alignment horizontal="center" vertical="center" wrapText="1"/>
    </xf>
    <xf numFmtId="179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79" fontId="0" fillId="0" borderId="0" xfId="0" applyNumberFormat="1" applyFont="1"/>
    <xf numFmtId="190" fontId="9" fillId="0" borderId="1" xfId="491" applyNumberFormat="1" applyFont="1" applyBorder="1" applyAlignment="1">
      <alignment horizontal="center" vertical="center" wrapText="1"/>
    </xf>
    <xf numFmtId="191" fontId="9" fillId="0" borderId="2" xfId="491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91" fontId="9" fillId="0" borderId="9" xfId="491" applyNumberFormat="1" applyFont="1" applyBorder="1" applyAlignment="1">
      <alignment horizontal="center" vertical="center" wrapText="1"/>
    </xf>
    <xf numFmtId="0" fontId="9" fillId="0" borderId="2" xfId="491" applyFont="1" applyBorder="1" applyAlignment="1">
      <alignment horizontal="center" vertical="center"/>
    </xf>
    <xf numFmtId="0" fontId="9" fillId="0" borderId="2" xfId="491" applyFont="1" applyFill="1" applyBorder="1" applyAlignment="1">
      <alignment horizontal="center" vertical="center" wrapText="1"/>
    </xf>
    <xf numFmtId="178" fontId="9" fillId="0" borderId="1" xfId="491" applyNumberFormat="1" applyFont="1" applyFill="1" applyBorder="1" applyAlignment="1">
      <alignment horizontal="center" vertical="center" wrapText="1"/>
    </xf>
    <xf numFmtId="181" fontId="9" fillId="0" borderId="0" xfId="0" applyNumberFormat="1" applyFont="1"/>
    <xf numFmtId="191" fontId="9" fillId="0" borderId="1" xfId="0" applyNumberFormat="1" applyFont="1" applyBorder="1" applyAlignment="1">
      <alignment horizontal="center" vertical="center"/>
    </xf>
    <xf numFmtId="0" fontId="9" fillId="0" borderId="0" xfId="491" applyFont="1" applyFill="1" applyBorder="1" applyAlignment="1">
      <alignment horizontal="center" vertical="center"/>
    </xf>
    <xf numFmtId="0" fontId="9" fillId="0" borderId="13" xfId="491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0" fontId="9" fillId="0" borderId="0" xfId="0" applyFont="1" applyFill="1"/>
    <xf numFmtId="195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57" fontId="2" fillId="0" borderId="11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79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94" fontId="1" fillId="0" borderId="1" xfId="341" applyNumberFormat="1" applyFont="1" applyFill="1" applyBorder="1" applyAlignment="1">
      <alignment horizontal="center" vertical="center" wrapText="1"/>
    </xf>
    <xf numFmtId="176" fontId="1" fillId="0" borderId="1" xfId="341" applyNumberFormat="1" applyFont="1" applyFill="1" applyBorder="1" applyAlignment="1">
      <alignment horizontal="center" vertical="center" wrapText="1"/>
    </xf>
    <xf numFmtId="0" fontId="1" fillId="0" borderId="1" xfId="341" applyFont="1" applyFill="1" applyBorder="1" applyAlignment="1">
      <alignment horizontal="center" vertical="center" wrapText="1"/>
    </xf>
    <xf numFmtId="196" fontId="1" fillId="0" borderId="1" xfId="0" applyNumberFormat="1" applyFont="1" applyFill="1" applyBorder="1" applyAlignment="1">
      <alignment horizontal="center" vertical="center" wrapText="1"/>
    </xf>
    <xf numFmtId="194" fontId="1" fillId="0" borderId="1" xfId="481" applyNumberFormat="1" applyFont="1" applyFill="1" applyBorder="1" applyAlignment="1">
      <alignment horizontal="center" vertical="center" wrapText="1"/>
    </xf>
    <xf numFmtId="176" fontId="1" fillId="0" borderId="1" xfId="481" applyNumberFormat="1" applyFont="1" applyFill="1" applyBorder="1" applyAlignment="1">
      <alignment horizontal="center" vertical="center" wrapText="1"/>
    </xf>
    <xf numFmtId="0" fontId="28" fillId="0" borderId="0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12" fillId="0" borderId="1" xfId="341" applyFont="1" applyFill="1" applyBorder="1" applyAlignment="1">
      <alignment horizontal="center" vertical="center" wrapText="1"/>
    </xf>
    <xf numFmtId="179" fontId="12" fillId="0" borderId="1" xfId="341" applyNumberFormat="1" applyFont="1" applyFill="1" applyBorder="1" applyAlignment="1">
      <alignment horizontal="center" vertical="center" wrapText="1"/>
    </xf>
    <xf numFmtId="189" fontId="12" fillId="0" borderId="1" xfId="341" applyNumberFormat="1" applyFont="1" applyFill="1" applyBorder="1" applyAlignment="1">
      <alignment horizontal="center" vertical="center" wrapText="1"/>
    </xf>
    <xf numFmtId="178" fontId="1" fillId="0" borderId="1" xfId="341" applyNumberFormat="1" applyFont="1" applyFill="1" applyBorder="1" applyAlignment="1">
      <alignment horizontal="center" vertical="center" wrapText="1"/>
    </xf>
    <xf numFmtId="0" fontId="12" fillId="0" borderId="1" xfId="341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97" fontId="1" fillId="0" borderId="1" xfId="0" applyNumberFormat="1" applyFont="1" applyFill="1" applyBorder="1" applyAlignment="1">
      <alignment horizontal="center" vertical="center" wrapText="1"/>
    </xf>
    <xf numFmtId="185" fontId="1" fillId="0" borderId="1" xfId="0" applyNumberFormat="1" applyFont="1" applyFill="1" applyBorder="1" applyAlignment="1">
      <alignment horizontal="center" vertical="center" wrapText="1"/>
    </xf>
    <xf numFmtId="0" fontId="28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190" fontId="2" fillId="0" borderId="0" xfId="0" applyNumberFormat="1" applyFont="1" applyFill="1" applyBorder="1" applyAlignment="1">
      <alignment horizontal="center" vertical="center"/>
    </xf>
    <xf numFmtId="198" fontId="2" fillId="0" borderId="0" xfId="0" applyNumberFormat="1" applyFont="1" applyFill="1" applyBorder="1" applyAlignment="1">
      <alignment horizontal="center" vertical="center"/>
    </xf>
    <xf numFmtId="194" fontId="12" fillId="0" borderId="1" xfId="341" applyNumberFormat="1" applyFont="1" applyFill="1" applyBorder="1" applyAlignment="1">
      <alignment horizontal="center" vertical="center" wrapText="1"/>
    </xf>
    <xf numFmtId="194" fontId="12" fillId="0" borderId="1" xfId="508" applyNumberFormat="1" applyFont="1" applyFill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194" fontId="2" fillId="0" borderId="0" xfId="0" applyNumberFormat="1" applyFont="1" applyAlignment="1">
      <alignment horizontal="center" vertical="center"/>
    </xf>
    <xf numFmtId="178" fontId="2" fillId="0" borderId="0" xfId="485" applyNumberFormat="1" applyFont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194" fontId="30" fillId="0" borderId="0" xfId="0" applyNumberFormat="1" applyFont="1" applyAlignment="1">
      <alignment horizontal="center" vertical="center"/>
    </xf>
    <xf numFmtId="0" fontId="30" fillId="0" borderId="0" xfId="485" applyFont="1" applyBorder="1" applyAlignment="1">
      <alignment horizontal="center" vertical="center"/>
    </xf>
    <xf numFmtId="199" fontId="2" fillId="0" borderId="0" xfId="485" applyNumberFormat="1" applyFont="1" applyBorder="1" applyAlignment="1">
      <alignment horizontal="center" vertical="center"/>
    </xf>
    <xf numFmtId="194" fontId="2" fillId="0" borderId="1" xfId="0" applyNumberFormat="1" applyFont="1" applyBorder="1" applyAlignment="1">
      <alignment horizontal="center" vertical="center"/>
    </xf>
    <xf numFmtId="191" fontId="31" fillId="0" borderId="1" xfId="485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91" fontId="2" fillId="0" borderId="1" xfId="0" applyNumberFormat="1" applyFont="1" applyFill="1" applyBorder="1" applyAlignment="1">
      <alignment horizontal="center" vertical="center"/>
    </xf>
    <xf numFmtId="0" fontId="31" fillId="4" borderId="1" xfId="485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189" fontId="2" fillId="4" borderId="1" xfId="0" applyNumberFormat="1" applyFont="1" applyFill="1" applyBorder="1" applyAlignment="1">
      <alignment horizontal="center" vertical="center"/>
    </xf>
    <xf numFmtId="191" fontId="2" fillId="4" borderId="1" xfId="0" applyNumberFormat="1" applyFont="1" applyFill="1" applyBorder="1" applyAlignment="1">
      <alignment horizontal="center" vertical="center"/>
    </xf>
    <xf numFmtId="0" fontId="31" fillId="0" borderId="0" xfId="485" applyFont="1" applyBorder="1" applyAlignment="1">
      <alignment horizontal="center" vertical="center"/>
    </xf>
    <xf numFmtId="191" fontId="2" fillId="0" borderId="0" xfId="0" applyNumberFormat="1" applyFont="1" applyFill="1" applyBorder="1" applyAlignment="1">
      <alignment horizontal="center" vertical="center"/>
    </xf>
    <xf numFmtId="0" fontId="32" fillId="0" borderId="0" xfId="485" applyFont="1" applyBorder="1" applyAlignment="1">
      <alignment horizontal="center" vertical="center"/>
    </xf>
    <xf numFmtId="196" fontId="2" fillId="0" borderId="0" xfId="0" applyNumberFormat="1" applyFont="1" applyFill="1" applyBorder="1" applyAlignment="1">
      <alignment horizontal="center" vertical="center"/>
    </xf>
    <xf numFmtId="189" fontId="2" fillId="0" borderId="0" xfId="0" applyNumberFormat="1" applyFont="1" applyFill="1" applyBorder="1" applyAlignment="1">
      <alignment horizontal="center" vertical="center"/>
    </xf>
    <xf numFmtId="194" fontId="1" fillId="0" borderId="1" xfId="508" applyNumberFormat="1" applyFont="1" applyFill="1" applyBorder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/>
    </xf>
    <xf numFmtId="176" fontId="28" fillId="0" borderId="0" xfId="20" applyNumberFormat="1" applyFont="1" applyFill="1" applyBorder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/>
    </xf>
    <xf numFmtId="184" fontId="28" fillId="0" borderId="0" xfId="20" applyNumberFormat="1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182" fontId="2" fillId="0" borderId="0" xfId="0" applyNumberFormat="1" applyFont="1" applyFill="1" applyAlignment="1">
      <alignment horizontal="center" vertical="center"/>
    </xf>
    <xf numFmtId="191" fontId="2" fillId="0" borderId="0" xfId="0" applyNumberFormat="1" applyFont="1"/>
    <xf numFmtId="0" fontId="30" fillId="0" borderId="0" xfId="0" applyFont="1" applyFill="1" applyAlignment="1">
      <alignment horizontal="center" vertical="center"/>
    </xf>
  </cellXfs>
  <cellStyles count="620">
    <cellStyle name="常规" xfId="0" builtinId="0"/>
    <cellStyle name="货币[0]" xfId="1" builtinId="7"/>
    <cellStyle name="强调文字颜色 2 3 2" xfId="2"/>
    <cellStyle name="输入" xfId="3" builtinId="20"/>
    <cellStyle name="20% - 强调文字颜色 3" xfId="4" builtinId="38"/>
    <cellStyle name="链接单元格 5" xfId="5"/>
    <cellStyle name="20% - 强调文字颜色 1 2" xfId="6"/>
    <cellStyle name="链接单元格 3 2" xfId="7"/>
    <cellStyle name="货币" xfId="8" builtinId="4"/>
    <cellStyle name="百分比 2 8 2" xfId="9"/>
    <cellStyle name="千位分隔[0]" xfId="10" builtinId="6"/>
    <cellStyle name="差" xfId="11" builtinId="27"/>
    <cellStyle name="链接单元格 2 5" xfId="12"/>
    <cellStyle name="40% - 强调文字颜色 3" xfId="13" builtinId="39"/>
    <cellStyle name="标题 5 6" xfId="14"/>
    <cellStyle name="计算 2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已访问的超链接" xfId="22" builtinId="9"/>
    <cellStyle name="40% - 强调文字颜色 6 4 2" xfId="23"/>
    <cellStyle name="20% - 强调文字颜色 2 2 2" xfId="24"/>
    <cellStyle name="60% - 强调文字颜色 2 3" xfId="25"/>
    <cellStyle name="注释" xfId="26" builtinId="10"/>
    <cellStyle name="常规 6" xfId="27"/>
    <cellStyle name="20% - 强调文字颜色 4 5" xfId="28"/>
    <cellStyle name="60% - 强调文字颜色 2" xfId="29" builtinId="36"/>
    <cellStyle name="计算 2 9" xfId="30"/>
    <cellStyle name="解释性文本 2 2" xfId="31"/>
    <cellStyle name="标题 4" xfId="32" builtinId="19"/>
    <cellStyle name="注释 5" xfId="33"/>
    <cellStyle name="警告文本" xfId="34" builtinId="11"/>
    <cellStyle name="强调文字颜色 1 2 3" xfId="35"/>
    <cellStyle name="20% - 强调文字颜色 4 4 2" xfId="36"/>
    <cellStyle name="60% - 强调文字颜色 2 2 2" xfId="37"/>
    <cellStyle name="计算 2 10" xfId="38"/>
    <cellStyle name="常规 5 2" xfId="39"/>
    <cellStyle name="标题" xfId="40" builtinId="15"/>
    <cellStyle name="解释性文本" xfId="41" builtinId="53"/>
    <cellStyle name="标题 1 5 2" xfId="42"/>
    <cellStyle name="标题 1" xfId="43" builtinId="16"/>
    <cellStyle name="标题 2" xfId="44" builtinId="17"/>
    <cellStyle name="计算 2 8" xfId="45"/>
    <cellStyle name="60% - 强调文字颜色 1" xfId="46" builtinId="32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40% - 强调文字颜色 4 2" xfId="52"/>
    <cellStyle name="计算 3 2" xfId="53"/>
    <cellStyle name="检查单元格" xfId="54" builtinId="23"/>
    <cellStyle name="20% - 强调文字颜色 6" xfId="55" builtinId="50"/>
    <cellStyle name="强调文字颜色 2" xfId="56" builtinId="33"/>
    <cellStyle name="链接单元格" xfId="57" builtinId="24"/>
    <cellStyle name="40% - 强调文字颜色 6 5" xfId="58"/>
    <cellStyle name="60% - 强调文字颜色 4 2 3" xfId="59"/>
    <cellStyle name="适中 2 5" xfId="60"/>
    <cellStyle name="强调文字颜色 3 2 4" xfId="61"/>
    <cellStyle name="汇总" xfId="62" builtinId="25"/>
    <cellStyle name="好" xfId="63" builtinId="26"/>
    <cellStyle name="20% - 强调文字颜色 3 3" xfId="64"/>
    <cellStyle name="适中" xfId="65" builtinId="28"/>
    <cellStyle name="60% - 强调文字颜色 2 5 2" xfId="66"/>
    <cellStyle name="20% - 强调文字颜色 5" xfId="67" builtinId="46"/>
    <cellStyle name="标题 4 5 2" xfId="68"/>
    <cellStyle name="检查单元格 3 2" xfId="69"/>
    <cellStyle name="强调文字颜色 1" xfId="70" builtinId="29"/>
    <cellStyle name="链接单元格 3" xfId="71"/>
    <cellStyle name="20% - 强调文字颜色 1" xfId="72" builtinId="30"/>
    <cellStyle name="标题 5 4" xfId="73"/>
    <cellStyle name="40% - 强调文字颜色 4 3 2" xfId="74"/>
    <cellStyle name="40% - 强调文字颜色 1" xfId="75" builtinId="31"/>
    <cellStyle name="链接单元格 4" xfId="76"/>
    <cellStyle name="20% - 强调文字颜色 2" xfId="77" builtinId="34"/>
    <cellStyle name="标题 5 5" xfId="78"/>
    <cellStyle name="40% - 强调文字颜色 2" xfId="79" builtinId="35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标题 1 4 2" xfId="91"/>
    <cellStyle name="60% - 强调文字颜色 5" xfId="92" builtinId="48"/>
    <cellStyle name="强调文字颜色 6" xfId="93" builtinId="49"/>
    <cellStyle name="20% - 强调文字颜色 3 3 2" xfId="94"/>
    <cellStyle name="适中 2" xfId="95"/>
    <cellStyle name="计算 5" xfId="96"/>
    <cellStyle name="40% - 强调文字颜色 6" xfId="97" builtinId="51"/>
    <cellStyle name="60% - 强调文字颜色 6" xfId="98" builtinId="52"/>
    <cellStyle name="20% - 强调文字颜色 2 2 4" xfId="99"/>
    <cellStyle name="20% - 强调文字颜色 1 5" xfId="100"/>
    <cellStyle name="好 2" xfId="101"/>
    <cellStyle name="20% - 强调文字颜色 1 2 3" xfId="102"/>
    <cellStyle name="40% - 强调文字颜色 2 2" xfId="103"/>
    <cellStyle name="20% - 强调文字颜色 1 4" xfId="104"/>
    <cellStyle name="20% - 强调文字颜色 1 3" xfId="105"/>
    <cellStyle name="20% - 强调文字颜色 1 2 2" xfId="106"/>
    <cellStyle name="20% - 强调文字颜色 1 2 4" xfId="107"/>
    <cellStyle name="40% - 强调文字颜色 2 3" xfId="108"/>
    <cellStyle name="20% - 强调文字颜色 1 2 5" xfId="109"/>
    <cellStyle name="40% - 强调文字颜色 2 4" xfId="110"/>
    <cellStyle name="强调文字颜色 6 5 2" xfId="111"/>
    <cellStyle name="20% - 强调文字颜色 1 2 6" xfId="112"/>
    <cellStyle name="40% - 强调文字颜色 2 5" xfId="113"/>
    <cellStyle name="20% - 强调文字颜色 1 3 2" xfId="114"/>
    <cellStyle name="20% - 强调文字颜色 2 2 3" xfId="115"/>
    <cellStyle name="20% - 强调文字颜色 1 4 2" xfId="116"/>
    <cellStyle name="20% - 强调文字颜色 1 5 2" xfId="117"/>
    <cellStyle name="好 2 2" xfId="118"/>
    <cellStyle name="链接单元格 4 2" xfId="119"/>
    <cellStyle name="20% - 强调文字颜色 2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链接单元格 5 2" xfId="128"/>
    <cellStyle name="20% - 强调文字颜色 3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好_汇总二_江边厂月报2013-5" xfId="135"/>
    <cellStyle name="20% - 强调文字颜色 3 4" xfId="136"/>
    <cellStyle name="60% - 强调文字颜色 1 2" xfId="137"/>
    <cellStyle name="20% - 强调文字颜色 3 4 2" xfId="138"/>
    <cellStyle name="60% - 强调文字颜色 1 2 2" xfId="139"/>
    <cellStyle name="20% - 强调文字颜色 3 5" xfId="140"/>
    <cellStyle name="60% - 强调文字颜色 1 3" xfId="141"/>
    <cellStyle name="20% - 强调文字颜色 3 5 2" xfId="142"/>
    <cellStyle name="60% - 强调文字颜色 1 3 2" xfId="143"/>
    <cellStyle name="常规 2 18" xfId="144"/>
    <cellStyle name="20% - 强调文字颜色 4 2" xfId="145"/>
    <cellStyle name="输出 4 2" xfId="146"/>
    <cellStyle name="常规 3" xfId="147"/>
    <cellStyle name="20% - 强调文字颜色 4 2 2" xfId="148"/>
    <cellStyle name="20% - 强调文字颜色 4 2 3" xfId="149"/>
    <cellStyle name="20% - 强调文字颜色 4 2 4" xfId="150"/>
    <cellStyle name="强调文字颜色 5 2" xfId="151"/>
    <cellStyle name="20% - 强调文字颜色 4 2 5" xfId="152"/>
    <cellStyle name="强调文字颜色 5 3" xfId="153"/>
    <cellStyle name="20% - 强调文字颜色 4 2 6" xfId="154"/>
    <cellStyle name="20% - 强调文字颜色 4 3" xfId="155"/>
    <cellStyle name="常规 4" xfId="156"/>
    <cellStyle name="20% - 强调文字颜色 4 3 2" xfId="157"/>
    <cellStyle name="20% - 强调文字颜色 4 4" xfId="158"/>
    <cellStyle name="常规 5" xfId="159"/>
    <cellStyle name="60% - 强调文字颜色 2 2" xfId="160"/>
    <cellStyle name="20% - 强调文字颜色 4 5 2" xfId="161"/>
    <cellStyle name="注释 2" xfId="162"/>
    <cellStyle name="60% - 强调文字颜色 2 3 2" xfId="163"/>
    <cellStyle name="20% - 强调文字颜色 5 2" xfId="164"/>
    <cellStyle name="20% - 强调文字颜色 5 2 2" xfId="165"/>
    <cellStyle name="20% - 强调文字颜色 5 2 3" xfId="166"/>
    <cellStyle name="20% - 强调文字颜色 5 2 4" xfId="167"/>
    <cellStyle name="常规 2 2 22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差_汇总二" xfId="173"/>
    <cellStyle name="百分比 3" xfId="174"/>
    <cellStyle name="20% - 强调文字颜色 5 3 2" xfId="175"/>
    <cellStyle name="差 5" xfId="176"/>
    <cellStyle name="20% - 强调文字颜色 5 4" xfId="177"/>
    <cellStyle name="60% - 强调文字颜色 3 2" xfId="178"/>
    <cellStyle name="强调文字颜色 2 2 3" xfId="179"/>
    <cellStyle name="20% - 强调文字颜色 5 4 2" xfId="180"/>
    <cellStyle name="标题 1 2 6" xfId="181"/>
    <cellStyle name="60% - 强调文字颜色 3 2 2" xfId="182"/>
    <cellStyle name="20% - 强调文字颜色 5 5" xfId="183"/>
    <cellStyle name="60% - 强调文字颜色 3 3" xfId="184"/>
    <cellStyle name="20% - 强调文字颜色 5 5 2" xfId="185"/>
    <cellStyle name="60% - 强调文字颜色 3 3 2" xfId="186"/>
    <cellStyle name="60% - 强调文字颜色 6 2 4" xfId="187"/>
    <cellStyle name="20% - 强调文字颜色 6 2" xfId="188"/>
    <cellStyle name="20% - 强调文字颜色 6 2 2" xfId="189"/>
    <cellStyle name="40% - 强调文字颜色 4 4" xfId="190"/>
    <cellStyle name="20% - 强调文字颜色 6 2 3" xfId="191"/>
    <cellStyle name="40% - 强调文字颜色 4 5" xfId="192"/>
    <cellStyle name="20% - 强调文字颜色 6 2 4" xfId="193"/>
    <cellStyle name="20% - 强调文字颜色 6 2 5" xfId="194"/>
    <cellStyle name="20% - 强调文字颜色 6 2 6" xfId="195"/>
    <cellStyle name="60% - 强调文字颜色 6 2 5" xfId="196"/>
    <cellStyle name="20% - 强调文字颜色 6 3" xfId="197"/>
    <cellStyle name="20% - 强调文字颜色 6 3 2" xfId="198"/>
    <cellStyle name="40% - 强调文字颜色 5 4" xfId="199"/>
    <cellStyle name="好 2 5" xfId="200"/>
    <cellStyle name="60% - 强调文字颜色 6 2 6" xfId="201"/>
    <cellStyle name="20% - 强调文字颜色 6 4" xfId="202"/>
    <cellStyle name="60% - 强调文字颜色 4 2" xfId="203"/>
    <cellStyle name="强调文字颜色 3 2 3" xfId="204"/>
    <cellStyle name="适中 2 4" xfId="205"/>
    <cellStyle name="20% - 强调文字颜色 6 4 2" xfId="206"/>
    <cellStyle name="标题 2 2 6" xfId="207"/>
    <cellStyle name="40% - 强调文字颜色 6 4" xfId="208"/>
    <cellStyle name="60% - 强调文字颜色 4 2 2" xfId="209"/>
    <cellStyle name="40% - 强调文字颜色 5 2 2" xfId="210"/>
    <cellStyle name="20% - 强调文字颜色 6 5" xfId="211"/>
    <cellStyle name="60% - 强调文字颜色 4 3" xfId="212"/>
    <cellStyle name="20% - 强调文字颜色 6 5 2" xfId="213"/>
    <cellStyle name="60% - 强调文字颜色 4 3 2" xfId="214"/>
    <cellStyle name="常规 15" xfId="215"/>
    <cellStyle name="常规 20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差_处理量 2" xfId="222"/>
    <cellStyle name="40% - 强调文字颜色 1 2 6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40% - 强调文字颜色 2 2 3" xfId="231"/>
    <cellStyle name="好_汇总二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40% - 强调文字颜色 2 4 2" xfId="237"/>
    <cellStyle name="差 2 3" xfId="238"/>
    <cellStyle name="40% - 强调文字颜色 2 5 2" xfId="239"/>
    <cellStyle name="40% - 强调文字颜色 3 2" xfId="240"/>
    <cellStyle name="计算 2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40% - 强调文字颜色 3 3" xfId="247"/>
    <cellStyle name="计算 2 3" xfId="248"/>
    <cellStyle name="40% - 强调文字颜色 3 3 2" xfId="249"/>
    <cellStyle name="40% - 强调文字颜色 3 4" xfId="250"/>
    <cellStyle name="计算 2 4" xfId="251"/>
    <cellStyle name="警告文本 5" xfId="252"/>
    <cellStyle name="40% - 强调文字颜色 3 4 2" xfId="253"/>
    <cellStyle name="40% - 强调文字颜色 3 5" xfId="254"/>
    <cellStyle name="计算 2 5" xfId="255"/>
    <cellStyle name="链接单元格 2 4" xfId="256"/>
    <cellStyle name="40% - 强调文字颜色 3 5 2" xfId="257"/>
    <cellStyle name="标题 4 4" xfId="258"/>
    <cellStyle name="40% - 强调文字颜色 4 2 2" xfId="259"/>
    <cellStyle name="检查单元格 2" xfId="260"/>
    <cellStyle name="汇总 2 3" xfId="261"/>
    <cellStyle name="标题 4 5" xfId="262"/>
    <cellStyle name="40% - 强调文字颜色 4 2 3" xfId="263"/>
    <cellStyle name="检查单元格 3" xfId="264"/>
    <cellStyle name="汇总 2 4" xfId="265"/>
    <cellStyle name="40% - 强调文字颜色 4 2 4" xfId="266"/>
    <cellStyle name="检查单元格 4" xfId="267"/>
    <cellStyle name="汇总 2 5" xfId="268"/>
    <cellStyle name="40% - 强调文字颜色 4 2 5" xfId="269"/>
    <cellStyle name="检查单元格 5" xfId="270"/>
    <cellStyle name="汇总 2 6" xfId="271"/>
    <cellStyle name="40% - 强调文字颜色 4 2 6" xfId="272"/>
    <cellStyle name="40% - 强调文字颜色 4 3" xfId="273"/>
    <cellStyle name="40% - 强调文字颜色 4 4 2" xfId="274"/>
    <cellStyle name="40% - 强调文字颜色 4 5 2" xfId="275"/>
    <cellStyle name="常规 2 13" xfId="276"/>
    <cellStyle name="40% - 强调文字颜色 5 2" xfId="277"/>
    <cellStyle name="好 2 3" xfId="278"/>
    <cellStyle name="计算 4 2" xfId="279"/>
    <cellStyle name="40% - 强调文字颜色 5 2 3" xfId="280"/>
    <cellStyle name="60% - 强调文字颜色 4 4" xfId="281"/>
    <cellStyle name="警告文本 5 2" xfId="282"/>
    <cellStyle name="40% - 强调文字颜色 5 2 4" xfId="283"/>
    <cellStyle name="60% - 强调文字颜色 4 5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40% - 强调文字颜色 5 3 2" xfId="290"/>
    <cellStyle name="60% - 强调文字颜色 5 3" xfId="291"/>
    <cellStyle name="40% - 强调文字颜色 5 4 2" xfId="292"/>
    <cellStyle name="60% - 强调文字颜色 6 3" xfId="293"/>
    <cellStyle name="40% - 强调文字颜色 5 5" xfId="294"/>
    <cellStyle name="好 2 6" xfId="295"/>
    <cellStyle name="40% - 强调文字颜色 5 5 2" xfId="296"/>
    <cellStyle name="标题 2 2 4" xfId="297"/>
    <cellStyle name="40% - 强调文字颜色 6 2" xfId="298"/>
    <cellStyle name="适中 2 2" xfId="299"/>
    <cellStyle name="计算 5 2" xfId="300"/>
    <cellStyle name="40% - 强调文字颜色 6 2 2" xfId="301"/>
    <cellStyle name="40% - 强调文字颜色 6 2 3" xfId="302"/>
    <cellStyle name="40% - 强调文字颜色 6 2 4" xfId="303"/>
    <cellStyle name="百分比 2 17 2" xfId="304"/>
    <cellStyle name="检查单元格 5 2" xfId="305"/>
    <cellStyle name="40% - 强调文字颜色 6 2 5" xfId="306"/>
    <cellStyle name="40% - 强调文字颜色 6 2 6" xfId="307"/>
    <cellStyle name="标题 2 2 5" xfId="308"/>
    <cellStyle name="40% - 强调文字颜色 6 3" xfId="309"/>
    <cellStyle name="40% - 强调文字颜色 6 3 2" xfId="310"/>
    <cellStyle name="解释性文本 3" xfId="311"/>
    <cellStyle name="40% - 强调文字颜色 6 5 2" xfId="312"/>
    <cellStyle name="汇总 2" xfId="313"/>
    <cellStyle name="60% - 强调文字颜色 1 2 3" xfId="314"/>
    <cellStyle name="60% - 强调文字颜色 1 2 4" xfId="315"/>
    <cellStyle name="60% - 强调文字颜色 1 2 5" xfId="316"/>
    <cellStyle name="60% - 强调文字颜色 1 2 6" xfId="317"/>
    <cellStyle name="常规 2" xfId="318"/>
    <cellStyle name="60% - 强调文字颜色 1 4" xfId="319"/>
    <cellStyle name="标题 4 2 3" xfId="320"/>
    <cellStyle name="60% - 强调文字颜色 1 4 2" xfId="321"/>
    <cellStyle name="60% - 强调文字颜色 1 5" xfId="322"/>
    <cellStyle name="警告文本 2 2" xfId="323"/>
    <cellStyle name="20% - 强调文字颜色 2 2 3 3" xfId="324"/>
    <cellStyle name="60% - 强调文字颜色 1 5 2" xfId="325"/>
    <cellStyle name="60% - 强调文字颜色 1 9" xfId="326"/>
    <cellStyle name="强调文字颜色 4 4 2" xfId="327"/>
    <cellStyle name="警告文本 2 6" xfId="328"/>
    <cellStyle name="60% - 强调文字颜色 2 2 3" xfId="329"/>
    <cellStyle name="计算 2 11" xfId="330"/>
    <cellStyle name="强调文字颜色 1 2 4" xfId="331"/>
    <cellStyle name="60% - 强调文字颜色 2 2 4" xfId="332"/>
    <cellStyle name="计算 2 12" xfId="333"/>
    <cellStyle name="强调文字颜色 1 2 5" xfId="334"/>
    <cellStyle name="60% - 强调文字颜色 2 2 5" xfId="335"/>
    <cellStyle name="强调文字颜色 1 2 6" xfId="336"/>
    <cellStyle name="60% - 强调文字颜色 2 2 6" xfId="337"/>
    <cellStyle name="常规 7" xfId="338"/>
    <cellStyle name="60% - 强调文字颜色 2 4" xfId="339"/>
    <cellStyle name="60% - 强调文字颜色 2 4 2" xfId="340"/>
    <cellStyle name="常规 8" xfId="341"/>
    <cellStyle name="60% - 强调文字颜色 2 5" xfId="342"/>
    <cellStyle name="警告文本 3 2" xfId="343"/>
    <cellStyle name="60% - 强调文字颜色 3 2 3" xfId="344"/>
    <cellStyle name="强调文字颜色 2 2 4" xfId="345"/>
    <cellStyle name="60% - 强调文字颜色 3 2 4" xfId="346"/>
    <cellStyle name="强调文字颜色 2 2 5" xfId="347"/>
    <cellStyle name="60% - 强调文字颜色 3 2 5" xfId="348"/>
    <cellStyle name="强调文字颜色 2 2 6" xfId="349"/>
    <cellStyle name="60% - 强调文字颜色 3 2 6" xfId="350"/>
    <cellStyle name="解释性文本 3 2" xfId="351"/>
    <cellStyle name="60% - 强调文字颜色 3 4" xfId="352"/>
    <cellStyle name="60% - 强调文字颜色 3 4 2" xfId="353"/>
    <cellStyle name="60% - 强调文字颜色 3 5" xfId="354"/>
    <cellStyle name="警告文本 4 2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标题 3 2 6" xfId="364"/>
    <cellStyle name="60% - 强调文字颜色 5 2 2" xfId="365"/>
    <cellStyle name="60% - 强调文字颜色 5 2 3" xfId="366"/>
    <cellStyle name="60% - 强调文字颜色 5 2 4" xfId="367"/>
    <cellStyle name="千位分隔 2" xfId="368"/>
    <cellStyle name="强调文字颜色 4 2 5" xfId="369"/>
    <cellStyle name="百分比 2 11" xfId="370"/>
    <cellStyle name="标题 4 2" xfId="371"/>
    <cellStyle name="60% - 强调文字颜色 5 2 5" xfId="372"/>
    <cellStyle name="标题 4 3" xfId="373"/>
    <cellStyle name="60% - 强调文字颜色 5 2 6" xfId="374"/>
    <cellStyle name="汇总 2 2" xfId="375"/>
    <cellStyle name="60% - 强调文字颜色 5 3 2" xfId="376"/>
    <cellStyle name="60% - 强调文字颜色 5 4" xfId="377"/>
    <cellStyle name="60% - 强调文字颜色 5 5" xfId="378"/>
    <cellStyle name="输入 2 3" xfId="379"/>
    <cellStyle name="60% - 强调文字颜色 5 5 2" xfId="380"/>
    <cellStyle name="60% - 强调文字颜色 6 2" xfId="381"/>
    <cellStyle name="好_汇总二 3" xfId="382"/>
    <cellStyle name="标题 4 2 6" xfId="383"/>
    <cellStyle name="60% - 强调文字颜色 6 2 2" xfId="384"/>
    <cellStyle name="60% - 强调文字颜色 6 2 3" xfId="385"/>
    <cellStyle name="60% - 强调文字颜色 6 4" xfId="386"/>
    <cellStyle name="60% - 强调文字颜色 6 4 2" xfId="387"/>
    <cellStyle name="检查单元格 2 6" xfId="388"/>
    <cellStyle name="60% - 强调文字颜色 6 5" xfId="389"/>
    <cellStyle name="百分比 2" xfId="390"/>
    <cellStyle name="差 4" xfId="391"/>
    <cellStyle name="百分比 2 11 2" xfId="392"/>
    <cellStyle name="常规 2 17" xfId="393"/>
    <cellStyle name="百分比 2 11 4" xfId="394"/>
    <cellStyle name="常规 2 19" xfId="395"/>
    <cellStyle name="标题 1 2" xfId="396"/>
    <cellStyle name="标题 1 2 2" xfId="397"/>
    <cellStyle name="标题 1 2 3" xfId="398"/>
    <cellStyle name="标题 1 2 4" xfId="399"/>
    <cellStyle name="标题 1 2 5" xfId="400"/>
    <cellStyle name="强调文字颜色 2 2 2" xfId="401"/>
    <cellStyle name="标题 1 3" xfId="402"/>
    <cellStyle name="汇总 3" xfId="403"/>
    <cellStyle name="标题 1 3 2" xfId="404"/>
    <cellStyle name="标题 1 4" xfId="405"/>
    <cellStyle name="标题 1 5" xfId="406"/>
    <cellStyle name="标题 2 2" xfId="407"/>
    <cellStyle name="标题 2 2 2" xfId="408"/>
    <cellStyle name="好 3 2" xfId="409"/>
    <cellStyle name="标题 2 2 3" xfId="410"/>
    <cellStyle name="标题 2 3" xfId="411"/>
    <cellStyle name="常规 11" xfId="412"/>
    <cellStyle name="标题 2 3 2" xfId="413"/>
    <cellStyle name="标题 2 4" xfId="414"/>
    <cellStyle name="好_处理量" xfId="415"/>
    <cellStyle name="标题 2 4 2" xfId="416"/>
    <cellStyle name="好_处理量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标题 3 4 2" xfId="429"/>
    <cellStyle name="警告文本 2 3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标题 4 4 2" xfId="438"/>
    <cellStyle name="检查单元格 2 2" xfId="439"/>
    <cellStyle name="解释性文本 2 3" xfId="440"/>
    <cellStyle name="标题 5" xfId="441"/>
    <cellStyle name="标题 5 2" xfId="442"/>
    <cellStyle name="强调文字颜色 1 4" xfId="443"/>
    <cellStyle name="标题 5 3" xfId="444"/>
    <cellStyle name="强调文字颜色 1 5" xfId="445"/>
    <cellStyle name="汇总 3 2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输入 2 6" xfId="452"/>
    <cellStyle name="标题 7 2" xfId="453"/>
    <cellStyle name="强调文字颜色 3 4" xfId="454"/>
    <cellStyle name="常规 2 11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 5 2" xfId="470"/>
    <cellStyle name="差_汇总二 2" xfId="471"/>
    <cellStyle name="差_处理量" xfId="472"/>
    <cellStyle name="差_汇总二 3" xfId="473"/>
    <cellStyle name="常规 10" xfId="474"/>
    <cellStyle name="常规 12" xfId="475"/>
    <cellStyle name="好 4 2" xfId="476"/>
    <cellStyle name="常规 13" xfId="477"/>
    <cellStyle name="适中 3 2" xfId="478"/>
    <cellStyle name="计算 6 2" xfId="479"/>
    <cellStyle name="常规 14" xfId="480"/>
    <cellStyle name="常规 16" xfId="481"/>
    <cellStyle name="常规 21" xfId="482"/>
    <cellStyle name="注释 4 2" xfId="483"/>
    <cellStyle name="常规 17" xfId="484"/>
    <cellStyle name="常规 22" xfId="485"/>
    <cellStyle name="常规 18" xfId="486"/>
    <cellStyle name="常规 19" xfId="487"/>
    <cellStyle name="强调文字颜色 3 3" xfId="488"/>
    <cellStyle name="常规 2 10" xfId="489"/>
    <cellStyle name="汇总 5 2" xfId="490"/>
    <cellStyle name="常规_Sheet1" xfId="491"/>
    <cellStyle name="强调文字颜色 3 5" xfId="492"/>
    <cellStyle name="常规 2 12" xfId="493"/>
    <cellStyle name="常规 2 14" xfId="494"/>
    <cellStyle name="常规 2 15" xfId="495"/>
    <cellStyle name="常规 2 16" xfId="496"/>
    <cellStyle name="强调文字颜色 5 3 2" xfId="497"/>
    <cellStyle name="常规 2 19 3" xfId="498"/>
    <cellStyle name="常规 2 2" xfId="499"/>
    <cellStyle name="输入 3 2" xfId="500"/>
    <cellStyle name="常规 2 3" xfId="501"/>
    <cellStyle name="常规 2 4" xfId="502"/>
    <cellStyle name="常规 2 5" xfId="503"/>
    <cellStyle name="常规 2 6" xfId="504"/>
    <cellStyle name="输入 2" xfId="505"/>
    <cellStyle name="常规 2 8" xfId="506"/>
    <cellStyle name="输入 3" xfId="507"/>
    <cellStyle name="常规 2 9" xfId="508"/>
    <cellStyle name="常规 2_处理量" xfId="509"/>
    <cellStyle name="好 3" xfId="510"/>
    <cellStyle name="好 4" xfId="511"/>
    <cellStyle name="好 5 2" xfId="512"/>
    <cellStyle name="好_汇总二 2" xfId="513"/>
    <cellStyle name="汇总 4" xfId="514"/>
    <cellStyle name="强调文字颜色 2 5" xfId="515"/>
    <cellStyle name="汇总 4 2" xfId="516"/>
    <cellStyle name="汇总 5" xfId="517"/>
    <cellStyle name="计算 2 6" xfId="518"/>
    <cellStyle name="计算 2 7" xfId="519"/>
    <cellStyle name="计算 2_处理量" xfId="520"/>
    <cellStyle name="适中 3" xfId="521"/>
    <cellStyle name="计算 6" xfId="522"/>
    <cellStyle name="检查单元格 2 3" xfId="523"/>
    <cellStyle name="检查单元格 2 4" xfId="524"/>
    <cellStyle name="强调文字颜色 5 4 2" xfId="525"/>
    <cellStyle name="检查单元格 2 5" xfId="526"/>
    <cellStyle name="检查单元格 4 2" xfId="527"/>
    <cellStyle name="解释性文本 2" xfId="528"/>
    <cellStyle name="解释性文本 4" xfId="529"/>
    <cellStyle name="解释性文本 4 2" xfId="530"/>
    <cellStyle name="注释 5 2" xfId="531"/>
    <cellStyle name="警告文本 2" xfId="532"/>
    <cellStyle name="警告文本 2 4" xfId="533"/>
    <cellStyle name="警告文本 2 5" xfId="534"/>
    <cellStyle name="警告文本 3" xfId="535"/>
    <cellStyle name="警告文本 4" xfId="536"/>
    <cellStyle name="链接单元格 2" xfId="537"/>
    <cellStyle name="链接单元格 2 2" xfId="538"/>
    <cellStyle name="链接单元格 2 3" xfId="539"/>
    <cellStyle name="链接单元格 2 6" xfId="540"/>
    <cellStyle name="强调文字颜色 1 2" xfId="541"/>
    <cellStyle name="强调文字颜色 1 2 2" xfId="542"/>
    <cellStyle name="强调文字颜色 1 3" xfId="543"/>
    <cellStyle name="强调文字颜色 1 3 2" xfId="544"/>
    <cellStyle name="强调文字颜色 1 4 2" xfId="545"/>
    <cellStyle name="强调文字颜色 2 2" xfId="546"/>
    <cellStyle name="强调文字颜色 2 3" xfId="547"/>
    <cellStyle name="强调文字颜色 2 4" xfId="548"/>
    <cellStyle name="强调文字颜色 2 4 2" xfId="549"/>
    <cellStyle name="强调文字颜色 2 5 2" xfId="550"/>
    <cellStyle name="强调文字颜色 3 2" xfId="551"/>
    <cellStyle name="适中 2 3" xfId="552"/>
    <cellStyle name="强调文字颜色 3 2 2" xfId="553"/>
    <cellStyle name="适中 2 6" xfId="554"/>
    <cellStyle name="强调文字颜色 3 2 5" xfId="555"/>
    <cellStyle name="强调文字颜色 3 2 6" xfId="556"/>
    <cellStyle name="强调文字颜色 3 3 2" xfId="557"/>
    <cellStyle name="强调文字颜色 3 4 2" xfId="558"/>
    <cellStyle name="常规 2 11 2" xfId="559"/>
    <cellStyle name="强调文字颜色 3 5 2" xfId="560"/>
    <cellStyle name="强调文字颜色 4 2" xfId="561"/>
    <cellStyle name="强调文字颜色 4 2 2" xfId="562"/>
    <cellStyle name="强调文字颜色 4 2 3" xfId="563"/>
    <cellStyle name="强调文字颜色 4 2 4" xfId="564"/>
    <cellStyle name="强调文字颜色 4 2 6" xfId="565"/>
    <cellStyle name="强调文字颜色 4 3" xfId="566"/>
    <cellStyle name="强调文字颜色 4 3 2" xfId="567"/>
    <cellStyle name="强调文字颜色 4 4" xfId="568"/>
    <cellStyle name="强调文字颜色 4 5" xfId="569"/>
    <cellStyle name="强调文字颜色 4 5 2" xfId="570"/>
    <cellStyle name="强调文字颜色 5 2 2" xfId="571"/>
    <cellStyle name="强调文字颜色 5 2 3" xfId="572"/>
    <cellStyle name="强调文字颜色 5 2 4" xfId="573"/>
    <cellStyle name="强调文字颜色 5 2 5" xfId="574"/>
    <cellStyle name="强调文字颜色 5 2 6" xfId="575"/>
    <cellStyle name="强调文字颜色 5 4" xfId="576"/>
    <cellStyle name="强调文字颜色 5 5" xfId="577"/>
    <cellStyle name="强调文字颜色 5 5 2" xfId="578"/>
    <cellStyle name="强调文字颜色 6 2" xfId="579"/>
    <cellStyle name="强调文字颜色 6 2 2" xfId="580"/>
    <cellStyle name="强调文字颜色 6 2 3" xfId="581"/>
    <cellStyle name="强调文字颜色 6 2 4" xfId="582"/>
    <cellStyle name="强调文字颜色 6 2 5" xfId="583"/>
    <cellStyle name="强调文字颜色 6 2 6" xfId="584"/>
    <cellStyle name="强调文字颜色 6 3" xfId="585"/>
    <cellStyle name="强调文字颜色 6 3 2" xfId="586"/>
    <cellStyle name="强调文字颜色 6 4" xfId="587"/>
    <cellStyle name="强调文字颜色 6 4 2" xfId="588"/>
    <cellStyle name="强调文字颜色 6 5" xfId="589"/>
    <cellStyle name="适中 4" xfId="590"/>
    <cellStyle name="适中 4 2" xfId="591"/>
    <cellStyle name="适中 5" xfId="592"/>
    <cellStyle name="适中 5 2" xfId="593"/>
    <cellStyle name="输出 2" xfId="594"/>
    <cellStyle name="输出 2 2" xfId="595"/>
    <cellStyle name="输出 2 3" xfId="596"/>
    <cellStyle name="输出 2 4" xfId="597"/>
    <cellStyle name="输出 2 5" xfId="598"/>
    <cellStyle name="输出 2 6" xfId="599"/>
    <cellStyle name="输出 3" xfId="600"/>
    <cellStyle name="输出 3 2" xfId="601"/>
    <cellStyle name="输出 5" xfId="602"/>
    <cellStyle name="输出 5 2" xfId="603"/>
    <cellStyle name="输入 2 2" xfId="604"/>
    <cellStyle name="输入 2 4" xfId="605"/>
    <cellStyle name="输入 2 5" xfId="606"/>
    <cellStyle name="输入 4" xfId="607"/>
    <cellStyle name="输入 4 2" xfId="608"/>
    <cellStyle name="输入 5" xfId="609"/>
    <cellStyle name="输入 5 2" xfId="610"/>
    <cellStyle name="注释 2 2" xfId="611"/>
    <cellStyle name="注释 2 3" xfId="612"/>
    <cellStyle name="注释 2 4" xfId="613"/>
    <cellStyle name="注释 2 5" xfId="614"/>
    <cellStyle name="注释 2 6" xfId="615"/>
    <cellStyle name="注释 3" xfId="616"/>
    <cellStyle name="注释 4" xfId="617"/>
    <cellStyle name="常规 2 30" xfId="618"/>
    <cellStyle name="20% - 强调文字颜色 2 2 3 2" xfId="619"/>
  </cellStyles>
  <tableStyles count="0" defaultTableStyle="TableStyleMedium9" defaultPivotStyle="PivotStyleLight16"/>
  <colors>
    <mruColors>
      <color rgb="00BFBFBF"/>
      <color rgb="00FFFFFF"/>
      <color rgb="001D1B10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44"/>
  <sheetViews>
    <sheetView tabSelected="1" zoomScale="85" zoomScaleNormal="85" topLeftCell="Q1" workbookViewId="0">
      <selection activeCell="Z15" sqref="Z15"/>
    </sheetView>
  </sheetViews>
  <sheetFormatPr defaultColWidth="8.75" defaultRowHeight="14.25"/>
  <cols>
    <col min="1" max="1" width="3.75" style="3" customWidth="1"/>
    <col min="2" max="3" width="4.25" style="257" customWidth="1"/>
    <col min="4" max="4" width="7.8" style="257" customWidth="1"/>
    <col min="5" max="5" width="7.5" style="257" customWidth="1"/>
    <col min="6" max="6" width="7.16666666666667" style="257" customWidth="1"/>
    <col min="7" max="7" width="6.94166666666667" style="258" customWidth="1"/>
    <col min="8" max="8" width="5.625" style="258" customWidth="1"/>
    <col min="9" max="9" width="6" style="257" customWidth="1"/>
    <col min="10" max="10" width="6.46666666666667" style="257" customWidth="1"/>
    <col min="11" max="11" width="6.5" style="257" customWidth="1"/>
    <col min="12" max="12" width="6.375" style="257" customWidth="1"/>
    <col min="13" max="13" width="6.11666666666667" style="257" customWidth="1"/>
    <col min="14" max="14" width="6.125" style="257" customWidth="1"/>
    <col min="15" max="15" width="6.60833333333333" style="257" customWidth="1"/>
    <col min="16" max="16" width="6.46666666666667" style="257" customWidth="1"/>
    <col min="17" max="17" width="7.5" style="257" customWidth="1"/>
    <col min="18" max="18" width="10.125" style="257" customWidth="1"/>
    <col min="19" max="19" width="10" style="259" customWidth="1"/>
    <col min="20" max="20" width="15.875" style="259" customWidth="1"/>
    <col min="21" max="21" width="12.875" style="259" customWidth="1"/>
    <col min="22" max="22" width="12.25" style="259" customWidth="1"/>
    <col min="23" max="25" width="12.625" style="259"/>
    <col min="26" max="26" width="15" style="259" customWidth="1"/>
    <col min="27" max="27" width="9" style="3"/>
    <col min="28" max="28" width="11.5" style="3"/>
    <col min="29" max="29" width="9" style="3"/>
    <col min="30" max="35" width="12.625" style="3"/>
    <col min="36" max="36" width="9" style="3"/>
    <col min="37" max="37" width="9.375" style="3"/>
    <col min="38" max="38" width="12.625" style="3"/>
    <col min="39" max="16384" width="8.75" style="3"/>
  </cols>
  <sheetData>
    <row r="1" ht="17" customHeight="1" spans="1:18">
      <c r="A1" s="260" t="s">
        <v>0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</row>
    <row r="2" ht="14" customHeight="1" spans="1:18">
      <c r="A2" s="261">
        <v>44927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</row>
    <row r="3" ht="20.25" customHeight="1" spans="1:38">
      <c r="A3" s="263" t="s">
        <v>1</v>
      </c>
      <c r="B3" s="264" t="s">
        <v>2</v>
      </c>
      <c r="C3" s="264" t="s">
        <v>3</v>
      </c>
      <c r="D3" s="8" t="s">
        <v>4</v>
      </c>
      <c r="E3" s="5" t="s">
        <v>5</v>
      </c>
      <c r="F3" s="5"/>
      <c r="G3" s="5"/>
      <c r="H3" s="264" t="s">
        <v>6</v>
      </c>
      <c r="I3" s="264" t="s">
        <v>7</v>
      </c>
      <c r="J3" s="264" t="s">
        <v>8</v>
      </c>
      <c r="K3" s="264" t="s">
        <v>9</v>
      </c>
      <c r="L3" s="8" t="s">
        <v>10</v>
      </c>
      <c r="M3" s="264" t="s">
        <v>11</v>
      </c>
      <c r="N3" s="264" t="s">
        <v>12</v>
      </c>
      <c r="O3" s="5" t="s">
        <v>13</v>
      </c>
      <c r="P3" s="5"/>
      <c r="Q3" s="8" t="s">
        <v>14</v>
      </c>
      <c r="R3" s="8" t="s">
        <v>15</v>
      </c>
      <c r="T3" s="259" t="s">
        <v>16</v>
      </c>
      <c r="U3" s="259" t="s">
        <v>17</v>
      </c>
      <c r="W3" s="286" t="s">
        <v>18</v>
      </c>
      <c r="X3" s="286" t="s">
        <v>19</v>
      </c>
      <c r="Y3" s="286"/>
      <c r="Z3" s="286" t="s">
        <v>20</v>
      </c>
      <c r="AD3" s="3" t="s">
        <v>21</v>
      </c>
      <c r="AE3" s="3" t="s">
        <v>22</v>
      </c>
      <c r="AF3" s="3" t="s">
        <v>23</v>
      </c>
      <c r="AG3" s="3" t="s">
        <v>24</v>
      </c>
      <c r="AH3" s="3" t="s">
        <v>25</v>
      </c>
      <c r="AI3" s="3" t="s">
        <v>26</v>
      </c>
      <c r="AK3" s="3" t="s">
        <v>27</v>
      </c>
      <c r="AL3" s="3" t="s">
        <v>19</v>
      </c>
    </row>
    <row r="4" ht="21" customHeight="1" spans="1:28">
      <c r="A4" s="265"/>
      <c r="B4" s="266" t="s">
        <v>28</v>
      </c>
      <c r="C4" s="266" t="s">
        <v>29</v>
      </c>
      <c r="D4" s="266"/>
      <c r="E4" s="266" t="s">
        <v>30</v>
      </c>
      <c r="F4" s="266" t="s">
        <v>31</v>
      </c>
      <c r="G4" s="266" t="s">
        <v>32</v>
      </c>
      <c r="H4" s="266" t="s">
        <v>33</v>
      </c>
      <c r="I4" s="266" t="s">
        <v>34</v>
      </c>
      <c r="J4" s="266" t="s">
        <v>35</v>
      </c>
      <c r="K4" s="266" t="s">
        <v>33</v>
      </c>
      <c r="L4" s="266"/>
      <c r="M4" s="266" t="s">
        <v>33</v>
      </c>
      <c r="N4" s="266" t="s">
        <v>33</v>
      </c>
      <c r="O4" s="266" t="s">
        <v>36</v>
      </c>
      <c r="P4" s="266" t="s">
        <v>37</v>
      </c>
      <c r="Q4" s="266"/>
      <c r="R4" s="266"/>
      <c r="T4" s="57" t="s">
        <v>38</v>
      </c>
      <c r="U4" s="287">
        <f>ROUND(J37*W4,2)</f>
        <v>895717.69</v>
      </c>
      <c r="V4" s="287"/>
      <c r="W4" s="288">
        <v>0.675656400653684</v>
      </c>
      <c r="X4" s="289">
        <f>J36/R36</f>
        <v>0.344682792770424</v>
      </c>
      <c r="Y4" s="286"/>
      <c r="Z4" s="321">
        <v>44960</v>
      </c>
      <c r="AA4" s="322"/>
      <c r="AB4" s="3" t="s">
        <v>39</v>
      </c>
    </row>
    <row r="5" ht="18.6" customHeight="1" spans="1:38">
      <c r="A5" s="6">
        <v>1</v>
      </c>
      <c r="B5" s="267">
        <v>16.5</v>
      </c>
      <c r="C5" s="268" t="s">
        <v>40</v>
      </c>
      <c r="D5" s="269">
        <v>133466</v>
      </c>
      <c r="E5" s="270">
        <v>109.54</v>
      </c>
      <c r="F5" s="270">
        <v>0</v>
      </c>
      <c r="G5" s="270">
        <v>0</v>
      </c>
      <c r="H5" s="271">
        <v>150</v>
      </c>
      <c r="I5" s="6">
        <v>4494</v>
      </c>
      <c r="J5" s="277">
        <v>43100.0000000131</v>
      </c>
      <c r="K5" s="278">
        <v>3240</v>
      </c>
      <c r="L5" s="279">
        <v>0</v>
      </c>
      <c r="M5" s="278">
        <v>1846</v>
      </c>
      <c r="N5" s="278">
        <v>576</v>
      </c>
      <c r="O5" s="280">
        <v>2.775</v>
      </c>
      <c r="P5" s="280">
        <v>0</v>
      </c>
      <c r="Q5" s="290">
        <v>5208</v>
      </c>
      <c r="R5" s="291">
        <f>D5-Q5</f>
        <v>128258</v>
      </c>
      <c r="S5" s="292"/>
      <c r="T5" s="293" t="s">
        <v>41</v>
      </c>
      <c r="U5" s="294">
        <f>H37*W5/1000</f>
        <v>98700</v>
      </c>
      <c r="V5" s="287"/>
      <c r="W5" s="295">
        <v>28000</v>
      </c>
      <c r="X5" s="287">
        <f>H36/R36*1000</f>
        <v>0.916502107954851</v>
      </c>
      <c r="Y5" s="286"/>
      <c r="Z5" s="323">
        <v>44652</v>
      </c>
      <c r="AB5" s="324">
        <f>E5+F5+G5</f>
        <v>109.54</v>
      </c>
      <c r="AD5" s="3">
        <f>$W$9*K5/1000/R5</f>
        <v>0.0105088181633894</v>
      </c>
      <c r="AE5" s="3">
        <f>$W$5*H5/1000/R5</f>
        <v>0.0327464953453196</v>
      </c>
      <c r="AF5" s="3">
        <f>$W$6*L5/1000/R5</f>
        <v>0</v>
      </c>
      <c r="AG5" s="3">
        <f>$W$7*M5/1000/R5</f>
        <v>0.00673586053111697</v>
      </c>
      <c r="AH5" s="3">
        <f>$W$8*N5/1000/R5</f>
        <v>0.0271432893074896</v>
      </c>
      <c r="AI5" s="3">
        <f>AD5+AE5+AF5+AG5+AH5</f>
        <v>0.0771344633473156</v>
      </c>
      <c r="AK5" s="3">
        <f>AB5*(100-进出水!T7)/100</f>
        <v>23.22248</v>
      </c>
      <c r="AL5" s="3">
        <f>H5/AK5</f>
        <v>6.4592584426814</v>
      </c>
    </row>
    <row r="6" ht="18.6" customHeight="1" spans="1:38">
      <c r="A6" s="6">
        <v>2</v>
      </c>
      <c r="B6" s="267">
        <v>16.5</v>
      </c>
      <c r="C6" s="268" t="s">
        <v>40</v>
      </c>
      <c r="D6" s="269">
        <v>124768</v>
      </c>
      <c r="E6" s="270">
        <v>107.92</v>
      </c>
      <c r="F6" s="270">
        <v>0</v>
      </c>
      <c r="G6" s="270">
        <v>0</v>
      </c>
      <c r="H6" s="271">
        <v>150</v>
      </c>
      <c r="I6" s="6">
        <v>4104</v>
      </c>
      <c r="J6" s="277">
        <v>43099.9999999767</v>
      </c>
      <c r="K6" s="278">
        <v>5400</v>
      </c>
      <c r="L6" s="279">
        <v>0.2</v>
      </c>
      <c r="M6" s="278">
        <v>4260</v>
      </c>
      <c r="N6" s="278">
        <v>1488</v>
      </c>
      <c r="O6" s="280">
        <v>2.625</v>
      </c>
      <c r="P6" s="280">
        <v>0</v>
      </c>
      <c r="Q6" s="290">
        <v>5224</v>
      </c>
      <c r="R6" s="291">
        <f t="shared" ref="R6:R36" si="0">D6-Q6</f>
        <v>119544</v>
      </c>
      <c r="S6" s="292"/>
      <c r="T6" s="293" t="s">
        <v>42</v>
      </c>
      <c r="U6" s="294">
        <f>L37*W6/1000</f>
        <v>24.96</v>
      </c>
      <c r="V6" s="287">
        <f>U5+U6</f>
        <v>98724.96</v>
      </c>
      <c r="W6" s="57">
        <v>10400</v>
      </c>
      <c r="X6" s="287">
        <f>L36/R36*1000</f>
        <v>0.000624001435203303</v>
      </c>
      <c r="Y6" s="286"/>
      <c r="Z6" s="323">
        <v>44256</v>
      </c>
      <c r="AB6" s="324">
        <f t="shared" ref="AB6:AB35" si="1">E6+F6+G6</f>
        <v>107.92</v>
      </c>
      <c r="AD6" s="3">
        <f t="shared" ref="AD6:AD35" si="2">$W$9*K6/1000/R6</f>
        <v>0.0187914073479221</v>
      </c>
      <c r="AE6" s="3">
        <f t="shared" ref="AE6:AE35" si="3">$W$5*H6/1000/R6</f>
        <v>0.0351335073278458</v>
      </c>
      <c r="AF6" s="3">
        <f t="shared" ref="AF6:AF35" si="4">$W$6*L6/1000/R6</f>
        <v>1.7399451248076e-5</v>
      </c>
      <c r="AG6" s="3">
        <f t="shared" ref="AG6:AG35" si="5">$W$7*M6/1000/R6</f>
        <v>0.0166773740212809</v>
      </c>
      <c r="AH6" s="3">
        <f t="shared" ref="AH6:AH35" si="6">$W$8*N6/1000/R6</f>
        <v>0.0752314796225658</v>
      </c>
      <c r="AI6" s="3">
        <f t="shared" ref="AI6:AI35" si="7">AD6+AE6+AF6+AG6+AH6</f>
        <v>0.145851167770863</v>
      </c>
      <c r="AK6" s="3">
        <f>AB6*(100-进出水!T8)/100</f>
        <v>22.98696</v>
      </c>
      <c r="AL6" s="3">
        <f t="shared" ref="AL6:AL35" si="8">H6/AK6</f>
        <v>6.52543877050293</v>
      </c>
    </row>
    <row r="7" ht="18.6" customHeight="1" spans="1:38">
      <c r="A7" s="6">
        <v>3</v>
      </c>
      <c r="B7" s="267">
        <v>16.9</v>
      </c>
      <c r="C7" s="268" t="s">
        <v>43</v>
      </c>
      <c r="D7" s="269">
        <v>134077</v>
      </c>
      <c r="E7" s="270">
        <v>34.94</v>
      </c>
      <c r="F7" s="270">
        <v>34.1</v>
      </c>
      <c r="G7" s="270">
        <v>0</v>
      </c>
      <c r="H7" s="271">
        <v>150</v>
      </c>
      <c r="I7" s="6">
        <v>4122</v>
      </c>
      <c r="J7" s="277">
        <v>44099.9999999985</v>
      </c>
      <c r="K7" s="278">
        <v>6240</v>
      </c>
      <c r="L7" s="279">
        <v>0</v>
      </c>
      <c r="M7" s="278">
        <v>3763</v>
      </c>
      <c r="N7" s="278">
        <v>1320</v>
      </c>
      <c r="O7" s="280">
        <v>4.45</v>
      </c>
      <c r="P7" s="280">
        <v>0</v>
      </c>
      <c r="Q7" s="290">
        <v>5216</v>
      </c>
      <c r="R7" s="291">
        <f t="shared" si="0"/>
        <v>128861</v>
      </c>
      <c r="S7" s="292"/>
      <c r="T7" s="293" t="s">
        <v>44</v>
      </c>
      <c r="U7" s="294">
        <f>M37*W7/1000</f>
        <v>36318.204</v>
      </c>
      <c r="V7" s="287"/>
      <c r="W7" s="57">
        <v>468</v>
      </c>
      <c r="X7" s="287">
        <f>M36/R36*1000</f>
        <v>20.1768264067008</v>
      </c>
      <c r="Y7" s="286"/>
      <c r="Z7" s="323">
        <v>44927</v>
      </c>
      <c r="AB7" s="324">
        <f t="shared" si="1"/>
        <v>69.04</v>
      </c>
      <c r="AD7" s="3">
        <f t="shared" si="2"/>
        <v>0.0201444967833557</v>
      </c>
      <c r="AE7" s="3">
        <f t="shared" si="3"/>
        <v>0.0325932594035434</v>
      </c>
      <c r="AF7" s="3">
        <f t="shared" si="4"/>
        <v>0</v>
      </c>
      <c r="AG7" s="3">
        <f t="shared" si="5"/>
        <v>0.0136665399151023</v>
      </c>
      <c r="AH7" s="3">
        <f t="shared" si="6"/>
        <v>0.061912293091005</v>
      </c>
      <c r="AI7" s="3">
        <f t="shared" si="7"/>
        <v>0.128316589193006</v>
      </c>
      <c r="AK7" s="3">
        <f>AB7*(100-进出水!T9)/100</f>
        <v>14.8436</v>
      </c>
      <c r="AL7" s="3">
        <f t="shared" si="8"/>
        <v>10.1053652752701</v>
      </c>
    </row>
    <row r="8" ht="18.6" customHeight="1" spans="1:38">
      <c r="A8" s="6">
        <v>4</v>
      </c>
      <c r="B8" s="267">
        <v>16.9</v>
      </c>
      <c r="C8" s="268" t="s">
        <v>43</v>
      </c>
      <c r="D8" s="269">
        <v>129049</v>
      </c>
      <c r="E8" s="270">
        <v>71.72</v>
      </c>
      <c r="F8" s="270">
        <v>37.78</v>
      </c>
      <c r="G8" s="270">
        <v>0</v>
      </c>
      <c r="H8" s="271">
        <v>175</v>
      </c>
      <c r="I8" s="6">
        <v>4440</v>
      </c>
      <c r="J8" s="277">
        <v>43199.9999999971</v>
      </c>
      <c r="K8" s="278">
        <v>6720</v>
      </c>
      <c r="L8" s="279">
        <v>0.2</v>
      </c>
      <c r="M8" s="278">
        <v>5325</v>
      </c>
      <c r="N8" s="278">
        <v>1752</v>
      </c>
      <c r="O8" s="280">
        <v>5.112</v>
      </c>
      <c r="P8" s="280">
        <v>0</v>
      </c>
      <c r="Q8" s="290">
        <v>5216</v>
      </c>
      <c r="R8" s="291">
        <f t="shared" si="0"/>
        <v>123833</v>
      </c>
      <c r="S8" s="292"/>
      <c r="T8" s="293" t="s">
        <v>45</v>
      </c>
      <c r="U8" s="294">
        <f>N37*W8/1000</f>
        <v>163333.056</v>
      </c>
      <c r="V8" s="287">
        <f>U7+U8</f>
        <v>199651.26</v>
      </c>
      <c r="W8" s="57">
        <v>6044</v>
      </c>
      <c r="X8" s="287">
        <f>N36/R36*1000</f>
        <v>7.02625616038919</v>
      </c>
      <c r="Y8" s="57"/>
      <c r="Z8" s="323">
        <v>44929</v>
      </c>
      <c r="AB8" s="324">
        <f t="shared" si="1"/>
        <v>109.5</v>
      </c>
      <c r="AD8" s="3">
        <f t="shared" si="2"/>
        <v>0.0225749194479662</v>
      </c>
      <c r="AE8" s="3">
        <f t="shared" si="3"/>
        <v>0.0395694201061106</v>
      </c>
      <c r="AF8" s="3">
        <f t="shared" si="4"/>
        <v>1.67968150654511e-5</v>
      </c>
      <c r="AG8" s="3">
        <f t="shared" si="5"/>
        <v>0.0201246840502935</v>
      </c>
      <c r="AH8" s="3">
        <f t="shared" si="6"/>
        <v>0.0855110350229745</v>
      </c>
      <c r="AI8" s="3">
        <f t="shared" si="7"/>
        <v>0.16779685544241</v>
      </c>
      <c r="AK8" s="3">
        <f>AB8*(100-进出水!T10)/100</f>
        <v>24.1995</v>
      </c>
      <c r="AL8" s="3">
        <f t="shared" si="8"/>
        <v>7.23155437095808</v>
      </c>
    </row>
    <row r="9" ht="18.6" customHeight="1" spans="1:38">
      <c r="A9" s="6">
        <v>5</v>
      </c>
      <c r="B9" s="267">
        <v>16.5</v>
      </c>
      <c r="C9" s="268" t="s">
        <v>40</v>
      </c>
      <c r="D9" s="269">
        <v>129517</v>
      </c>
      <c r="E9" s="270">
        <v>0</v>
      </c>
      <c r="F9" s="270">
        <v>105.74</v>
      </c>
      <c r="G9" s="270">
        <v>0</v>
      </c>
      <c r="H9" s="271">
        <v>150</v>
      </c>
      <c r="I9" s="6">
        <v>4600</v>
      </c>
      <c r="J9" s="281">
        <v>41599.9999999985</v>
      </c>
      <c r="K9" s="278">
        <v>0</v>
      </c>
      <c r="L9" s="279">
        <v>0</v>
      </c>
      <c r="M9" s="278">
        <v>2982</v>
      </c>
      <c r="N9" s="278">
        <v>1056</v>
      </c>
      <c r="O9" s="280">
        <v>4.998</v>
      </c>
      <c r="P9" s="280">
        <v>0</v>
      </c>
      <c r="Q9" s="290">
        <v>5216</v>
      </c>
      <c r="R9" s="291">
        <f t="shared" si="0"/>
        <v>124301</v>
      </c>
      <c r="S9" s="292"/>
      <c r="T9" s="293" t="s">
        <v>46</v>
      </c>
      <c r="U9" s="294">
        <f>K37*W9/1000</f>
        <v>43530.24</v>
      </c>
      <c r="V9" s="287"/>
      <c r="W9" s="57">
        <v>416</v>
      </c>
      <c r="X9" s="287">
        <f>K36/R36*1000</f>
        <v>27.206462574864</v>
      </c>
      <c r="Y9" s="286"/>
      <c r="Z9" s="323">
        <v>44927</v>
      </c>
      <c r="AB9" s="324">
        <f t="shared" si="1"/>
        <v>105.74</v>
      </c>
      <c r="AD9" s="3">
        <f t="shared" si="2"/>
        <v>0</v>
      </c>
      <c r="AE9" s="3">
        <f t="shared" si="3"/>
        <v>0.0337889477960757</v>
      </c>
      <c r="AF9" s="3">
        <f t="shared" si="4"/>
        <v>0</v>
      </c>
      <c r="AG9" s="3">
        <f t="shared" si="5"/>
        <v>0.01122739157368</v>
      </c>
      <c r="AH9" s="3">
        <f t="shared" si="6"/>
        <v>0.0513468435491267</v>
      </c>
      <c r="AI9" s="3">
        <f t="shared" si="7"/>
        <v>0.0963631829188824</v>
      </c>
      <c r="AK9" s="3">
        <f>AB9*(100-进出水!T11)/100</f>
        <v>22.94558</v>
      </c>
      <c r="AL9" s="3">
        <f t="shared" si="8"/>
        <v>6.53720673001075</v>
      </c>
    </row>
    <row r="10" ht="18.6" customHeight="1" spans="1:38">
      <c r="A10" s="6">
        <v>6</v>
      </c>
      <c r="B10" s="267">
        <v>17.3</v>
      </c>
      <c r="C10" s="268" t="s">
        <v>43</v>
      </c>
      <c r="D10" s="269">
        <v>141570</v>
      </c>
      <c r="E10" s="270">
        <v>105.64</v>
      </c>
      <c r="F10" s="270">
        <v>0</v>
      </c>
      <c r="G10" s="270">
        <v>0</v>
      </c>
      <c r="H10" s="271">
        <v>175</v>
      </c>
      <c r="I10" s="6">
        <v>4530</v>
      </c>
      <c r="J10" s="277">
        <v>45000</v>
      </c>
      <c r="K10" s="278">
        <v>7920</v>
      </c>
      <c r="L10" s="279">
        <v>0</v>
      </c>
      <c r="M10" s="278">
        <v>1207</v>
      </c>
      <c r="N10" s="278">
        <v>480</v>
      </c>
      <c r="O10" s="280">
        <v>3.525</v>
      </c>
      <c r="P10" s="280">
        <v>0</v>
      </c>
      <c r="Q10" s="290">
        <v>5216</v>
      </c>
      <c r="R10" s="291">
        <f t="shared" si="0"/>
        <v>136354</v>
      </c>
      <c r="S10" s="292"/>
      <c r="T10" s="293" t="s">
        <v>47</v>
      </c>
      <c r="U10" s="294">
        <f>T18</f>
        <v>23846.53</v>
      </c>
      <c r="V10" s="287" t="s">
        <v>48</v>
      </c>
      <c r="W10" s="296"/>
      <c r="X10" s="296"/>
      <c r="Y10" s="325"/>
      <c r="Z10" s="325"/>
      <c r="AB10" s="324">
        <f t="shared" si="1"/>
        <v>105.64</v>
      </c>
      <c r="AD10" s="3">
        <f t="shared" si="2"/>
        <v>0.0241629875177846</v>
      </c>
      <c r="AE10" s="3">
        <f t="shared" si="3"/>
        <v>0.035935872801678</v>
      </c>
      <c r="AF10" s="3">
        <f t="shared" si="4"/>
        <v>0</v>
      </c>
      <c r="AG10" s="3">
        <f t="shared" si="5"/>
        <v>0.00414271675198381</v>
      </c>
      <c r="AH10" s="3">
        <f t="shared" si="6"/>
        <v>0.0212763835311029</v>
      </c>
      <c r="AI10" s="3">
        <f t="shared" si="7"/>
        <v>0.0855179606025493</v>
      </c>
      <c r="AK10" s="3">
        <f>AB10*(100-进出水!T12)/100</f>
        <v>22.92388</v>
      </c>
      <c r="AL10" s="3">
        <f t="shared" si="8"/>
        <v>7.63396074312027</v>
      </c>
    </row>
    <row r="11" ht="18.6" customHeight="1" spans="1:38">
      <c r="A11" s="6">
        <v>7</v>
      </c>
      <c r="B11" s="267">
        <v>16.8</v>
      </c>
      <c r="C11" s="268" t="s">
        <v>43</v>
      </c>
      <c r="D11" s="269">
        <v>173813</v>
      </c>
      <c r="E11" s="270">
        <v>34.66</v>
      </c>
      <c r="F11" s="270">
        <v>72.1</v>
      </c>
      <c r="G11" s="270">
        <v>0</v>
      </c>
      <c r="H11" s="271">
        <v>150</v>
      </c>
      <c r="I11" s="13">
        <v>4876</v>
      </c>
      <c r="J11" s="281">
        <v>51200.0000000262</v>
      </c>
      <c r="K11" s="278">
        <v>0</v>
      </c>
      <c r="L11" s="279">
        <v>0.2</v>
      </c>
      <c r="M11" s="278">
        <v>1207</v>
      </c>
      <c r="N11" s="278">
        <v>480</v>
      </c>
      <c r="O11" s="280">
        <v>2.7</v>
      </c>
      <c r="P11" s="280">
        <v>0</v>
      </c>
      <c r="Q11" s="290">
        <v>5224</v>
      </c>
      <c r="R11" s="291">
        <f t="shared" si="0"/>
        <v>168589</v>
      </c>
      <c r="S11" s="292"/>
      <c r="T11" s="293" t="s">
        <v>49</v>
      </c>
      <c r="U11" s="294">
        <f>汇总!J5*W11</f>
        <v>14716.8</v>
      </c>
      <c r="V11" s="287"/>
      <c r="W11" s="57">
        <v>4.2</v>
      </c>
      <c r="X11" s="57"/>
      <c r="Y11" s="57"/>
      <c r="Z11" s="286"/>
      <c r="AB11" s="324">
        <f t="shared" si="1"/>
        <v>106.76</v>
      </c>
      <c r="AD11" s="3">
        <f t="shared" si="2"/>
        <v>0</v>
      </c>
      <c r="AE11" s="3">
        <f t="shared" si="3"/>
        <v>0.0249126574094395</v>
      </c>
      <c r="AF11" s="3">
        <f t="shared" si="4"/>
        <v>1.23376970027701e-5</v>
      </c>
      <c r="AG11" s="3">
        <f t="shared" si="5"/>
        <v>0.00335061006352728</v>
      </c>
      <c r="AH11" s="3">
        <f t="shared" si="6"/>
        <v>0.0172082401580174</v>
      </c>
      <c r="AI11" s="3">
        <f t="shared" si="7"/>
        <v>0.045483845327987</v>
      </c>
      <c r="AK11" s="3">
        <f>AB11*(100-进出水!T13)/100</f>
        <v>23.16692</v>
      </c>
      <c r="AL11" s="3">
        <f t="shared" si="8"/>
        <v>6.47474934087052</v>
      </c>
    </row>
    <row r="12" ht="18.6" customHeight="1" spans="1:38">
      <c r="A12" s="6">
        <v>8</v>
      </c>
      <c r="B12" s="267">
        <v>17.5</v>
      </c>
      <c r="C12" s="268" t="s">
        <v>43</v>
      </c>
      <c r="D12" s="271">
        <v>153247</v>
      </c>
      <c r="E12" s="270">
        <v>73.68</v>
      </c>
      <c r="F12" s="270">
        <v>36.84</v>
      </c>
      <c r="G12" s="270">
        <v>0</v>
      </c>
      <c r="H12" s="271">
        <v>125</v>
      </c>
      <c r="I12" s="6">
        <v>3746</v>
      </c>
      <c r="J12" s="277">
        <v>45599.9999999767</v>
      </c>
      <c r="K12" s="278">
        <v>18840</v>
      </c>
      <c r="L12" s="279">
        <v>0</v>
      </c>
      <c r="M12" s="278">
        <v>1420</v>
      </c>
      <c r="N12" s="278">
        <v>504</v>
      </c>
      <c r="O12" s="280">
        <v>2.925</v>
      </c>
      <c r="P12" s="280">
        <v>0</v>
      </c>
      <c r="Q12" s="290">
        <v>4888</v>
      </c>
      <c r="R12" s="291">
        <f t="shared" si="0"/>
        <v>148359</v>
      </c>
      <c r="S12" s="292"/>
      <c r="T12" s="297"/>
      <c r="U12" s="298"/>
      <c r="V12" s="296"/>
      <c r="W12" s="296"/>
      <c r="X12" s="296"/>
      <c r="AB12" s="324">
        <f t="shared" si="1"/>
        <v>110.52</v>
      </c>
      <c r="AD12" s="3">
        <f t="shared" si="2"/>
        <v>0.0528275332133541</v>
      </c>
      <c r="AE12" s="3">
        <f t="shared" si="3"/>
        <v>0.0235914235064944</v>
      </c>
      <c r="AF12" s="3">
        <f t="shared" si="4"/>
        <v>0</v>
      </c>
      <c r="AG12" s="3">
        <f t="shared" si="5"/>
        <v>0.00447940468727883</v>
      </c>
      <c r="AH12" s="3">
        <f t="shared" si="6"/>
        <v>0.0205324651689483</v>
      </c>
      <c r="AI12" s="3">
        <f t="shared" si="7"/>
        <v>0.101430826576076</v>
      </c>
      <c r="AK12" s="3">
        <f>AB12*(100-进出水!T14)/100</f>
        <v>23.98284</v>
      </c>
      <c r="AL12" s="3">
        <f t="shared" si="8"/>
        <v>5.21205995620202</v>
      </c>
    </row>
    <row r="13" ht="18.6" customHeight="1" spans="1:38">
      <c r="A13" s="6">
        <v>9</v>
      </c>
      <c r="B13" s="267">
        <v>17.3</v>
      </c>
      <c r="C13" s="268" t="s">
        <v>43</v>
      </c>
      <c r="D13" s="269">
        <v>107216</v>
      </c>
      <c r="E13" s="270">
        <v>0</v>
      </c>
      <c r="F13" s="270">
        <v>35.8</v>
      </c>
      <c r="G13" s="270">
        <v>0</v>
      </c>
      <c r="H13" s="271">
        <v>100</v>
      </c>
      <c r="I13" s="6">
        <v>3944</v>
      </c>
      <c r="J13" s="277">
        <v>37200.0000000116</v>
      </c>
      <c r="K13" s="278">
        <v>20040</v>
      </c>
      <c r="L13" s="279">
        <v>0</v>
      </c>
      <c r="M13" s="278">
        <v>3550</v>
      </c>
      <c r="N13" s="278">
        <v>1152</v>
      </c>
      <c r="O13" s="280">
        <v>3.975</v>
      </c>
      <c r="P13" s="280">
        <v>0</v>
      </c>
      <c r="Q13" s="290">
        <v>4114</v>
      </c>
      <c r="R13" s="291">
        <f t="shared" si="0"/>
        <v>103102</v>
      </c>
      <c r="S13" s="292"/>
      <c r="T13" s="293"/>
      <c r="U13" s="299">
        <f>U14/R37</f>
        <v>0.0888958840605333</v>
      </c>
      <c r="V13" s="57"/>
      <c r="W13" s="57"/>
      <c r="X13" s="296"/>
      <c r="AB13" s="324">
        <f t="shared" si="1"/>
        <v>35.8</v>
      </c>
      <c r="AD13" s="3">
        <f t="shared" si="2"/>
        <v>0.0808581792787725</v>
      </c>
      <c r="AE13" s="3">
        <f t="shared" si="3"/>
        <v>0.0271575721130531</v>
      </c>
      <c r="AF13" s="3">
        <f t="shared" si="4"/>
        <v>0</v>
      </c>
      <c r="AG13" s="3">
        <f t="shared" si="5"/>
        <v>0.016114139395938</v>
      </c>
      <c r="AH13" s="3">
        <f t="shared" si="6"/>
        <v>0.0675320362359605</v>
      </c>
      <c r="AI13" s="3">
        <f t="shared" si="7"/>
        <v>0.191661927023724</v>
      </c>
      <c r="AK13" s="3">
        <f>AB13*(100-进出水!T15)/100</f>
        <v>7.8044</v>
      </c>
      <c r="AL13" s="3">
        <f t="shared" si="8"/>
        <v>12.8132848136948</v>
      </c>
    </row>
    <row r="14" ht="18.6" customHeight="1" spans="1:38">
      <c r="A14" s="6">
        <v>10</v>
      </c>
      <c r="B14" s="267">
        <v>17.4</v>
      </c>
      <c r="C14" s="268" t="s">
        <v>43</v>
      </c>
      <c r="D14" s="269">
        <v>149198</v>
      </c>
      <c r="E14" s="270">
        <v>0</v>
      </c>
      <c r="F14" s="270">
        <v>169.84</v>
      </c>
      <c r="G14" s="270">
        <v>0</v>
      </c>
      <c r="H14" s="271">
        <v>150</v>
      </c>
      <c r="I14" s="6">
        <v>4596</v>
      </c>
      <c r="J14" s="277">
        <v>46300.0000000102</v>
      </c>
      <c r="K14" s="278">
        <v>3960</v>
      </c>
      <c r="L14" s="279">
        <v>0.2</v>
      </c>
      <c r="M14" s="278">
        <v>3195</v>
      </c>
      <c r="N14" s="278">
        <v>1128</v>
      </c>
      <c r="O14" s="280">
        <v>3.45</v>
      </c>
      <c r="P14" s="280">
        <v>0</v>
      </c>
      <c r="Q14" s="290">
        <v>5171</v>
      </c>
      <c r="R14" s="291">
        <f t="shared" si="0"/>
        <v>144027</v>
      </c>
      <c r="S14" s="292"/>
      <c r="T14" s="300" t="s">
        <v>50</v>
      </c>
      <c r="U14" s="301">
        <f>U5+U6+U7+U8+U9</f>
        <v>341906.46</v>
      </c>
      <c r="V14" s="302" t="s">
        <v>51</v>
      </c>
      <c r="W14" s="303">
        <f>U6+U9</f>
        <v>43555.2</v>
      </c>
      <c r="X14" s="296"/>
      <c r="AB14" s="324">
        <f t="shared" si="1"/>
        <v>169.84</v>
      </c>
      <c r="AD14" s="3">
        <f t="shared" si="2"/>
        <v>0.0114378554021121</v>
      </c>
      <c r="AE14" s="3">
        <f t="shared" si="3"/>
        <v>0.0291611989418651</v>
      </c>
      <c r="AF14" s="3">
        <f t="shared" si="4"/>
        <v>1.44417366188284e-5</v>
      </c>
      <c r="AG14" s="3">
        <f t="shared" si="5"/>
        <v>0.0103818034118603</v>
      </c>
      <c r="AH14" s="3">
        <f t="shared" si="6"/>
        <v>0.0473357912058156</v>
      </c>
      <c r="AI14" s="3">
        <f t="shared" si="7"/>
        <v>0.0983310906982719</v>
      </c>
      <c r="AK14" s="3">
        <f>AB14*(100-进出水!T16)/100</f>
        <v>36.34576</v>
      </c>
      <c r="AL14" s="3">
        <f t="shared" si="8"/>
        <v>4.12702884738137</v>
      </c>
    </row>
    <row r="15" ht="18.6" customHeight="1" spans="1:38">
      <c r="A15" s="6">
        <v>11</v>
      </c>
      <c r="B15" s="267">
        <v>17.5</v>
      </c>
      <c r="C15" s="268" t="s">
        <v>43</v>
      </c>
      <c r="D15" s="269">
        <v>152728</v>
      </c>
      <c r="E15" s="270">
        <v>0</v>
      </c>
      <c r="F15" s="270">
        <v>105.88</v>
      </c>
      <c r="G15" s="270">
        <v>0</v>
      </c>
      <c r="H15" s="271">
        <v>125</v>
      </c>
      <c r="I15" s="6">
        <v>4596</v>
      </c>
      <c r="J15" s="281">
        <v>46399.9999999942</v>
      </c>
      <c r="K15" s="278">
        <v>0</v>
      </c>
      <c r="L15" s="279">
        <v>0</v>
      </c>
      <c r="M15" s="278">
        <v>3905</v>
      </c>
      <c r="N15" s="278">
        <v>1296</v>
      </c>
      <c r="O15" s="280">
        <v>2.7</v>
      </c>
      <c r="P15" s="280">
        <v>0</v>
      </c>
      <c r="Q15" s="290">
        <v>5180</v>
      </c>
      <c r="R15" s="291">
        <f t="shared" si="0"/>
        <v>147548</v>
      </c>
      <c r="S15" s="292"/>
      <c r="T15" s="300" t="s">
        <v>52</v>
      </c>
      <c r="U15" s="304" t="s">
        <v>53</v>
      </c>
      <c r="V15" s="304" t="s">
        <v>54</v>
      </c>
      <c r="W15" s="305" t="s">
        <v>55</v>
      </c>
      <c r="X15" s="296"/>
      <c r="AB15" s="324">
        <f t="shared" si="1"/>
        <v>105.88</v>
      </c>
      <c r="AD15" s="3">
        <f t="shared" si="2"/>
        <v>0</v>
      </c>
      <c r="AE15" s="3">
        <f t="shared" si="3"/>
        <v>0.0237210941524114</v>
      </c>
      <c r="AF15" s="3">
        <f t="shared" si="4"/>
        <v>0</v>
      </c>
      <c r="AG15" s="3">
        <f t="shared" si="5"/>
        <v>0.0123860709735137</v>
      </c>
      <c r="AH15" s="3">
        <f t="shared" si="6"/>
        <v>0.0530879713720281</v>
      </c>
      <c r="AI15" s="3">
        <f t="shared" si="7"/>
        <v>0.0891951364979532</v>
      </c>
      <c r="AK15" s="3">
        <f>AB15*(100-进出水!T17)/100</f>
        <v>22.44656</v>
      </c>
      <c r="AL15" s="3">
        <f t="shared" si="8"/>
        <v>5.56878203163424</v>
      </c>
    </row>
    <row r="16" ht="18.6" customHeight="1" spans="1:38">
      <c r="A16" s="6">
        <v>12</v>
      </c>
      <c r="B16" s="267">
        <v>17.5</v>
      </c>
      <c r="C16" s="268" t="s">
        <v>43</v>
      </c>
      <c r="D16" s="269">
        <v>167128</v>
      </c>
      <c r="E16" s="270">
        <v>0</v>
      </c>
      <c r="F16" s="270">
        <v>69.6</v>
      </c>
      <c r="G16" s="270">
        <v>0</v>
      </c>
      <c r="H16" s="271">
        <v>175</v>
      </c>
      <c r="I16" s="6">
        <v>4326</v>
      </c>
      <c r="J16" s="282">
        <v>49899.9999999796</v>
      </c>
      <c r="K16" s="278">
        <v>0</v>
      </c>
      <c r="L16" s="279">
        <v>0.2</v>
      </c>
      <c r="M16" s="278">
        <v>3763</v>
      </c>
      <c r="N16" s="278">
        <v>1320</v>
      </c>
      <c r="O16" s="280">
        <v>2.7</v>
      </c>
      <c r="P16" s="280">
        <v>0</v>
      </c>
      <c r="Q16" s="290">
        <v>5168</v>
      </c>
      <c r="R16" s="291">
        <f t="shared" si="0"/>
        <v>161960</v>
      </c>
      <c r="S16" s="292"/>
      <c r="T16" s="306">
        <f>U16+V16+W16</f>
        <v>2433.32</v>
      </c>
      <c r="U16" s="303">
        <f>F37</f>
        <v>1461.04</v>
      </c>
      <c r="V16" s="303">
        <f>E37</f>
        <v>972.28</v>
      </c>
      <c r="W16" s="303">
        <f>G37</f>
        <v>0</v>
      </c>
      <c r="X16" s="296"/>
      <c r="AB16" s="324">
        <f t="shared" si="1"/>
        <v>69.6</v>
      </c>
      <c r="AD16" s="3">
        <f t="shared" si="2"/>
        <v>0</v>
      </c>
      <c r="AE16" s="3">
        <f t="shared" si="3"/>
        <v>0.0302543837984688</v>
      </c>
      <c r="AF16" s="3">
        <f t="shared" si="4"/>
        <v>1.2842677204248e-5</v>
      </c>
      <c r="AG16" s="3">
        <f t="shared" si="5"/>
        <v>0.0108735737219066</v>
      </c>
      <c r="AH16" s="3">
        <f t="shared" si="6"/>
        <v>0.0492595702642628</v>
      </c>
      <c r="AI16" s="3">
        <f t="shared" si="7"/>
        <v>0.0904003704618425</v>
      </c>
      <c r="AK16" s="3">
        <f>AB16*(100-进出水!T18)/100</f>
        <v>14.616</v>
      </c>
      <c r="AL16" s="3">
        <f t="shared" si="8"/>
        <v>11.9731800766284</v>
      </c>
    </row>
    <row r="17" ht="18.6" customHeight="1" spans="1:38">
      <c r="A17" s="6">
        <v>13</v>
      </c>
      <c r="B17" s="267">
        <v>17.3</v>
      </c>
      <c r="C17" s="268" t="s">
        <v>40</v>
      </c>
      <c r="D17" s="269">
        <v>160869</v>
      </c>
      <c r="E17" s="270">
        <v>53.76</v>
      </c>
      <c r="F17" s="270">
        <v>34.36</v>
      </c>
      <c r="G17" s="270">
        <v>0</v>
      </c>
      <c r="H17" s="271">
        <v>125</v>
      </c>
      <c r="I17" s="6">
        <v>4496</v>
      </c>
      <c r="J17" s="282">
        <v>49800.000000032</v>
      </c>
      <c r="K17" s="278">
        <v>0</v>
      </c>
      <c r="L17" s="279">
        <v>0</v>
      </c>
      <c r="M17" s="278">
        <v>2201</v>
      </c>
      <c r="N17" s="278">
        <v>792</v>
      </c>
      <c r="O17" s="280">
        <v>2.7</v>
      </c>
      <c r="P17" s="280">
        <v>0</v>
      </c>
      <c r="Q17" s="290">
        <v>3167</v>
      </c>
      <c r="R17" s="291">
        <f t="shared" si="0"/>
        <v>157702</v>
      </c>
      <c r="S17" s="292"/>
      <c r="T17" s="300" t="s">
        <v>56</v>
      </c>
      <c r="U17" s="307">
        <v>9.8</v>
      </c>
      <c r="V17" s="307">
        <v>9.8</v>
      </c>
      <c r="W17" s="302"/>
      <c r="X17" s="296"/>
      <c r="AB17" s="324">
        <f t="shared" si="1"/>
        <v>88.12</v>
      </c>
      <c r="AD17" s="3">
        <f t="shared" si="2"/>
        <v>0</v>
      </c>
      <c r="AE17" s="3">
        <f t="shared" si="3"/>
        <v>0.0221937578470787</v>
      </c>
      <c r="AF17" s="3">
        <f t="shared" si="4"/>
        <v>0</v>
      </c>
      <c r="AG17" s="3">
        <f t="shared" si="5"/>
        <v>0.00653173707372132</v>
      </c>
      <c r="AH17" s="3">
        <f t="shared" si="6"/>
        <v>0.0303537558179351</v>
      </c>
      <c r="AI17" s="3">
        <f t="shared" si="7"/>
        <v>0.0590792507387351</v>
      </c>
      <c r="AK17" s="3">
        <f>AB17*(100-进出水!T19)/100</f>
        <v>18.59332</v>
      </c>
      <c r="AL17" s="3">
        <f t="shared" si="8"/>
        <v>6.72284454847225</v>
      </c>
    </row>
    <row r="18" ht="18.6" customHeight="1" spans="1:38">
      <c r="A18" s="6">
        <v>14</v>
      </c>
      <c r="B18" s="267">
        <v>17.3</v>
      </c>
      <c r="C18" s="268" t="s">
        <v>57</v>
      </c>
      <c r="D18" s="269">
        <v>177050</v>
      </c>
      <c r="E18" s="270">
        <v>51.3</v>
      </c>
      <c r="F18" s="270">
        <v>35.02</v>
      </c>
      <c r="G18" s="270">
        <v>0</v>
      </c>
      <c r="H18" s="271">
        <v>175</v>
      </c>
      <c r="I18" s="6">
        <v>4080</v>
      </c>
      <c r="J18" s="282">
        <v>50799.9999999811</v>
      </c>
      <c r="K18" s="278">
        <v>0</v>
      </c>
      <c r="L18" s="279">
        <v>0</v>
      </c>
      <c r="M18" s="278">
        <v>1775</v>
      </c>
      <c r="N18" s="278">
        <v>552</v>
      </c>
      <c r="O18" s="280">
        <v>2.775</v>
      </c>
      <c r="P18" s="280">
        <v>0</v>
      </c>
      <c r="Q18" s="290">
        <v>5224</v>
      </c>
      <c r="R18" s="291">
        <f t="shared" si="0"/>
        <v>171826</v>
      </c>
      <c r="S18" s="292"/>
      <c r="T18" s="306">
        <f>U18+V18</f>
        <v>23846.53</v>
      </c>
      <c r="U18" s="308">
        <f>ROUND(U16*U17,2)</f>
        <v>14318.19</v>
      </c>
      <c r="V18" s="305">
        <f>ROUND(V16*V17,2)</f>
        <v>9528.34</v>
      </c>
      <c r="W18" s="302"/>
      <c r="X18" s="296"/>
      <c r="AB18" s="324">
        <f t="shared" si="1"/>
        <v>86.32</v>
      </c>
      <c r="AD18" s="3">
        <f t="shared" si="2"/>
        <v>0</v>
      </c>
      <c r="AE18" s="3">
        <f t="shared" si="3"/>
        <v>0.0285172209095248</v>
      </c>
      <c r="AF18" s="3">
        <f t="shared" si="4"/>
        <v>0</v>
      </c>
      <c r="AG18" s="3">
        <f t="shared" si="5"/>
        <v>0.00483454192031474</v>
      </c>
      <c r="AH18" s="3">
        <f t="shared" si="6"/>
        <v>0.0194166656966932</v>
      </c>
      <c r="AI18" s="3">
        <f t="shared" si="7"/>
        <v>0.0527684285265327</v>
      </c>
      <c r="AK18" s="3">
        <f>AB18*(100-进出水!T20)/100</f>
        <v>18.38616</v>
      </c>
      <c r="AL18" s="3">
        <f t="shared" si="8"/>
        <v>9.51802877816793</v>
      </c>
    </row>
    <row r="19" ht="18.6" customHeight="1" spans="1:38">
      <c r="A19" s="6">
        <v>15</v>
      </c>
      <c r="B19" s="267">
        <v>17.1</v>
      </c>
      <c r="C19" s="268" t="s">
        <v>57</v>
      </c>
      <c r="D19" s="269">
        <v>162227</v>
      </c>
      <c r="E19" s="270">
        <v>49.5</v>
      </c>
      <c r="F19" s="270">
        <v>32.78</v>
      </c>
      <c r="G19" s="270">
        <v>0</v>
      </c>
      <c r="H19" s="271">
        <v>175</v>
      </c>
      <c r="I19" s="6">
        <v>4652</v>
      </c>
      <c r="J19" s="282">
        <v>47500</v>
      </c>
      <c r="K19" s="278">
        <v>0</v>
      </c>
      <c r="L19" s="279">
        <v>0.2</v>
      </c>
      <c r="M19" s="278">
        <v>2840</v>
      </c>
      <c r="N19" s="278">
        <v>1008</v>
      </c>
      <c r="O19" s="280">
        <v>2.55</v>
      </c>
      <c r="P19" s="280">
        <v>0</v>
      </c>
      <c r="Q19" s="290">
        <v>5276</v>
      </c>
      <c r="R19" s="291">
        <f t="shared" si="0"/>
        <v>156951</v>
      </c>
      <c r="S19" s="292"/>
      <c r="T19" s="300" t="s">
        <v>58</v>
      </c>
      <c r="U19" s="304"/>
      <c r="V19" s="307">
        <v>0</v>
      </c>
      <c r="W19" s="302"/>
      <c r="X19" s="296"/>
      <c r="AB19" s="324">
        <f t="shared" si="1"/>
        <v>82.28</v>
      </c>
      <c r="AD19" s="3">
        <f t="shared" si="2"/>
        <v>0</v>
      </c>
      <c r="AE19" s="3">
        <f t="shared" si="3"/>
        <v>0.0312199348841358</v>
      </c>
      <c r="AF19" s="3">
        <f t="shared" si="4"/>
        <v>1.32525437875515e-5</v>
      </c>
      <c r="AG19" s="3">
        <f t="shared" si="5"/>
        <v>0.00846837548024543</v>
      </c>
      <c r="AH19" s="3">
        <f t="shared" si="6"/>
        <v>0.0388169046390275</v>
      </c>
      <c r="AI19" s="3">
        <f t="shared" si="7"/>
        <v>0.0785184675471962</v>
      </c>
      <c r="AK19" s="3">
        <f>AB19*(100-进出水!T21)/100</f>
        <v>17.60792</v>
      </c>
      <c r="AL19" s="3">
        <f t="shared" si="8"/>
        <v>9.93870939895229</v>
      </c>
    </row>
    <row r="20" ht="18.6" customHeight="1" spans="1:38">
      <c r="A20" s="6">
        <v>16</v>
      </c>
      <c r="B20" s="267">
        <v>16.2</v>
      </c>
      <c r="C20" s="268" t="s">
        <v>43</v>
      </c>
      <c r="D20" s="269">
        <v>152319</v>
      </c>
      <c r="E20" s="270">
        <v>53.64</v>
      </c>
      <c r="F20" s="270">
        <v>33.38</v>
      </c>
      <c r="G20" s="270">
        <v>0</v>
      </c>
      <c r="H20" s="271">
        <v>125</v>
      </c>
      <c r="I20" s="6">
        <v>3604</v>
      </c>
      <c r="J20" s="282">
        <v>49099.9999999985</v>
      </c>
      <c r="K20" s="278">
        <v>0</v>
      </c>
      <c r="L20" s="279">
        <v>0</v>
      </c>
      <c r="M20" s="278">
        <v>4544</v>
      </c>
      <c r="N20" s="278">
        <v>1560</v>
      </c>
      <c r="O20" s="280">
        <v>2.625</v>
      </c>
      <c r="P20" s="280">
        <v>0</v>
      </c>
      <c r="Q20" s="290">
        <v>5445</v>
      </c>
      <c r="R20" s="291">
        <f t="shared" si="0"/>
        <v>146874</v>
      </c>
      <c r="S20" s="292"/>
      <c r="T20" s="306">
        <f>U20+V20</f>
        <v>0</v>
      </c>
      <c r="U20" s="304"/>
      <c r="V20" s="305">
        <f>ROUND(V16*V19,2)</f>
        <v>0</v>
      </c>
      <c r="W20" s="302"/>
      <c r="X20" s="296"/>
      <c r="AB20" s="324">
        <f t="shared" si="1"/>
        <v>87.02</v>
      </c>
      <c r="AD20" s="3">
        <f t="shared" si="2"/>
        <v>0</v>
      </c>
      <c r="AE20" s="3">
        <f t="shared" si="3"/>
        <v>0.0238299494805071</v>
      </c>
      <c r="AF20" s="3">
        <f t="shared" si="4"/>
        <v>0</v>
      </c>
      <c r="AG20" s="3">
        <f t="shared" si="5"/>
        <v>0.0144790228359002</v>
      </c>
      <c r="AH20" s="3">
        <f t="shared" si="6"/>
        <v>0.0641954328199681</v>
      </c>
      <c r="AI20" s="3">
        <f t="shared" si="7"/>
        <v>0.102504405136375</v>
      </c>
      <c r="AK20" s="3">
        <f>AB20*(100-进出水!T22)/100</f>
        <v>18.88334</v>
      </c>
      <c r="AL20" s="3">
        <f t="shared" si="8"/>
        <v>6.61959166122095</v>
      </c>
    </row>
    <row r="21" ht="18.6" customHeight="1" spans="1:38">
      <c r="A21" s="6">
        <v>17</v>
      </c>
      <c r="B21" s="267">
        <v>15.8</v>
      </c>
      <c r="C21" s="268" t="s">
        <v>43</v>
      </c>
      <c r="D21" s="269">
        <v>128670</v>
      </c>
      <c r="E21" s="270">
        <v>53.04</v>
      </c>
      <c r="F21" s="270">
        <v>32.68</v>
      </c>
      <c r="G21" s="270">
        <v>0</v>
      </c>
      <c r="H21" s="271">
        <v>150</v>
      </c>
      <c r="I21" s="6">
        <v>3462</v>
      </c>
      <c r="J21" s="282">
        <v>42500</v>
      </c>
      <c r="K21" s="278">
        <v>0</v>
      </c>
      <c r="L21" s="279">
        <v>0.2</v>
      </c>
      <c r="M21" s="278">
        <v>3479</v>
      </c>
      <c r="N21" s="278">
        <v>1200</v>
      </c>
      <c r="O21" s="280">
        <v>2.7</v>
      </c>
      <c r="P21" s="280">
        <v>0</v>
      </c>
      <c r="Q21" s="290">
        <v>5423</v>
      </c>
      <c r="R21" s="291">
        <f t="shared" si="0"/>
        <v>123247</v>
      </c>
      <c r="S21" s="292"/>
      <c r="T21" s="300" t="s">
        <v>59</v>
      </c>
      <c r="U21" s="309" t="s">
        <v>60</v>
      </c>
      <c r="V21" s="288">
        <f>V17+V19</f>
        <v>9.8</v>
      </c>
      <c r="W21" s="57" t="s">
        <v>61</v>
      </c>
      <c r="X21" s="296"/>
      <c r="AB21" s="324">
        <f t="shared" si="1"/>
        <v>85.72</v>
      </c>
      <c r="AD21" s="3">
        <f t="shared" si="2"/>
        <v>0</v>
      </c>
      <c r="AE21" s="3">
        <f t="shared" si="3"/>
        <v>0.0340779085900671</v>
      </c>
      <c r="AF21" s="3">
        <f t="shared" si="4"/>
        <v>1.68766785398428e-5</v>
      </c>
      <c r="AG21" s="3">
        <f t="shared" si="5"/>
        <v>0.0132106420440254</v>
      </c>
      <c r="AH21" s="3">
        <f t="shared" si="6"/>
        <v>0.0588476798623902</v>
      </c>
      <c r="AI21" s="3">
        <f t="shared" si="7"/>
        <v>0.106153107175023</v>
      </c>
      <c r="AK21" s="3">
        <f>AB21*(100-进出水!T23)/100</f>
        <v>18.17264</v>
      </c>
      <c r="AL21" s="3">
        <f t="shared" si="8"/>
        <v>8.25416670335185</v>
      </c>
    </row>
    <row r="22" ht="18.6" customHeight="1" spans="1:38">
      <c r="A22" s="6">
        <v>18</v>
      </c>
      <c r="B22" s="267">
        <v>15.6</v>
      </c>
      <c r="C22" s="268" t="s">
        <v>43</v>
      </c>
      <c r="D22" s="269">
        <v>121698</v>
      </c>
      <c r="E22" s="270">
        <v>0</v>
      </c>
      <c r="F22" s="270">
        <v>66.38</v>
      </c>
      <c r="G22" s="270">
        <v>0</v>
      </c>
      <c r="H22" s="271">
        <v>150</v>
      </c>
      <c r="I22" s="6">
        <v>4186</v>
      </c>
      <c r="J22" s="64">
        <v>42799.9999999884</v>
      </c>
      <c r="K22" s="278">
        <v>0</v>
      </c>
      <c r="L22" s="279">
        <v>0</v>
      </c>
      <c r="M22" s="278">
        <v>2201</v>
      </c>
      <c r="N22" s="278">
        <v>792</v>
      </c>
      <c r="O22" s="280">
        <v>2.625</v>
      </c>
      <c r="P22" s="280">
        <v>0</v>
      </c>
      <c r="Q22" s="290">
        <v>5465</v>
      </c>
      <c r="R22" s="291">
        <f t="shared" si="0"/>
        <v>116233</v>
      </c>
      <c r="S22" s="292"/>
      <c r="T22" s="306">
        <f>T18+T20</f>
        <v>23846.53</v>
      </c>
      <c r="U22" s="309"/>
      <c r="V22" s="57"/>
      <c r="W22" s="310">
        <f>T16-E37-F37-G37</f>
        <v>0</v>
      </c>
      <c r="X22" s="296"/>
      <c r="AB22" s="324">
        <f t="shared" si="1"/>
        <v>66.38</v>
      </c>
      <c r="AD22" s="3">
        <f t="shared" si="2"/>
        <v>0</v>
      </c>
      <c r="AE22" s="3">
        <f t="shared" si="3"/>
        <v>0.0361343164161641</v>
      </c>
      <c r="AF22" s="3">
        <f t="shared" si="4"/>
        <v>0</v>
      </c>
      <c r="AG22" s="3">
        <f t="shared" si="5"/>
        <v>0.00886209596242031</v>
      </c>
      <c r="AH22" s="3">
        <f t="shared" si="6"/>
        <v>0.0411832095876386</v>
      </c>
      <c r="AI22" s="3">
        <f t="shared" si="7"/>
        <v>0.086179621966223</v>
      </c>
      <c r="AK22" s="3">
        <f>AB22*(100-进出水!T24)/100</f>
        <v>14.2717</v>
      </c>
      <c r="AL22" s="3">
        <f t="shared" si="8"/>
        <v>10.510310614713</v>
      </c>
    </row>
    <row r="23" ht="18.6" customHeight="1" spans="1:38">
      <c r="A23" s="6">
        <v>19</v>
      </c>
      <c r="B23" s="267">
        <v>15.5</v>
      </c>
      <c r="C23" s="268" t="s">
        <v>43</v>
      </c>
      <c r="D23" s="269">
        <v>109865</v>
      </c>
      <c r="E23" s="270">
        <v>0</v>
      </c>
      <c r="F23" s="270">
        <v>65.62</v>
      </c>
      <c r="G23" s="270">
        <v>0</v>
      </c>
      <c r="H23" s="271">
        <v>50</v>
      </c>
      <c r="I23" s="6">
        <v>4632</v>
      </c>
      <c r="J23" s="64">
        <v>37500</v>
      </c>
      <c r="K23" s="278">
        <v>0</v>
      </c>
      <c r="L23" s="279">
        <v>0.2</v>
      </c>
      <c r="M23" s="278">
        <v>1988</v>
      </c>
      <c r="N23" s="278">
        <v>720</v>
      </c>
      <c r="O23" s="280">
        <v>2.7</v>
      </c>
      <c r="P23" s="280">
        <v>0</v>
      </c>
      <c r="Q23" s="290">
        <v>5461</v>
      </c>
      <c r="R23" s="291">
        <f t="shared" si="0"/>
        <v>104404</v>
      </c>
      <c r="S23" s="292"/>
      <c r="T23" s="293"/>
      <c r="U23" s="311"/>
      <c r="V23" s="57"/>
      <c r="W23" s="57"/>
      <c r="X23" s="57"/>
      <c r="AB23" s="324">
        <f t="shared" si="1"/>
        <v>65.62</v>
      </c>
      <c r="AD23" s="3">
        <f t="shared" si="2"/>
        <v>0</v>
      </c>
      <c r="AE23" s="3">
        <f t="shared" si="3"/>
        <v>0.013409447913873</v>
      </c>
      <c r="AF23" s="3">
        <f t="shared" si="4"/>
        <v>1.99226083291828e-5</v>
      </c>
      <c r="AG23" s="3">
        <f t="shared" si="5"/>
        <v>0.00891138270564346</v>
      </c>
      <c r="AH23" s="3">
        <f t="shared" si="6"/>
        <v>0.0416811616413164</v>
      </c>
      <c r="AI23" s="3">
        <f t="shared" si="7"/>
        <v>0.0640219148691621</v>
      </c>
      <c r="AK23" s="3">
        <f>AB23*(100-进出水!T25)/100</f>
        <v>13.97706</v>
      </c>
      <c r="AL23" s="3">
        <f t="shared" si="8"/>
        <v>3.57729021696981</v>
      </c>
    </row>
    <row r="24" ht="18.6" customHeight="1" spans="1:38">
      <c r="A24" s="6">
        <v>20</v>
      </c>
      <c r="B24" s="267">
        <v>15.7</v>
      </c>
      <c r="C24" s="268" t="s">
        <v>43</v>
      </c>
      <c r="D24" s="269">
        <v>104044</v>
      </c>
      <c r="E24" s="270">
        <v>0</v>
      </c>
      <c r="F24" s="270">
        <v>69</v>
      </c>
      <c r="G24" s="270">
        <v>0</v>
      </c>
      <c r="H24" s="271">
        <v>75</v>
      </c>
      <c r="I24" s="6">
        <v>4988</v>
      </c>
      <c r="J24" s="64">
        <v>37500</v>
      </c>
      <c r="K24" s="278">
        <v>0</v>
      </c>
      <c r="L24" s="279">
        <v>0</v>
      </c>
      <c r="M24" s="278">
        <v>1420</v>
      </c>
      <c r="N24" s="278">
        <v>528</v>
      </c>
      <c r="O24" s="280">
        <v>2.625</v>
      </c>
      <c r="P24" s="280">
        <v>0</v>
      </c>
      <c r="Q24" s="290">
        <v>5441</v>
      </c>
      <c r="R24" s="291">
        <f t="shared" si="0"/>
        <v>98603</v>
      </c>
      <c r="S24" s="292"/>
      <c r="T24" s="293" t="s">
        <v>62</v>
      </c>
      <c r="U24" s="311" t="s">
        <v>63</v>
      </c>
      <c r="V24" s="312">
        <f>H37</f>
        <v>3525</v>
      </c>
      <c r="W24" s="57">
        <f>L37</f>
        <v>2.4</v>
      </c>
      <c r="X24" s="57"/>
      <c r="AB24" s="324">
        <f t="shared" si="1"/>
        <v>69</v>
      </c>
      <c r="AD24" s="3">
        <f t="shared" si="2"/>
        <v>0</v>
      </c>
      <c r="AE24" s="3">
        <f t="shared" si="3"/>
        <v>0.0212975264444287</v>
      </c>
      <c r="AF24" s="3">
        <f t="shared" si="4"/>
        <v>0</v>
      </c>
      <c r="AG24" s="3">
        <f t="shared" si="5"/>
        <v>0.00673975436852834</v>
      </c>
      <c r="AH24" s="3">
        <f t="shared" si="6"/>
        <v>0.0323644513858605</v>
      </c>
      <c r="AI24" s="3">
        <f t="shared" si="7"/>
        <v>0.0604017321988175</v>
      </c>
      <c r="AK24" s="3">
        <f>AB24*(100-进出水!T26)/100</f>
        <v>14.766</v>
      </c>
      <c r="AL24" s="3">
        <f t="shared" si="8"/>
        <v>5.07923608289313</v>
      </c>
    </row>
    <row r="25" ht="18.6" customHeight="1" spans="1:38">
      <c r="A25" s="6">
        <v>21</v>
      </c>
      <c r="B25" s="267">
        <v>15.6</v>
      </c>
      <c r="C25" s="268" t="s">
        <v>57</v>
      </c>
      <c r="D25" s="269">
        <v>106422</v>
      </c>
      <c r="E25" s="270">
        <v>0</v>
      </c>
      <c r="F25" s="270">
        <v>0</v>
      </c>
      <c r="G25" s="270">
        <v>0</v>
      </c>
      <c r="H25" s="271">
        <v>50</v>
      </c>
      <c r="I25" s="6">
        <v>4492</v>
      </c>
      <c r="J25" s="282">
        <v>37600.0000000204</v>
      </c>
      <c r="K25" s="278">
        <v>0</v>
      </c>
      <c r="L25" s="279">
        <v>0</v>
      </c>
      <c r="M25" s="278">
        <v>1207</v>
      </c>
      <c r="N25" s="278">
        <v>432</v>
      </c>
      <c r="O25" s="280">
        <v>2.7</v>
      </c>
      <c r="P25" s="280">
        <v>0</v>
      </c>
      <c r="Q25" s="290">
        <v>5427</v>
      </c>
      <c r="R25" s="291">
        <f t="shared" si="0"/>
        <v>100995</v>
      </c>
      <c r="S25" s="292"/>
      <c r="T25" s="293"/>
      <c r="U25" s="311" t="s">
        <v>64</v>
      </c>
      <c r="V25" s="287">
        <f>汇总!F6</f>
        <v>6.75355745794488</v>
      </c>
      <c r="W25" s="287">
        <f>W24/R37*1000</f>
        <v>0.000624001435203301</v>
      </c>
      <c r="X25" s="57"/>
      <c r="AB25" s="324">
        <f t="shared" si="1"/>
        <v>0</v>
      </c>
      <c r="AD25" s="3">
        <f t="shared" si="2"/>
        <v>0</v>
      </c>
      <c r="AE25" s="3">
        <f t="shared" si="3"/>
        <v>0.0138620723798208</v>
      </c>
      <c r="AF25" s="3">
        <f t="shared" si="4"/>
        <v>0</v>
      </c>
      <c r="AG25" s="3">
        <f t="shared" si="5"/>
        <v>0.00559310856973117</v>
      </c>
      <c r="AH25" s="3">
        <f t="shared" si="6"/>
        <v>0.0258528442002079</v>
      </c>
      <c r="AI25" s="3">
        <f t="shared" si="7"/>
        <v>0.0453080251497599</v>
      </c>
      <c r="AK25" s="3">
        <f>AB25*(100-进出水!T27)/100</f>
        <v>0</v>
      </c>
      <c r="AL25" s="3" t="e">
        <f t="shared" si="8"/>
        <v>#DIV/0!</v>
      </c>
    </row>
    <row r="26" ht="18.6" customHeight="1" spans="1:38">
      <c r="A26" s="6">
        <v>22</v>
      </c>
      <c r="B26" s="267">
        <v>15.3</v>
      </c>
      <c r="C26" s="268" t="s">
        <v>57</v>
      </c>
      <c r="D26" s="269">
        <v>101397</v>
      </c>
      <c r="E26" s="270">
        <v>0</v>
      </c>
      <c r="F26" s="270">
        <v>0</v>
      </c>
      <c r="G26" s="270">
        <v>0</v>
      </c>
      <c r="H26" s="271">
        <v>0</v>
      </c>
      <c r="I26" s="6">
        <v>4488</v>
      </c>
      <c r="J26" s="64">
        <v>35699.9999999971</v>
      </c>
      <c r="K26" s="278">
        <v>0</v>
      </c>
      <c r="L26" s="279">
        <v>0.2</v>
      </c>
      <c r="M26" s="278">
        <v>1065</v>
      </c>
      <c r="N26" s="278">
        <v>408</v>
      </c>
      <c r="O26" s="280">
        <v>2.7</v>
      </c>
      <c r="P26" s="280">
        <v>0</v>
      </c>
      <c r="Q26" s="290">
        <v>5451</v>
      </c>
      <c r="R26" s="291">
        <f t="shared" si="0"/>
        <v>95946</v>
      </c>
      <c r="S26" s="292"/>
      <c r="T26" s="293" t="s">
        <v>9</v>
      </c>
      <c r="U26" s="311" t="s">
        <v>63</v>
      </c>
      <c r="V26" s="312">
        <f>K37</f>
        <v>104640</v>
      </c>
      <c r="W26" s="57"/>
      <c r="X26" s="57"/>
      <c r="AB26" s="324">
        <f t="shared" si="1"/>
        <v>0</v>
      </c>
      <c r="AD26" s="3">
        <f t="shared" si="2"/>
        <v>0</v>
      </c>
      <c r="AE26" s="3">
        <f t="shared" si="3"/>
        <v>0</v>
      </c>
      <c r="AF26" s="3">
        <f t="shared" si="4"/>
        <v>2.16788610259938e-5</v>
      </c>
      <c r="AG26" s="3">
        <f t="shared" si="5"/>
        <v>0.00519479707335376</v>
      </c>
      <c r="AH26" s="3">
        <f t="shared" si="6"/>
        <v>0.0257014570696017</v>
      </c>
      <c r="AI26" s="3">
        <f t="shared" si="7"/>
        <v>0.0309179330039814</v>
      </c>
      <c r="AK26" s="3">
        <f>AB26*(100-进出水!T28)/100</f>
        <v>0</v>
      </c>
      <c r="AL26" s="3" t="e">
        <f t="shared" si="8"/>
        <v>#DIV/0!</v>
      </c>
    </row>
    <row r="27" ht="18.6" customHeight="1" spans="1:38">
      <c r="A27" s="6">
        <v>23</v>
      </c>
      <c r="B27" s="267">
        <v>15.5</v>
      </c>
      <c r="C27" s="268" t="s">
        <v>57</v>
      </c>
      <c r="D27" s="269">
        <v>94974</v>
      </c>
      <c r="E27" s="270">
        <v>0</v>
      </c>
      <c r="F27" s="270">
        <v>99.02</v>
      </c>
      <c r="G27" s="270">
        <v>0</v>
      </c>
      <c r="H27" s="271">
        <v>100</v>
      </c>
      <c r="I27" s="6">
        <v>4832</v>
      </c>
      <c r="J27" s="64">
        <v>35299.9999999884</v>
      </c>
      <c r="K27" s="278">
        <v>0</v>
      </c>
      <c r="L27" s="279">
        <v>0</v>
      </c>
      <c r="M27" s="278">
        <v>1420</v>
      </c>
      <c r="N27" s="278">
        <v>504</v>
      </c>
      <c r="O27" s="280">
        <v>2.625</v>
      </c>
      <c r="P27" s="280">
        <v>0</v>
      </c>
      <c r="Q27" s="290">
        <v>5415</v>
      </c>
      <c r="R27" s="291">
        <f t="shared" si="0"/>
        <v>89559</v>
      </c>
      <c r="S27" s="292"/>
      <c r="T27" s="293"/>
      <c r="U27" s="311" t="s">
        <v>65</v>
      </c>
      <c r="V27" s="310">
        <f>ROUND(K37/R37*1000,1)</f>
        <v>27.2</v>
      </c>
      <c r="W27" s="57"/>
      <c r="X27" s="57"/>
      <c r="AB27" s="324">
        <f t="shared" si="1"/>
        <v>99.02</v>
      </c>
      <c r="AD27" s="3">
        <f t="shared" si="2"/>
        <v>0</v>
      </c>
      <c r="AE27" s="3">
        <f t="shared" si="3"/>
        <v>0.0312643062115477</v>
      </c>
      <c r="AF27" s="3">
        <f t="shared" si="4"/>
        <v>0</v>
      </c>
      <c r="AG27" s="3">
        <f t="shared" si="5"/>
        <v>0.00742035976283791</v>
      </c>
      <c r="AH27" s="3">
        <f t="shared" si="6"/>
        <v>0.034013064013667</v>
      </c>
      <c r="AI27" s="3">
        <f t="shared" si="7"/>
        <v>0.0726977299880526</v>
      </c>
      <c r="AK27" s="3">
        <f>AB27*(100-进出水!T29)/100</f>
        <v>21.48734</v>
      </c>
      <c r="AL27" s="3">
        <f t="shared" si="8"/>
        <v>4.65390318205976</v>
      </c>
    </row>
    <row r="28" ht="18.6" customHeight="1" spans="1:38">
      <c r="A28" s="6">
        <v>24</v>
      </c>
      <c r="B28" s="267">
        <v>13.8</v>
      </c>
      <c r="C28" s="268" t="s">
        <v>43</v>
      </c>
      <c r="D28" s="269">
        <v>119429</v>
      </c>
      <c r="E28" s="270">
        <v>0</v>
      </c>
      <c r="F28" s="270">
        <v>70.98</v>
      </c>
      <c r="G28" s="270">
        <v>0</v>
      </c>
      <c r="H28" s="271">
        <v>125</v>
      </c>
      <c r="I28" s="6">
        <v>5044</v>
      </c>
      <c r="J28" s="64">
        <v>40100.0000000204</v>
      </c>
      <c r="K28" s="278">
        <v>0</v>
      </c>
      <c r="L28" s="279">
        <v>0.2</v>
      </c>
      <c r="M28" s="278">
        <v>1207</v>
      </c>
      <c r="N28" s="278">
        <v>432</v>
      </c>
      <c r="O28" s="280">
        <v>3.45</v>
      </c>
      <c r="P28" s="280">
        <v>0</v>
      </c>
      <c r="Q28" s="290">
        <v>5444</v>
      </c>
      <c r="R28" s="291">
        <f t="shared" si="0"/>
        <v>113985</v>
      </c>
      <c r="S28" s="292"/>
      <c r="T28" s="293" t="s">
        <v>11</v>
      </c>
      <c r="U28" s="311" t="s">
        <v>63</v>
      </c>
      <c r="V28" s="312">
        <f>M37</f>
        <v>77603</v>
      </c>
      <c r="W28" s="57"/>
      <c r="X28" s="57"/>
      <c r="AB28" s="324">
        <f t="shared" si="1"/>
        <v>70.98</v>
      </c>
      <c r="AD28" s="3">
        <f t="shared" si="2"/>
        <v>0</v>
      </c>
      <c r="AE28" s="3">
        <f t="shared" si="3"/>
        <v>0.0307057946220994</v>
      </c>
      <c r="AF28" s="3">
        <f t="shared" si="4"/>
        <v>1.82480150897048e-5</v>
      </c>
      <c r="AG28" s="3">
        <f t="shared" si="5"/>
        <v>0.00495570469798658</v>
      </c>
      <c r="AH28" s="3">
        <f t="shared" si="6"/>
        <v>0.0229065929727596</v>
      </c>
      <c r="AI28" s="3">
        <f t="shared" si="7"/>
        <v>0.0585863403079353</v>
      </c>
      <c r="AK28" s="3">
        <f>AB28*(100-进出水!T30)/100</f>
        <v>15.11874</v>
      </c>
      <c r="AL28" s="3">
        <f t="shared" si="8"/>
        <v>8.26788475759223</v>
      </c>
    </row>
    <row r="29" ht="18.6" customHeight="1" spans="1:38">
      <c r="A29" s="6">
        <v>25</v>
      </c>
      <c r="B29" s="267">
        <v>15.2</v>
      </c>
      <c r="C29" s="268" t="s">
        <v>43</v>
      </c>
      <c r="D29" s="269">
        <v>94725</v>
      </c>
      <c r="E29" s="270">
        <v>0</v>
      </c>
      <c r="F29" s="270">
        <v>35.8</v>
      </c>
      <c r="G29" s="270">
        <v>0</v>
      </c>
      <c r="H29" s="271">
        <v>100</v>
      </c>
      <c r="I29" s="6">
        <v>3266</v>
      </c>
      <c r="J29" s="64">
        <v>36499.9999999782</v>
      </c>
      <c r="K29" s="278">
        <v>0</v>
      </c>
      <c r="L29" s="279">
        <v>0</v>
      </c>
      <c r="M29" s="278">
        <v>1278</v>
      </c>
      <c r="N29" s="278">
        <v>456</v>
      </c>
      <c r="O29" s="280">
        <v>2.775</v>
      </c>
      <c r="P29" s="280">
        <v>0</v>
      </c>
      <c r="Q29" s="290">
        <v>5431</v>
      </c>
      <c r="R29" s="291">
        <f t="shared" si="0"/>
        <v>89294</v>
      </c>
      <c r="S29" s="292"/>
      <c r="T29" s="293"/>
      <c r="U29" s="311" t="s">
        <v>65</v>
      </c>
      <c r="V29" s="313">
        <f>ROUND(M37/R37*1000,1)</f>
        <v>20.2</v>
      </c>
      <c r="W29" s="57"/>
      <c r="X29" s="57"/>
      <c r="AB29" s="324">
        <f t="shared" si="1"/>
        <v>35.8</v>
      </c>
      <c r="AD29" s="3">
        <f t="shared" si="2"/>
        <v>0</v>
      </c>
      <c r="AE29" s="3">
        <f t="shared" si="3"/>
        <v>0.0313570900620422</v>
      </c>
      <c r="AF29" s="3">
        <f t="shared" si="4"/>
        <v>0</v>
      </c>
      <c r="AG29" s="3">
        <f t="shared" si="5"/>
        <v>0.0066981432123099</v>
      </c>
      <c r="AH29" s="3">
        <f t="shared" si="6"/>
        <v>0.0308650525231259</v>
      </c>
      <c r="AI29" s="3">
        <f t="shared" si="7"/>
        <v>0.0689202857974779</v>
      </c>
      <c r="AK29" s="3">
        <f>AB29*(100-进出水!T31)/100</f>
        <v>7.697</v>
      </c>
      <c r="AL29" s="3">
        <f t="shared" si="8"/>
        <v>12.992074834351</v>
      </c>
    </row>
    <row r="30" ht="18.6" customHeight="1" spans="1:38">
      <c r="A30" s="6">
        <v>26</v>
      </c>
      <c r="B30" s="267">
        <v>14.6</v>
      </c>
      <c r="C30" s="268" t="s">
        <v>43</v>
      </c>
      <c r="D30" s="269">
        <v>83427</v>
      </c>
      <c r="E30" s="270">
        <v>0</v>
      </c>
      <c r="F30" s="270">
        <v>35.62</v>
      </c>
      <c r="G30" s="270">
        <v>0</v>
      </c>
      <c r="H30" s="271">
        <v>150</v>
      </c>
      <c r="I30" s="6">
        <v>3320</v>
      </c>
      <c r="J30" s="64">
        <v>37700.0000000044</v>
      </c>
      <c r="K30" s="278">
        <v>18240</v>
      </c>
      <c r="L30" s="279">
        <v>0</v>
      </c>
      <c r="M30" s="278">
        <v>1278</v>
      </c>
      <c r="N30" s="278">
        <v>456</v>
      </c>
      <c r="O30" s="280">
        <v>4.425</v>
      </c>
      <c r="P30" s="280">
        <v>0</v>
      </c>
      <c r="Q30" s="290">
        <v>5437</v>
      </c>
      <c r="R30" s="291">
        <f t="shared" si="0"/>
        <v>77990</v>
      </c>
      <c r="S30" s="292"/>
      <c r="T30" s="293" t="s">
        <v>12</v>
      </c>
      <c r="U30" s="311" t="s">
        <v>63</v>
      </c>
      <c r="V30" s="312">
        <f>处理量!N37</f>
        <v>27024</v>
      </c>
      <c r="W30" s="57"/>
      <c r="X30" s="57"/>
      <c r="AB30" s="324">
        <f t="shared" si="1"/>
        <v>35.62</v>
      </c>
      <c r="AD30" s="3">
        <f t="shared" si="2"/>
        <v>0.0972924733940249</v>
      </c>
      <c r="AE30" s="3">
        <f t="shared" si="3"/>
        <v>0.0538530580843698</v>
      </c>
      <c r="AF30" s="3">
        <f t="shared" si="4"/>
        <v>0</v>
      </c>
      <c r="AG30" s="3">
        <f t="shared" si="5"/>
        <v>0.00766898320297474</v>
      </c>
      <c r="AH30" s="3">
        <f t="shared" si="6"/>
        <v>0.0353386844467239</v>
      </c>
      <c r="AI30" s="3">
        <f t="shared" si="7"/>
        <v>0.194153199128093</v>
      </c>
      <c r="AK30" s="3">
        <f>AB30*(100-进出水!T32)/100</f>
        <v>7.76516</v>
      </c>
      <c r="AL30" s="3">
        <f t="shared" si="8"/>
        <v>19.3170520633187</v>
      </c>
    </row>
    <row r="31" ht="18.6" customHeight="1" spans="1:38">
      <c r="A31" s="6">
        <v>27</v>
      </c>
      <c r="B31" s="267">
        <v>14.2</v>
      </c>
      <c r="C31" s="268" t="s">
        <v>43</v>
      </c>
      <c r="D31" s="269">
        <v>100979</v>
      </c>
      <c r="E31" s="270">
        <v>36.06</v>
      </c>
      <c r="F31" s="270">
        <v>101.24</v>
      </c>
      <c r="G31" s="270">
        <v>0</v>
      </c>
      <c r="H31" s="271">
        <v>150</v>
      </c>
      <c r="I31" s="6">
        <v>3364</v>
      </c>
      <c r="J31" s="64">
        <v>40600.0000000131</v>
      </c>
      <c r="K31" s="278">
        <v>14040</v>
      </c>
      <c r="L31" s="279">
        <v>0.2</v>
      </c>
      <c r="M31" s="278">
        <v>1775</v>
      </c>
      <c r="N31" s="278">
        <v>648</v>
      </c>
      <c r="O31" s="280">
        <v>5.4</v>
      </c>
      <c r="P31" s="280">
        <v>0</v>
      </c>
      <c r="Q31" s="290">
        <v>5419</v>
      </c>
      <c r="R31" s="291">
        <f t="shared" si="0"/>
        <v>95560</v>
      </c>
      <c r="S31" s="292"/>
      <c r="T31" s="293"/>
      <c r="U31" s="311" t="s">
        <v>65</v>
      </c>
      <c r="V31" s="310">
        <f>ROUND(N37/R37*1000,2)</f>
        <v>7.03</v>
      </c>
      <c r="W31" s="57"/>
      <c r="X31" s="57"/>
      <c r="AB31" s="324">
        <f t="shared" si="1"/>
        <v>137.3</v>
      </c>
      <c r="AD31" s="3">
        <f t="shared" si="2"/>
        <v>0.0611201339472583</v>
      </c>
      <c r="AE31" s="3">
        <f t="shared" si="3"/>
        <v>0.0439514441188782</v>
      </c>
      <c r="AF31" s="3">
        <f t="shared" si="4"/>
        <v>2.17664294683968e-5</v>
      </c>
      <c r="AG31" s="3">
        <f t="shared" si="5"/>
        <v>0.00869296776894098</v>
      </c>
      <c r="AH31" s="3">
        <f t="shared" si="6"/>
        <v>0.0409848472164085</v>
      </c>
      <c r="AI31" s="3">
        <f t="shared" si="7"/>
        <v>0.154771159480954</v>
      </c>
      <c r="AK31" s="3">
        <f>AB31*(100-进出水!T33)/100</f>
        <v>29.5195</v>
      </c>
      <c r="AL31" s="3">
        <f t="shared" si="8"/>
        <v>5.08138687985908</v>
      </c>
    </row>
    <row r="32" ht="18.6" customHeight="1" spans="1:38">
      <c r="A32" s="6">
        <v>28</v>
      </c>
      <c r="B32" s="267">
        <v>14.3</v>
      </c>
      <c r="C32" s="268" t="s">
        <v>43</v>
      </c>
      <c r="D32" s="269">
        <v>109760</v>
      </c>
      <c r="E32" s="270">
        <v>34.28</v>
      </c>
      <c r="F32" s="270">
        <v>81.48</v>
      </c>
      <c r="G32" s="270">
        <v>0</v>
      </c>
      <c r="H32" s="271">
        <v>50</v>
      </c>
      <c r="I32" s="6">
        <v>4450</v>
      </c>
      <c r="J32" s="64">
        <v>39799.9999999956</v>
      </c>
      <c r="K32" s="278">
        <v>0</v>
      </c>
      <c r="L32" s="279">
        <v>0</v>
      </c>
      <c r="M32" s="278">
        <v>3550</v>
      </c>
      <c r="N32" s="278">
        <v>1176</v>
      </c>
      <c r="O32" s="280">
        <v>5.475</v>
      </c>
      <c r="P32" s="280">
        <v>0</v>
      </c>
      <c r="Q32" s="290">
        <v>5426</v>
      </c>
      <c r="R32" s="291">
        <f t="shared" si="0"/>
        <v>104334</v>
      </c>
      <c r="S32" s="292"/>
      <c r="T32" s="293" t="s">
        <v>66</v>
      </c>
      <c r="U32" s="311" t="s">
        <v>67</v>
      </c>
      <c r="V32" s="57">
        <f>O37</f>
        <v>108.76</v>
      </c>
      <c r="W32" s="57"/>
      <c r="X32" s="57"/>
      <c r="AB32" s="324">
        <f t="shared" si="1"/>
        <v>115.76</v>
      </c>
      <c r="AD32" s="3">
        <f t="shared" si="2"/>
        <v>0</v>
      </c>
      <c r="AE32" s="3">
        <f t="shared" si="3"/>
        <v>0.0134184446105776</v>
      </c>
      <c r="AF32" s="3">
        <f t="shared" si="4"/>
        <v>0</v>
      </c>
      <c r="AG32" s="3">
        <f t="shared" si="5"/>
        <v>0.0159238599114383</v>
      </c>
      <c r="AH32" s="3">
        <f t="shared" si="6"/>
        <v>0.0681249065501179</v>
      </c>
      <c r="AI32" s="3">
        <f t="shared" si="7"/>
        <v>0.0974672110721337</v>
      </c>
      <c r="AK32" s="3">
        <f>AB32*(100-进出水!T34)/100</f>
        <v>24.65688</v>
      </c>
      <c r="AL32" s="3">
        <f t="shared" si="8"/>
        <v>2.02783158290911</v>
      </c>
    </row>
    <row r="33" ht="18.6" customHeight="1" spans="1:38">
      <c r="A33" s="6">
        <v>29</v>
      </c>
      <c r="B33" s="267">
        <v>14.4</v>
      </c>
      <c r="C33" s="268" t="s">
        <v>43</v>
      </c>
      <c r="D33" s="269">
        <v>118487</v>
      </c>
      <c r="E33" s="270">
        <v>34.3</v>
      </c>
      <c r="F33" s="270">
        <v>0</v>
      </c>
      <c r="G33" s="270">
        <v>0</v>
      </c>
      <c r="H33" s="271">
        <v>0</v>
      </c>
      <c r="I33" s="6">
        <v>4636</v>
      </c>
      <c r="J33" s="64">
        <v>40999.9999999854</v>
      </c>
      <c r="K33" s="278">
        <v>0</v>
      </c>
      <c r="L33" s="279">
        <v>0.2</v>
      </c>
      <c r="M33" s="278">
        <v>3053</v>
      </c>
      <c r="N33" s="278">
        <v>1056</v>
      </c>
      <c r="O33" s="280">
        <v>5.475</v>
      </c>
      <c r="P33" s="280">
        <v>0</v>
      </c>
      <c r="Q33" s="290">
        <v>5440</v>
      </c>
      <c r="R33" s="291">
        <f t="shared" si="0"/>
        <v>113047</v>
      </c>
      <c r="S33" s="292"/>
      <c r="T33" s="293"/>
      <c r="U33" s="311" t="s">
        <v>65</v>
      </c>
      <c r="V33" s="310">
        <f>ROUND(V32/R37*1000000,2)</f>
        <v>28.28</v>
      </c>
      <c r="W33" s="57"/>
      <c r="X33" s="57"/>
      <c r="AB33" s="324">
        <f t="shared" si="1"/>
        <v>34.3</v>
      </c>
      <c r="AD33" s="3">
        <f t="shared" si="2"/>
        <v>0</v>
      </c>
      <c r="AE33" s="3">
        <f t="shared" si="3"/>
        <v>0</v>
      </c>
      <c r="AF33" s="3">
        <f t="shared" si="4"/>
        <v>1.83994267870886e-5</v>
      </c>
      <c r="AG33" s="3">
        <f t="shared" si="5"/>
        <v>0.0126390262457208</v>
      </c>
      <c r="AH33" s="3">
        <f t="shared" si="6"/>
        <v>0.056458499562129</v>
      </c>
      <c r="AI33" s="3">
        <f t="shared" si="7"/>
        <v>0.0691159252346369</v>
      </c>
      <c r="AK33" s="3">
        <f>AB33*(100-进出水!T35)/100</f>
        <v>7.2373</v>
      </c>
      <c r="AL33" s="3">
        <f t="shared" si="8"/>
        <v>0</v>
      </c>
    </row>
    <row r="34" ht="18.6" customHeight="1" spans="1:38">
      <c r="A34" s="6">
        <v>30</v>
      </c>
      <c r="B34" s="267">
        <v>14.2</v>
      </c>
      <c r="C34" s="268" t="s">
        <v>43</v>
      </c>
      <c r="D34" s="269">
        <v>126116</v>
      </c>
      <c r="E34" s="270">
        <v>34.02</v>
      </c>
      <c r="F34" s="270">
        <v>0</v>
      </c>
      <c r="G34" s="270">
        <v>0</v>
      </c>
      <c r="H34" s="271">
        <v>0</v>
      </c>
      <c r="I34" s="6">
        <v>4832</v>
      </c>
      <c r="J34" s="64">
        <v>42900.0000000087</v>
      </c>
      <c r="K34" s="278">
        <v>0</v>
      </c>
      <c r="L34" s="279">
        <v>0</v>
      </c>
      <c r="M34" s="278">
        <v>2627</v>
      </c>
      <c r="N34" s="278">
        <v>936</v>
      </c>
      <c r="O34" s="280">
        <v>5.25</v>
      </c>
      <c r="P34" s="280">
        <v>0</v>
      </c>
      <c r="Q34" s="290">
        <v>5436</v>
      </c>
      <c r="R34" s="291">
        <f t="shared" si="0"/>
        <v>120680</v>
      </c>
      <c r="S34" s="292"/>
      <c r="T34" s="293"/>
      <c r="U34" s="311"/>
      <c r="V34" s="310"/>
      <c r="W34" s="57"/>
      <c r="X34" s="57"/>
      <c r="AB34" s="324">
        <f t="shared" si="1"/>
        <v>34.02</v>
      </c>
      <c r="AD34" s="3">
        <f t="shared" si="2"/>
        <v>0</v>
      </c>
      <c r="AE34" s="3">
        <f t="shared" si="3"/>
        <v>0</v>
      </c>
      <c r="AF34" s="3">
        <f t="shared" si="4"/>
        <v>0</v>
      </c>
      <c r="AG34" s="3">
        <f t="shared" si="5"/>
        <v>0.0101875704342062</v>
      </c>
      <c r="AH34" s="3">
        <f t="shared" si="6"/>
        <v>0.0468775604905535</v>
      </c>
      <c r="AI34" s="3">
        <f t="shared" si="7"/>
        <v>0.0570651309247597</v>
      </c>
      <c r="AK34" s="3">
        <f>AB34*(100-进出水!T36)/100</f>
        <v>7.24626</v>
      </c>
      <c r="AL34" s="3">
        <f t="shared" si="8"/>
        <v>0</v>
      </c>
    </row>
    <row r="35" ht="18.6" customHeight="1" spans="1:38">
      <c r="A35" s="6">
        <v>31</v>
      </c>
      <c r="B35" s="267">
        <v>14.3</v>
      </c>
      <c r="C35" s="268" t="s">
        <v>43</v>
      </c>
      <c r="D35" s="269">
        <v>139628</v>
      </c>
      <c r="E35" s="270">
        <v>34.28</v>
      </c>
      <c r="F35" s="270">
        <v>0</v>
      </c>
      <c r="G35" s="270">
        <v>0</v>
      </c>
      <c r="H35" s="271">
        <v>0</v>
      </c>
      <c r="I35" s="6">
        <v>4944</v>
      </c>
      <c r="J35" s="64">
        <v>44300.0000000029</v>
      </c>
      <c r="K35" s="278">
        <v>0</v>
      </c>
      <c r="L35" s="279">
        <v>0</v>
      </c>
      <c r="M35" s="278">
        <v>2272</v>
      </c>
      <c r="N35" s="278">
        <v>816</v>
      </c>
      <c r="O35" s="280">
        <v>5.25</v>
      </c>
      <c r="P35" s="280">
        <v>0</v>
      </c>
      <c r="Q35" s="290">
        <v>5449</v>
      </c>
      <c r="R35" s="291">
        <f t="shared" si="0"/>
        <v>134179</v>
      </c>
      <c r="S35" s="292"/>
      <c r="T35" s="293"/>
      <c r="U35" s="311"/>
      <c r="V35" s="57"/>
      <c r="W35" s="57"/>
      <c r="X35" s="57"/>
      <c r="AB35" s="324">
        <f t="shared" si="1"/>
        <v>34.28</v>
      </c>
      <c r="AD35" s="3">
        <f t="shared" si="2"/>
        <v>0</v>
      </c>
      <c r="AE35" s="3">
        <f t="shared" si="3"/>
        <v>0</v>
      </c>
      <c r="AF35" s="3">
        <f t="shared" si="4"/>
        <v>0</v>
      </c>
      <c r="AG35" s="3">
        <f t="shared" si="5"/>
        <v>0.00792445911804381</v>
      </c>
      <c r="AH35" s="3">
        <f t="shared" si="6"/>
        <v>0.0367561540926673</v>
      </c>
      <c r="AI35" s="3">
        <f t="shared" si="7"/>
        <v>0.0446806132107111</v>
      </c>
      <c r="AK35" s="3">
        <f>AB35*(100-进出水!T37)/100</f>
        <v>7.33592</v>
      </c>
      <c r="AL35" s="3">
        <f t="shared" si="8"/>
        <v>0</v>
      </c>
    </row>
    <row r="36" ht="19" customHeight="1" spans="1:20">
      <c r="A36" s="5" t="s">
        <v>68</v>
      </c>
      <c r="B36" s="61">
        <f>AVERAGE(B5:B35)</f>
        <v>16.0161290322581</v>
      </c>
      <c r="C36" s="8" t="s">
        <v>69</v>
      </c>
      <c r="D36" s="272">
        <f>AVERAGE(D5:D35)</f>
        <v>129285.903225806</v>
      </c>
      <c r="E36" s="195">
        <f>AVERAGE(E5:E35)</f>
        <v>31.3638709677419</v>
      </c>
      <c r="F36" s="195">
        <f>AVERAGE(F5:F35)</f>
        <v>47.1303225806452</v>
      </c>
      <c r="G36" s="195">
        <f>AVERAGE(G5:G35)</f>
        <v>0</v>
      </c>
      <c r="H36" s="272">
        <f t="shared" ref="H36:Q36" si="9">AVERAGE(H5:H35)</f>
        <v>113.709677419355</v>
      </c>
      <c r="I36" s="272">
        <f t="shared" si="9"/>
        <v>4327.16129032258</v>
      </c>
      <c r="J36" s="272">
        <f t="shared" si="9"/>
        <v>42764.5161290321</v>
      </c>
      <c r="K36" s="272">
        <f t="shared" si="9"/>
        <v>3375.48387096774</v>
      </c>
      <c r="L36" s="272">
        <f t="shared" si="9"/>
        <v>0.0774193548387097</v>
      </c>
      <c r="M36" s="272">
        <f t="shared" si="9"/>
        <v>2503.32258064516</v>
      </c>
      <c r="N36" s="272">
        <f t="shared" si="9"/>
        <v>871.741935483871</v>
      </c>
      <c r="O36" s="283">
        <f t="shared" si="9"/>
        <v>3.50838709677419</v>
      </c>
      <c r="P36" s="195">
        <f t="shared" si="9"/>
        <v>0</v>
      </c>
      <c r="Q36" s="272">
        <f t="shared" si="9"/>
        <v>5216.70967741936</v>
      </c>
      <c r="R36" s="314">
        <f t="shared" si="0"/>
        <v>124069.193548387</v>
      </c>
      <c r="S36" s="315"/>
      <c r="T36" s="316"/>
    </row>
    <row r="37" ht="17" customHeight="1" spans="1:28">
      <c r="A37" s="5" t="s">
        <v>26</v>
      </c>
      <c r="B37" s="6" t="s">
        <v>69</v>
      </c>
      <c r="C37" s="6" t="s">
        <v>69</v>
      </c>
      <c r="D37" s="273">
        <f>SUM(D5:D35)</f>
        <v>4007863</v>
      </c>
      <c r="E37" s="274">
        <f>SUM(E5:E35)</f>
        <v>972.28</v>
      </c>
      <c r="F37" s="274">
        <f>SUM(F5:F35)</f>
        <v>1461.04</v>
      </c>
      <c r="G37" s="274">
        <f>SUM(G5:G35)</f>
        <v>0</v>
      </c>
      <c r="H37" s="273">
        <f>SUM(H5:H35)</f>
        <v>3525</v>
      </c>
      <c r="I37" s="6" t="s">
        <v>69</v>
      </c>
      <c r="J37" s="272">
        <f t="shared" ref="J37:R37" si="10">SUM(J5:J35)</f>
        <v>1325700</v>
      </c>
      <c r="K37" s="272">
        <f t="shared" si="10"/>
        <v>104640</v>
      </c>
      <c r="L37" s="284">
        <f t="shared" si="10"/>
        <v>2.4</v>
      </c>
      <c r="M37" s="272">
        <f t="shared" si="10"/>
        <v>77603</v>
      </c>
      <c r="N37" s="272">
        <f t="shared" si="10"/>
        <v>27024</v>
      </c>
      <c r="O37" s="195">
        <f t="shared" si="10"/>
        <v>108.76</v>
      </c>
      <c r="P37" s="195">
        <f t="shared" si="10"/>
        <v>0</v>
      </c>
      <c r="Q37" s="272">
        <f t="shared" si="10"/>
        <v>161718</v>
      </c>
      <c r="R37" s="272">
        <f t="shared" si="10"/>
        <v>3846145</v>
      </c>
      <c r="S37" s="317"/>
      <c r="T37" s="318"/>
      <c r="AB37" s="3">
        <f>SUM(AB5:AB36)</f>
        <v>2433.32</v>
      </c>
    </row>
    <row r="38" ht="18.6" customHeight="1" spans="1:18">
      <c r="A38" s="275" t="s">
        <v>70</v>
      </c>
      <c r="B38" s="275"/>
      <c r="C38" s="275"/>
      <c r="D38" s="275"/>
      <c r="E38" s="276"/>
      <c r="F38" s="276"/>
      <c r="I38" s="285" t="s">
        <v>71</v>
      </c>
      <c r="Q38" s="319" t="s">
        <v>72</v>
      </c>
      <c r="R38" s="320">
        <v>44959</v>
      </c>
    </row>
    <row r="39" ht="18.6" customHeight="1" spans="13:13">
      <c r="M39" s="257">
        <f>M37*0.31</f>
        <v>24056.93</v>
      </c>
    </row>
    <row r="40" spans="7:28">
      <c r="G40" s="257"/>
      <c r="H40" s="257"/>
      <c r="Q40" s="257" t="s">
        <v>73</v>
      </c>
      <c r="R40" s="257">
        <f>MAX(R5:R35)</f>
        <v>171826</v>
      </c>
      <c r="AB40" s="3">
        <f>(100-进出水!T38)*AB37/100</f>
        <v>521.94714</v>
      </c>
    </row>
    <row r="41" spans="7:18">
      <c r="G41" s="257"/>
      <c r="H41" s="257"/>
      <c r="O41" s="257">
        <f>O37*1000</f>
        <v>108760</v>
      </c>
      <c r="Q41" s="257" t="s">
        <v>74</v>
      </c>
      <c r="R41" s="257">
        <f>MIN(R5:R35)</f>
        <v>77990</v>
      </c>
    </row>
    <row r="42" spans="12:12">
      <c r="L42" s="257">
        <f>L37*1000/R37</f>
        <v>0.000624001435203301</v>
      </c>
    </row>
    <row r="43" spans="18:18">
      <c r="R43" s="257">
        <f>O37*1000</f>
        <v>108760</v>
      </c>
    </row>
    <row r="44" spans="18:18">
      <c r="R44" s="257">
        <f>L37/R37*1000</f>
        <v>0.000624001435203301</v>
      </c>
    </row>
  </sheetData>
  <mergeCells count="10">
    <mergeCell ref="A1:R1"/>
    <mergeCell ref="A2:R2"/>
    <mergeCell ref="E3:G3"/>
    <mergeCell ref="O3:P3"/>
    <mergeCell ref="A38:D38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1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workbookViewId="0">
      <selection activeCell="G23" sqref="G23"/>
    </sheetView>
  </sheetViews>
  <sheetFormatPr defaultColWidth="8.75" defaultRowHeight="14.25"/>
  <cols>
    <col min="1" max="1" width="4" style="27" customWidth="1"/>
    <col min="2" max="2" width="12.125" style="27" customWidth="1"/>
    <col min="3" max="3" width="9.625" style="27" customWidth="1"/>
    <col min="4" max="4" width="5.125" style="27" customWidth="1"/>
    <col min="5" max="5" width="14.5" style="27" customWidth="1"/>
    <col min="6" max="6" width="11.375" style="97" customWidth="1"/>
    <col min="7" max="7" width="5.75" style="27" customWidth="1"/>
    <col min="8" max="8" width="9" style="27"/>
    <col min="9" max="9" width="7.625" style="27" customWidth="1"/>
    <col min="10" max="11" width="8.75" style="27" customWidth="1"/>
    <col min="12" max="12" width="15.25" style="27" customWidth="1"/>
    <col min="13" max="13" width="8.125" style="27" customWidth="1"/>
    <col min="14" max="14" width="3.5" style="27" customWidth="1"/>
    <col min="15" max="15" width="9" style="27"/>
    <col min="16" max="16" width="9.25" style="27"/>
    <col min="17" max="29" width="9" style="27"/>
    <col min="30" max="16384" width="8.75" style="27"/>
  </cols>
  <sheetData>
    <row r="1" ht="18.75" spans="1:13">
      <c r="A1" s="201" t="s">
        <v>75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</row>
    <row r="2" s="197" customFormat="1" ht="20.1" customHeight="1" spans="1:13">
      <c r="A2" s="202">
        <v>44927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</row>
    <row r="3" s="197" customFormat="1" ht="24" customHeight="1" spans="1:22">
      <c r="A3" s="203" t="s">
        <v>76</v>
      </c>
      <c r="B3" s="204" t="s">
        <v>77</v>
      </c>
      <c r="C3" s="205">
        <f>处理量!R37</f>
        <v>3846145</v>
      </c>
      <c r="D3" s="206" t="s">
        <v>78</v>
      </c>
      <c r="E3" s="204" t="s">
        <v>79</v>
      </c>
      <c r="F3" s="207">
        <f>处理量!E37+处理量!F37+处理量!G37</f>
        <v>2433.32</v>
      </c>
      <c r="G3" s="203" t="s">
        <v>80</v>
      </c>
      <c r="H3" s="204" t="s">
        <v>81</v>
      </c>
      <c r="I3" s="204"/>
      <c r="J3" s="37">
        <f>处理量!J37</f>
        <v>1325700</v>
      </c>
      <c r="K3" s="206" t="s">
        <v>82</v>
      </c>
      <c r="L3" s="204" t="s">
        <v>83</v>
      </c>
      <c r="M3" s="241">
        <f>J3/C3</f>
        <v>0.344682792770422</v>
      </c>
      <c r="P3" s="197" t="s">
        <v>84</v>
      </c>
      <c r="Q3" s="255">
        <v>1773.2</v>
      </c>
      <c r="R3" s="197">
        <f>J5-Q3</f>
        <v>1730.8</v>
      </c>
      <c r="V3" s="197">
        <v>188314</v>
      </c>
    </row>
    <row r="4" s="197" customFormat="1" ht="24" customHeight="1" spans="1:22">
      <c r="A4" s="203"/>
      <c r="B4" s="204" t="s">
        <v>85</v>
      </c>
      <c r="C4" s="208">
        <f>处理量!R36</f>
        <v>124069.193548387</v>
      </c>
      <c r="D4" s="209"/>
      <c r="E4" s="204" t="s">
        <v>86</v>
      </c>
      <c r="F4" s="210">
        <f>处理量!H37</f>
        <v>3525</v>
      </c>
      <c r="G4" s="203"/>
      <c r="H4" s="204" t="s">
        <v>87</v>
      </c>
      <c r="I4" s="204"/>
      <c r="J4" s="210">
        <f>J3/M15</f>
        <v>42764.5161290321</v>
      </c>
      <c r="K4" s="209"/>
      <c r="L4" s="204" t="s">
        <v>88</v>
      </c>
      <c r="M4" s="242">
        <f>J3/I12</f>
        <v>1.36292128418515</v>
      </c>
      <c r="P4" s="197" t="s">
        <v>89</v>
      </c>
      <c r="Q4" s="255">
        <v>50535.9999999999</v>
      </c>
      <c r="V4" s="197">
        <v>193894</v>
      </c>
    </row>
    <row r="5" s="197" customFormat="1" ht="24" customHeight="1" spans="1:22">
      <c r="A5" s="203"/>
      <c r="B5" s="204"/>
      <c r="C5" s="211"/>
      <c r="D5" s="209"/>
      <c r="E5" s="204" t="s">
        <v>90</v>
      </c>
      <c r="F5" s="212">
        <f>进出水!T38</f>
        <v>78.55</v>
      </c>
      <c r="G5" s="203"/>
      <c r="H5" s="204" t="s">
        <v>91</v>
      </c>
      <c r="I5" s="204"/>
      <c r="J5" s="243">
        <v>3504</v>
      </c>
      <c r="K5" s="209"/>
      <c r="L5" s="204"/>
      <c r="M5" s="244"/>
      <c r="V5" s="197">
        <f>V4-V3</f>
        <v>5580</v>
      </c>
    </row>
    <row r="6" s="197" customFormat="1" ht="24" customHeight="1" spans="1:13">
      <c r="A6" s="203"/>
      <c r="B6" s="204" t="s">
        <v>92</v>
      </c>
      <c r="C6" s="213">
        <f>处理量!R40</f>
        <v>171826</v>
      </c>
      <c r="D6" s="209"/>
      <c r="E6" s="203" t="s">
        <v>93</v>
      </c>
      <c r="F6" s="207">
        <f>F4/(F3*(100-F5)/100)</f>
        <v>6.75355745794488</v>
      </c>
      <c r="G6" s="206" t="s">
        <v>94</v>
      </c>
      <c r="H6" s="204" t="s">
        <v>95</v>
      </c>
      <c r="I6" s="204"/>
      <c r="J6" s="216">
        <f>处理量!M37/1000</f>
        <v>77.603</v>
      </c>
      <c r="K6" s="209"/>
      <c r="L6" s="204" t="s">
        <v>96</v>
      </c>
      <c r="M6" s="216">
        <f>J3/I13</f>
        <v>2.81190074049946</v>
      </c>
    </row>
    <row r="7" s="197" customFormat="1" ht="24" customHeight="1" spans="1:13">
      <c r="A7" s="203"/>
      <c r="B7" s="204" t="s">
        <v>97</v>
      </c>
      <c r="C7" s="37">
        <f>处理量!R41</f>
        <v>77990</v>
      </c>
      <c r="D7" s="214"/>
      <c r="E7" s="203" t="s">
        <v>98</v>
      </c>
      <c r="F7" s="215">
        <f>F3*(100-F5)/100*1000/(C3/1000)</f>
        <v>135.706568525108</v>
      </c>
      <c r="G7" s="209"/>
      <c r="H7" s="204" t="s">
        <v>99</v>
      </c>
      <c r="I7" s="204"/>
      <c r="J7" s="230">
        <f>J6*1000/(C3/1000)</f>
        <v>20.1768264067007</v>
      </c>
      <c r="K7" s="209"/>
      <c r="L7" s="245" t="s">
        <v>100</v>
      </c>
      <c r="M7" s="216">
        <f>J3/I14</f>
        <v>3.14004548392478</v>
      </c>
    </row>
    <row r="8" s="197" customFormat="1" ht="24" customHeight="1" spans="1:13">
      <c r="A8" s="203"/>
      <c r="B8" s="204" t="s">
        <v>101</v>
      </c>
      <c r="C8" s="216">
        <f>C4/200000*100</f>
        <v>62.0345967741933</v>
      </c>
      <c r="D8" s="203" t="s">
        <v>102</v>
      </c>
      <c r="E8" s="204" t="s">
        <v>103</v>
      </c>
      <c r="F8" s="216">
        <f>处理量!K37/1000</f>
        <v>104.64</v>
      </c>
      <c r="G8" s="209"/>
      <c r="H8" s="204" t="s">
        <v>104</v>
      </c>
      <c r="I8" s="204"/>
      <c r="J8" s="216">
        <f>处理量!N37/1000</f>
        <v>27.024</v>
      </c>
      <c r="K8" s="246" t="s">
        <v>105</v>
      </c>
      <c r="L8" s="225" t="s">
        <v>106</v>
      </c>
      <c r="M8" s="247">
        <f>处理量!O37</f>
        <v>108.76</v>
      </c>
    </row>
    <row r="9" s="197" customFormat="1" ht="24" customHeight="1" spans="1:13">
      <c r="A9" s="203"/>
      <c r="B9" s="217" t="s">
        <v>107</v>
      </c>
      <c r="C9" s="218">
        <f>处理量!B36</f>
        <v>16.0161290322581</v>
      </c>
      <c r="D9" s="203"/>
      <c r="E9" s="204" t="s">
        <v>99</v>
      </c>
      <c r="F9" s="216">
        <f>F8*1000/(C3/1000)</f>
        <v>27.2064625748639</v>
      </c>
      <c r="G9" s="214"/>
      <c r="H9" s="204" t="s">
        <v>99</v>
      </c>
      <c r="I9" s="204"/>
      <c r="J9" s="207">
        <f>J8*1000/(C3/1000)</f>
        <v>7.02625616038917</v>
      </c>
      <c r="K9" s="222"/>
      <c r="L9" s="37" t="s">
        <v>99</v>
      </c>
      <c r="M9" s="247">
        <f>M8*1000000/C3</f>
        <v>28.2776650386296</v>
      </c>
    </row>
    <row r="10" s="197" customFormat="1" ht="24" customHeight="1" spans="1:13">
      <c r="A10" s="203" t="s">
        <v>108</v>
      </c>
      <c r="B10" s="219" t="s">
        <v>109</v>
      </c>
      <c r="C10" s="220" t="s">
        <v>110</v>
      </c>
      <c r="D10" s="221"/>
      <c r="E10" s="220" t="s">
        <v>111</v>
      </c>
      <c r="F10" s="221"/>
      <c r="G10" s="220" t="s">
        <v>112</v>
      </c>
      <c r="H10" s="221"/>
      <c r="I10" s="220" t="s">
        <v>113</v>
      </c>
      <c r="J10" s="221"/>
      <c r="K10" s="206" t="s">
        <v>114</v>
      </c>
      <c r="L10" s="225" t="s">
        <v>106</v>
      </c>
      <c r="M10" s="37">
        <v>0</v>
      </c>
    </row>
    <row r="11" s="197" customFormat="1" ht="24" customHeight="1" spans="1:13">
      <c r="A11" s="203"/>
      <c r="B11" s="222"/>
      <c r="C11" s="223"/>
      <c r="D11" s="224"/>
      <c r="E11" s="223"/>
      <c r="F11" s="224"/>
      <c r="G11" s="223"/>
      <c r="H11" s="224"/>
      <c r="I11" s="223"/>
      <c r="J11" s="224"/>
      <c r="K11" s="214"/>
      <c r="L11" s="37" t="s">
        <v>99</v>
      </c>
      <c r="M11" s="37">
        <v>0</v>
      </c>
    </row>
    <row r="12" s="197" customFormat="1" ht="24" customHeight="1" spans="1:19">
      <c r="A12" s="203"/>
      <c r="B12" s="225" t="s">
        <v>115</v>
      </c>
      <c r="C12" s="210">
        <f>进出水!B38</f>
        <v>274</v>
      </c>
      <c r="D12" s="210"/>
      <c r="E12" s="226">
        <f>进出水!N38</f>
        <v>21.1</v>
      </c>
      <c r="F12" s="227"/>
      <c r="G12" s="226">
        <f t="shared" ref="G12:G17" si="0">(C12-E12)/C12*100</f>
        <v>92.2992700729927</v>
      </c>
      <c r="H12" s="227"/>
      <c r="I12" s="210">
        <f>$C$3*(C12-E12)/1000</f>
        <v>972690.0705</v>
      </c>
      <c r="J12" s="210"/>
      <c r="K12" s="203" t="s">
        <v>116</v>
      </c>
      <c r="L12" s="204" t="s">
        <v>30</v>
      </c>
      <c r="M12" s="207">
        <f>处理量!V16</f>
        <v>972.28</v>
      </c>
      <c r="O12" s="197">
        <f t="shared" ref="O12:O17" si="1">C12</f>
        <v>274</v>
      </c>
      <c r="P12" s="248">
        <f t="shared" ref="P12:P17" si="2">ROUND(E12,2)</f>
        <v>21.1</v>
      </c>
      <c r="Q12" s="256">
        <f>C3</f>
        <v>3846145</v>
      </c>
      <c r="R12" s="248">
        <f t="shared" ref="R12:R17" si="3">P12*Q12/1000000</f>
        <v>81.1536595</v>
      </c>
      <c r="S12" s="225" t="s">
        <v>115</v>
      </c>
    </row>
    <row r="13" s="197" customFormat="1" ht="24" customHeight="1" spans="1:19">
      <c r="A13" s="203"/>
      <c r="B13" s="225" t="s">
        <v>117</v>
      </c>
      <c r="C13" s="210">
        <f>进出水!C38</f>
        <v>125</v>
      </c>
      <c r="D13" s="210"/>
      <c r="E13" s="228">
        <f>进出水!O38</f>
        <v>2.42</v>
      </c>
      <c r="F13" s="229"/>
      <c r="G13" s="226">
        <f t="shared" si="0"/>
        <v>98.064</v>
      </c>
      <c r="H13" s="227"/>
      <c r="I13" s="210">
        <f>$C$3*(C13-E13)/1000</f>
        <v>471460.4541</v>
      </c>
      <c r="J13" s="210"/>
      <c r="K13" s="203"/>
      <c r="L13" s="34" t="s">
        <v>31</v>
      </c>
      <c r="M13" s="249">
        <f>处理量!U16</f>
        <v>1461.04</v>
      </c>
      <c r="O13" s="197">
        <f t="shared" si="1"/>
        <v>125</v>
      </c>
      <c r="P13" s="248">
        <f t="shared" si="2"/>
        <v>2.42</v>
      </c>
      <c r="Q13" s="256">
        <f t="shared" ref="Q13:Q17" si="4">Q12</f>
        <v>3846145</v>
      </c>
      <c r="R13" s="248">
        <f t="shared" si="3"/>
        <v>9.3076709</v>
      </c>
      <c r="S13" s="225" t="s">
        <v>117</v>
      </c>
    </row>
    <row r="14" s="197" customFormat="1" ht="24" customHeight="1" spans="1:19">
      <c r="A14" s="203"/>
      <c r="B14" s="225" t="s">
        <v>118</v>
      </c>
      <c r="C14" s="210">
        <f>进出水!D38</f>
        <v>115</v>
      </c>
      <c r="D14" s="210"/>
      <c r="E14" s="228">
        <f>进出水!P38</f>
        <v>5.23</v>
      </c>
      <c r="F14" s="229"/>
      <c r="G14" s="226">
        <f t="shared" si="0"/>
        <v>95.4521739130435</v>
      </c>
      <c r="H14" s="227"/>
      <c r="I14" s="210">
        <f>$C$3*(C14-E14)/1000</f>
        <v>422191.33665</v>
      </c>
      <c r="J14" s="210"/>
      <c r="K14" s="203"/>
      <c r="L14" s="34" t="s">
        <v>119</v>
      </c>
      <c r="M14" s="249">
        <f>处理量!W16</f>
        <v>0</v>
      </c>
      <c r="O14" s="197">
        <f t="shared" si="1"/>
        <v>115</v>
      </c>
      <c r="P14" s="248">
        <f t="shared" si="2"/>
        <v>5.23</v>
      </c>
      <c r="Q14" s="256">
        <f t="shared" si="4"/>
        <v>3846145</v>
      </c>
      <c r="R14" s="248">
        <f t="shared" si="3"/>
        <v>20.11533835</v>
      </c>
      <c r="S14" s="225" t="s">
        <v>118</v>
      </c>
    </row>
    <row r="15" s="197" customFormat="1" ht="24" customHeight="1" spans="1:19">
      <c r="A15" s="203"/>
      <c r="B15" s="225" t="s">
        <v>120</v>
      </c>
      <c r="C15" s="207">
        <f>进出水!E38</f>
        <v>2.96</v>
      </c>
      <c r="D15" s="207"/>
      <c r="E15" s="228">
        <f>进出水!Q38</f>
        <v>0.15</v>
      </c>
      <c r="F15" s="229"/>
      <c r="G15" s="226">
        <f t="shared" si="0"/>
        <v>94.9324324324324</v>
      </c>
      <c r="H15" s="227"/>
      <c r="I15" s="210">
        <f>$C$3*(C15-E15)/1000</f>
        <v>10807.66745</v>
      </c>
      <c r="J15" s="210"/>
      <c r="K15" s="206" t="s">
        <v>121</v>
      </c>
      <c r="L15" s="250" t="s">
        <v>122</v>
      </c>
      <c r="M15" s="36">
        <v>31</v>
      </c>
      <c r="O15" s="197">
        <f t="shared" si="1"/>
        <v>2.96</v>
      </c>
      <c r="P15" s="248">
        <f t="shared" si="2"/>
        <v>0.15</v>
      </c>
      <c r="Q15" s="256">
        <f t="shared" si="4"/>
        <v>3846145</v>
      </c>
      <c r="R15" s="248">
        <f t="shared" si="3"/>
        <v>0.57692175</v>
      </c>
      <c r="S15" s="225" t="s">
        <v>120</v>
      </c>
    </row>
    <row r="16" s="197" customFormat="1" ht="24" customHeight="1" spans="1:19">
      <c r="A16" s="203"/>
      <c r="B16" s="225" t="s">
        <v>123</v>
      </c>
      <c r="C16" s="230">
        <f>进出水!G38</f>
        <v>36</v>
      </c>
      <c r="D16" s="230"/>
      <c r="E16" s="228">
        <f>进出水!S38</f>
        <v>7.95</v>
      </c>
      <c r="F16" s="229"/>
      <c r="G16" s="226">
        <f t="shared" si="0"/>
        <v>77.9166666666667</v>
      </c>
      <c r="H16" s="227"/>
      <c r="I16" s="210">
        <f>$C$3*(C16-E16)/1000</f>
        <v>107884.36725</v>
      </c>
      <c r="J16" s="210"/>
      <c r="K16" s="209"/>
      <c r="L16" s="251" t="s">
        <v>124</v>
      </c>
      <c r="M16" s="37">
        <v>31</v>
      </c>
      <c r="O16" s="197">
        <f t="shared" si="1"/>
        <v>36</v>
      </c>
      <c r="P16" s="248">
        <f t="shared" si="2"/>
        <v>7.95</v>
      </c>
      <c r="Q16" s="256">
        <f t="shared" si="4"/>
        <v>3846145</v>
      </c>
      <c r="R16" s="248">
        <f t="shared" si="3"/>
        <v>30.57685275</v>
      </c>
      <c r="S16" s="225" t="s">
        <v>123</v>
      </c>
    </row>
    <row r="17" s="197" customFormat="1" ht="24" customHeight="1" spans="1:19">
      <c r="A17" s="203"/>
      <c r="B17" s="225" t="s">
        <v>125</v>
      </c>
      <c r="C17" s="230">
        <f>进出水!F38</f>
        <v>29.8</v>
      </c>
      <c r="D17" s="230"/>
      <c r="E17" s="228">
        <f>进出水!R38</f>
        <v>0.35</v>
      </c>
      <c r="F17" s="229"/>
      <c r="G17" s="226">
        <f t="shared" si="0"/>
        <v>98.8255033557047</v>
      </c>
      <c r="H17" s="227"/>
      <c r="I17" s="210">
        <f>$C$3*(C17-E17)/1000</f>
        <v>113268.97025</v>
      </c>
      <c r="J17" s="210"/>
      <c r="K17" s="209"/>
      <c r="L17" s="251" t="s">
        <v>126</v>
      </c>
      <c r="M17" s="36">
        <v>31</v>
      </c>
      <c r="O17" s="197">
        <f t="shared" si="1"/>
        <v>29.8</v>
      </c>
      <c r="P17" s="248">
        <f t="shared" si="2"/>
        <v>0.35</v>
      </c>
      <c r="Q17" s="256">
        <f t="shared" si="4"/>
        <v>3846145</v>
      </c>
      <c r="R17" s="248">
        <f t="shared" si="3"/>
        <v>1.34615075</v>
      </c>
      <c r="S17" s="225" t="s">
        <v>125</v>
      </c>
    </row>
    <row r="18" s="197" customFormat="1" ht="24" customHeight="1" spans="1:13">
      <c r="A18" s="203"/>
      <c r="B18" s="217" t="s">
        <v>127</v>
      </c>
      <c r="C18" s="231"/>
      <c r="D18" s="232"/>
      <c r="E18" s="233" t="s">
        <v>128</v>
      </c>
      <c r="F18" s="234"/>
      <c r="G18" s="231"/>
      <c r="H18" s="232"/>
      <c r="I18" s="231"/>
      <c r="J18" s="232"/>
      <c r="K18" s="214"/>
      <c r="L18" s="245" t="s">
        <v>129</v>
      </c>
      <c r="M18" s="37">
        <v>100</v>
      </c>
    </row>
    <row r="19" s="197" customFormat="1" ht="20.1" customHeight="1" spans="1:16">
      <c r="A19" s="203" t="s">
        <v>130</v>
      </c>
      <c r="B19" s="235" t="s">
        <v>131</v>
      </c>
      <c r="C19" s="236"/>
      <c r="D19" s="236"/>
      <c r="E19" s="236"/>
      <c r="F19" s="236"/>
      <c r="G19" s="236"/>
      <c r="H19" s="236"/>
      <c r="I19" s="236"/>
      <c r="J19" s="236"/>
      <c r="K19" s="236"/>
      <c r="L19" s="236"/>
      <c r="M19" s="252"/>
      <c r="P19" s="197">
        <f>F3*(100-F5)/100</f>
        <v>521.94714</v>
      </c>
    </row>
    <row r="20" s="197" customFormat="1" ht="20.1" customHeight="1" spans="1:13">
      <c r="A20" s="203"/>
      <c r="B20" s="237"/>
      <c r="C20" s="238"/>
      <c r="D20" s="238"/>
      <c r="E20" s="238"/>
      <c r="F20" s="238"/>
      <c r="G20" s="238"/>
      <c r="H20" s="238"/>
      <c r="I20" s="238"/>
      <c r="J20" s="238"/>
      <c r="K20" s="238"/>
      <c r="L20" s="238"/>
      <c r="M20" s="253"/>
    </row>
    <row r="21" ht="20.1" customHeight="1" spans="1:13">
      <c r="A21" s="239" t="s">
        <v>132</v>
      </c>
      <c r="B21" s="239"/>
      <c r="C21" s="239"/>
      <c r="D21" s="239"/>
      <c r="E21" s="239"/>
      <c r="F21" s="239"/>
      <c r="G21" s="239"/>
      <c r="H21" s="239"/>
      <c r="I21" s="239"/>
      <c r="J21" s="239"/>
      <c r="K21" s="239"/>
      <c r="L21" s="239"/>
      <c r="M21" s="239"/>
    </row>
    <row r="22" ht="17.25" customHeight="1" spans="9:9">
      <c r="I22" s="254"/>
    </row>
    <row r="23" ht="17.25" customHeight="1" spans="5:9">
      <c r="E23" s="240"/>
      <c r="I23" s="254"/>
    </row>
    <row r="24" ht="17.25" customHeight="1" spans="5:9">
      <c r="E24" s="240"/>
      <c r="I24" s="254"/>
    </row>
    <row r="25" ht="17.25" customHeight="1" spans="5:9">
      <c r="E25" s="240"/>
      <c r="I25" s="254"/>
    </row>
    <row r="26" ht="17.25" customHeight="1" spans="5:9">
      <c r="E26" s="240"/>
      <c r="I26" s="254"/>
    </row>
    <row r="27" ht="17.25" customHeight="1" spans="5:9">
      <c r="E27" s="240"/>
      <c r="I27" s="254"/>
    </row>
    <row r="28" ht="17.25" customHeight="1" spans="5:9">
      <c r="E28" s="240"/>
      <c r="I28" s="254"/>
    </row>
    <row r="29" ht="17.25" customHeight="1" spans="9:9">
      <c r="I29" s="254"/>
    </row>
    <row r="30" ht="17.25" customHeight="1" spans="9:9">
      <c r="I30" s="254"/>
    </row>
    <row r="31" ht="17.25" customHeight="1" spans="9:9">
      <c r="I31" s="254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8"/>
  <sheetViews>
    <sheetView zoomScale="115" zoomScaleNormal="115" topLeftCell="A9" workbookViewId="0">
      <selection activeCell="Q39" sqref="Q39:T39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3" customWidth="1"/>
    <col min="9" max="9" width="5.5" style="94" customWidth="1"/>
    <col min="10" max="10" width="6.25" style="94" customWidth="1"/>
    <col min="11" max="11" width="7" style="93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5" customWidth="1"/>
    <col min="21" max="21" width="8.75" customWidth="1"/>
    <col min="23" max="23" width="12.625"/>
  </cols>
  <sheetData>
    <row r="1" ht="21.75" customHeight="1" spans="1:21">
      <c r="A1" s="96" t="s">
        <v>133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</row>
    <row r="2" hidden="1" spans="1:21">
      <c r="A2" s="97"/>
      <c r="B2" s="97"/>
      <c r="C2" s="97"/>
      <c r="D2" s="97"/>
      <c r="E2" s="97"/>
      <c r="F2" s="97"/>
      <c r="G2" s="97"/>
      <c r="H2" s="98"/>
      <c r="I2" s="165"/>
      <c r="J2" s="165"/>
      <c r="K2" s="98"/>
      <c r="L2" s="97"/>
      <c r="M2" s="97"/>
      <c r="N2" s="97"/>
      <c r="O2" s="97"/>
      <c r="P2" s="97"/>
      <c r="Q2" s="97"/>
      <c r="R2" s="97"/>
      <c r="S2" s="97"/>
      <c r="T2" s="97"/>
      <c r="U2" s="27"/>
    </row>
    <row r="3" spans="1:21">
      <c r="A3" s="33" t="s">
        <v>134</v>
      </c>
      <c r="B3" s="33"/>
      <c r="C3" s="33"/>
      <c r="D3" s="33"/>
      <c r="E3" s="33"/>
      <c r="F3" s="33"/>
      <c r="G3" s="33"/>
      <c r="H3" s="99"/>
      <c r="I3" s="166"/>
      <c r="J3" s="167">
        <v>44927</v>
      </c>
      <c r="K3" s="168"/>
      <c r="L3" s="33"/>
      <c r="M3" s="33"/>
      <c r="N3" s="33"/>
      <c r="O3" s="33"/>
      <c r="P3" s="33"/>
      <c r="Q3" s="33"/>
      <c r="R3" s="33"/>
      <c r="S3" s="33"/>
      <c r="T3" s="189"/>
      <c r="U3" s="27"/>
    </row>
    <row r="4" ht="12.75" customHeight="1" spans="1:21">
      <c r="A4" s="100" t="s">
        <v>135</v>
      </c>
      <c r="B4" s="101" t="s">
        <v>110</v>
      </c>
      <c r="C4" s="102"/>
      <c r="D4" s="102"/>
      <c r="E4" s="102"/>
      <c r="F4" s="102"/>
      <c r="G4" s="103"/>
      <c r="H4" s="104" t="s">
        <v>136</v>
      </c>
      <c r="I4" s="104"/>
      <c r="J4" s="104"/>
      <c r="K4" s="104"/>
      <c r="L4" s="104"/>
      <c r="M4" s="104"/>
      <c r="N4" s="169" t="s">
        <v>137</v>
      </c>
      <c r="O4" s="169"/>
      <c r="P4" s="169"/>
      <c r="Q4" s="169"/>
      <c r="R4" s="169"/>
      <c r="S4" s="169"/>
      <c r="T4" s="190" t="s">
        <v>138</v>
      </c>
      <c r="U4" s="190" t="s">
        <v>139</v>
      </c>
    </row>
    <row r="5" ht="15" customHeight="1" spans="1:21">
      <c r="A5" s="105"/>
      <c r="B5" s="106" t="s">
        <v>140</v>
      </c>
      <c r="C5" s="106" t="s">
        <v>117</v>
      </c>
      <c r="D5" s="106" t="s">
        <v>118</v>
      </c>
      <c r="E5" s="106" t="s">
        <v>120</v>
      </c>
      <c r="F5" s="106" t="s">
        <v>125</v>
      </c>
      <c r="G5" s="106" t="s">
        <v>123</v>
      </c>
      <c r="H5" s="107" t="s">
        <v>140</v>
      </c>
      <c r="I5" s="107" t="s">
        <v>117</v>
      </c>
      <c r="J5" s="107" t="s">
        <v>118</v>
      </c>
      <c r="K5" s="107" t="s">
        <v>120</v>
      </c>
      <c r="L5" s="106" t="s">
        <v>125</v>
      </c>
      <c r="M5" s="106" t="s">
        <v>123</v>
      </c>
      <c r="N5" s="100" t="s">
        <v>141</v>
      </c>
      <c r="O5" s="100" t="s">
        <v>142</v>
      </c>
      <c r="P5" s="100" t="s">
        <v>118</v>
      </c>
      <c r="Q5" s="100" t="s">
        <v>120</v>
      </c>
      <c r="R5" s="100" t="s">
        <v>143</v>
      </c>
      <c r="S5" s="100" t="s">
        <v>123</v>
      </c>
      <c r="T5" s="191"/>
      <c r="U5" s="191"/>
    </row>
    <row r="6" ht="22.5" customHeight="1" spans="1:21">
      <c r="A6" s="108"/>
      <c r="B6" s="109" t="s">
        <v>144</v>
      </c>
      <c r="C6" s="109" t="s">
        <v>144</v>
      </c>
      <c r="D6" s="109" t="s">
        <v>144</v>
      </c>
      <c r="E6" s="109" t="s">
        <v>144</v>
      </c>
      <c r="F6" s="109" t="s">
        <v>144</v>
      </c>
      <c r="G6" s="109" t="s">
        <v>144</v>
      </c>
      <c r="H6" s="110" t="s">
        <v>144</v>
      </c>
      <c r="I6" s="110" t="s">
        <v>144</v>
      </c>
      <c r="J6" s="110" t="s">
        <v>144</v>
      </c>
      <c r="K6" s="110" t="s">
        <v>144</v>
      </c>
      <c r="L6" s="109" t="s">
        <v>144</v>
      </c>
      <c r="M6" s="109" t="s">
        <v>144</v>
      </c>
      <c r="N6" s="109" t="s">
        <v>144</v>
      </c>
      <c r="O6" s="109" t="s">
        <v>144</v>
      </c>
      <c r="P6" s="109" t="s">
        <v>144</v>
      </c>
      <c r="Q6" s="109" t="s">
        <v>144</v>
      </c>
      <c r="R6" s="109" t="s">
        <v>144</v>
      </c>
      <c r="S6" s="109" t="s">
        <v>144</v>
      </c>
      <c r="T6" s="108" t="s">
        <v>145</v>
      </c>
      <c r="U6" s="108" t="s">
        <v>146</v>
      </c>
    </row>
    <row r="7" ht="12.95" customHeight="1" spans="1:23">
      <c r="A7" s="111">
        <v>1</v>
      </c>
      <c r="B7" s="112">
        <v>216</v>
      </c>
      <c r="C7" s="113">
        <v>98.5</v>
      </c>
      <c r="D7" s="114">
        <v>100</v>
      </c>
      <c r="E7" s="115">
        <v>2.34</v>
      </c>
      <c r="F7" s="116">
        <v>24.9</v>
      </c>
      <c r="G7" s="117">
        <v>29.6</v>
      </c>
      <c r="H7" s="118">
        <v>38</v>
      </c>
      <c r="I7" s="115">
        <v>3.46</v>
      </c>
      <c r="J7" s="118">
        <v>15</v>
      </c>
      <c r="K7" s="115">
        <v>0.53</v>
      </c>
      <c r="L7" s="170">
        <v>0.5</v>
      </c>
      <c r="M7" s="170">
        <v>8.73</v>
      </c>
      <c r="N7" s="114">
        <v>35</v>
      </c>
      <c r="O7" s="171">
        <v>3.11</v>
      </c>
      <c r="P7" s="114">
        <v>6</v>
      </c>
      <c r="Q7" s="170">
        <v>0.26</v>
      </c>
      <c r="R7" s="119">
        <v>0.47</v>
      </c>
      <c r="S7" s="170">
        <v>8.36</v>
      </c>
      <c r="T7" s="121">
        <v>78.8</v>
      </c>
      <c r="U7" s="192" t="s">
        <v>128</v>
      </c>
      <c r="V7" s="193"/>
      <c r="W7" s="194">
        <f>1-S7/G7</f>
        <v>0.717567567567568</v>
      </c>
    </row>
    <row r="8" ht="12.95" customHeight="1" spans="1:23">
      <c r="A8" s="111">
        <v>2</v>
      </c>
      <c r="B8" s="112">
        <v>248</v>
      </c>
      <c r="C8" s="113">
        <v>112</v>
      </c>
      <c r="D8" s="114">
        <v>90</v>
      </c>
      <c r="E8" s="119">
        <v>2.38</v>
      </c>
      <c r="F8" s="117">
        <v>28.4</v>
      </c>
      <c r="G8" s="117">
        <v>34.8</v>
      </c>
      <c r="H8" s="118">
        <v>36</v>
      </c>
      <c r="I8" s="115">
        <v>3.25</v>
      </c>
      <c r="J8" s="118">
        <v>13</v>
      </c>
      <c r="K8" s="115">
        <v>0.52</v>
      </c>
      <c r="L8" s="170">
        <v>0.53</v>
      </c>
      <c r="M8" s="170">
        <v>9.17</v>
      </c>
      <c r="N8" s="114">
        <v>25</v>
      </c>
      <c r="O8" s="171">
        <v>2.67</v>
      </c>
      <c r="P8" s="114">
        <v>5</v>
      </c>
      <c r="Q8" s="170">
        <v>0.18</v>
      </c>
      <c r="R8" s="119">
        <v>0.47</v>
      </c>
      <c r="S8" s="170">
        <v>8.32</v>
      </c>
      <c r="T8" s="121">
        <v>78.7</v>
      </c>
      <c r="U8" s="192" t="s">
        <v>128</v>
      </c>
      <c r="V8" s="193"/>
      <c r="W8" s="194">
        <f t="shared" ref="W8:W37" si="0">1-S8/G8</f>
        <v>0.760919540229885</v>
      </c>
    </row>
    <row r="9" ht="12.95" customHeight="1" spans="1:23">
      <c r="A9" s="111">
        <v>3</v>
      </c>
      <c r="B9" s="112">
        <v>422</v>
      </c>
      <c r="C9" s="113">
        <v>190</v>
      </c>
      <c r="D9" s="114">
        <v>148</v>
      </c>
      <c r="E9" s="115">
        <v>2.73</v>
      </c>
      <c r="F9" s="117">
        <v>31.5</v>
      </c>
      <c r="G9" s="117">
        <v>36.5</v>
      </c>
      <c r="H9" s="118">
        <v>40</v>
      </c>
      <c r="I9" s="115">
        <v>3.71</v>
      </c>
      <c r="J9" s="118">
        <v>16</v>
      </c>
      <c r="K9" s="115">
        <v>0.5</v>
      </c>
      <c r="L9" s="170">
        <v>0.57</v>
      </c>
      <c r="M9" s="170">
        <v>8.88</v>
      </c>
      <c r="N9" s="114">
        <v>23</v>
      </c>
      <c r="O9" s="171">
        <v>2.6</v>
      </c>
      <c r="P9" s="114">
        <v>5</v>
      </c>
      <c r="Q9" s="170">
        <v>0.19</v>
      </c>
      <c r="R9" s="119">
        <v>0.55</v>
      </c>
      <c r="S9" s="170">
        <v>7.72</v>
      </c>
      <c r="T9" s="121">
        <v>78.5</v>
      </c>
      <c r="U9" s="192">
        <v>20</v>
      </c>
      <c r="V9" s="193"/>
      <c r="W9" s="194">
        <f t="shared" si="0"/>
        <v>0.788493150684932</v>
      </c>
    </row>
    <row r="10" ht="12.95" customHeight="1" spans="1:23">
      <c r="A10" s="111">
        <v>4</v>
      </c>
      <c r="B10" s="112">
        <v>328</v>
      </c>
      <c r="C10" s="113">
        <v>149</v>
      </c>
      <c r="D10" s="114">
        <v>186</v>
      </c>
      <c r="E10" s="115">
        <v>4.6</v>
      </c>
      <c r="F10" s="117">
        <v>31.9</v>
      </c>
      <c r="G10" s="117">
        <v>37.2</v>
      </c>
      <c r="H10" s="118">
        <v>30</v>
      </c>
      <c r="I10" s="115">
        <v>3.05</v>
      </c>
      <c r="J10" s="118">
        <v>17</v>
      </c>
      <c r="K10" s="115">
        <v>0.56</v>
      </c>
      <c r="L10" s="170">
        <v>0.68</v>
      </c>
      <c r="M10" s="116">
        <v>9.27</v>
      </c>
      <c r="N10" s="114">
        <v>22</v>
      </c>
      <c r="O10" s="171">
        <v>2.14</v>
      </c>
      <c r="P10" s="114">
        <v>5</v>
      </c>
      <c r="Q10" s="170">
        <v>0.15</v>
      </c>
      <c r="R10" s="119">
        <v>0.58</v>
      </c>
      <c r="S10" s="170">
        <v>8.56</v>
      </c>
      <c r="T10" s="121">
        <v>77.9</v>
      </c>
      <c r="U10" s="192">
        <v>50</v>
      </c>
      <c r="V10" s="193"/>
      <c r="W10" s="194">
        <f t="shared" si="0"/>
        <v>0.76989247311828</v>
      </c>
    </row>
    <row r="11" ht="12.95" customHeight="1" spans="1:23">
      <c r="A11" s="111">
        <v>5</v>
      </c>
      <c r="B11" s="112">
        <v>223</v>
      </c>
      <c r="C11" s="113">
        <v>101</v>
      </c>
      <c r="D11" s="114">
        <v>118</v>
      </c>
      <c r="E11" s="115">
        <v>5.15</v>
      </c>
      <c r="F11" s="120">
        <v>22.2</v>
      </c>
      <c r="G11" s="117">
        <v>29.8</v>
      </c>
      <c r="H11" s="118">
        <v>30</v>
      </c>
      <c r="I11" s="115">
        <v>3.03</v>
      </c>
      <c r="J11" s="118">
        <v>16</v>
      </c>
      <c r="K11" s="115">
        <v>0.51</v>
      </c>
      <c r="L11" s="170">
        <v>0.41</v>
      </c>
      <c r="M11" s="170">
        <v>8.09</v>
      </c>
      <c r="N11" s="114">
        <v>20</v>
      </c>
      <c r="O11" s="171">
        <v>2.19</v>
      </c>
      <c r="P11" s="114">
        <v>6</v>
      </c>
      <c r="Q11" s="170">
        <v>0.2</v>
      </c>
      <c r="R11" s="119">
        <v>0.34</v>
      </c>
      <c r="S11" s="170">
        <v>6.42</v>
      </c>
      <c r="T11" s="121">
        <v>78.3</v>
      </c>
      <c r="U11" s="192" t="s">
        <v>128</v>
      </c>
      <c r="V11" s="193"/>
      <c r="W11" s="194">
        <f t="shared" si="0"/>
        <v>0.784563758389262</v>
      </c>
    </row>
    <row r="12" ht="12.95" customHeight="1" spans="1:23">
      <c r="A12" s="111">
        <v>6</v>
      </c>
      <c r="B12" s="112">
        <v>224</v>
      </c>
      <c r="C12" s="113">
        <v>104</v>
      </c>
      <c r="D12" s="114">
        <v>124</v>
      </c>
      <c r="E12" s="115">
        <v>2.54</v>
      </c>
      <c r="F12" s="116">
        <v>26.1</v>
      </c>
      <c r="G12" s="117">
        <v>33.2</v>
      </c>
      <c r="H12" s="118">
        <v>30</v>
      </c>
      <c r="I12" s="115">
        <v>3.08</v>
      </c>
      <c r="J12" s="118">
        <v>15</v>
      </c>
      <c r="K12" s="115">
        <v>0.52</v>
      </c>
      <c r="L12" s="170">
        <v>0.51</v>
      </c>
      <c r="M12" s="170">
        <v>7.95</v>
      </c>
      <c r="N12" s="114">
        <v>21</v>
      </c>
      <c r="O12" s="171">
        <v>2.51</v>
      </c>
      <c r="P12" s="114">
        <v>6</v>
      </c>
      <c r="Q12" s="170">
        <v>0.19</v>
      </c>
      <c r="R12" s="119">
        <v>0.37</v>
      </c>
      <c r="S12" s="170">
        <v>6.94</v>
      </c>
      <c r="T12" s="121">
        <v>78.3</v>
      </c>
      <c r="U12" s="192" t="s">
        <v>128</v>
      </c>
      <c r="V12" s="193"/>
      <c r="W12" s="194">
        <f t="shared" si="0"/>
        <v>0.790963855421687</v>
      </c>
    </row>
    <row r="13" ht="12.95" customHeight="1" spans="1:23">
      <c r="A13" s="111">
        <v>7</v>
      </c>
      <c r="B13" s="112">
        <v>286</v>
      </c>
      <c r="C13" s="113">
        <v>130</v>
      </c>
      <c r="D13" s="114">
        <v>92</v>
      </c>
      <c r="E13" s="115">
        <v>2.89</v>
      </c>
      <c r="F13" s="116">
        <v>20.7</v>
      </c>
      <c r="G13" s="117">
        <v>26.9</v>
      </c>
      <c r="H13" s="118">
        <v>34</v>
      </c>
      <c r="I13" s="115">
        <v>3.23</v>
      </c>
      <c r="J13" s="118">
        <v>14</v>
      </c>
      <c r="K13" s="115">
        <v>0.51</v>
      </c>
      <c r="L13" s="170">
        <v>0.5</v>
      </c>
      <c r="M13" s="170">
        <v>8.09</v>
      </c>
      <c r="N13" s="114">
        <v>28</v>
      </c>
      <c r="O13" s="171">
        <v>2.88</v>
      </c>
      <c r="P13" s="114">
        <v>5</v>
      </c>
      <c r="Q13" s="170">
        <v>0.26</v>
      </c>
      <c r="R13" s="119">
        <v>0.42</v>
      </c>
      <c r="S13" s="170">
        <v>7.78</v>
      </c>
      <c r="T13" s="121">
        <v>78.3</v>
      </c>
      <c r="U13" s="192" t="s">
        <v>128</v>
      </c>
      <c r="V13" s="193"/>
      <c r="W13" s="194">
        <f t="shared" si="0"/>
        <v>0.710780669144981</v>
      </c>
    </row>
    <row r="14" ht="12.95" customHeight="1" spans="1:23">
      <c r="A14" s="111">
        <v>8</v>
      </c>
      <c r="B14" s="112">
        <v>416</v>
      </c>
      <c r="C14" s="113">
        <v>189</v>
      </c>
      <c r="D14" s="114">
        <v>184</v>
      </c>
      <c r="E14" s="115">
        <v>4.03</v>
      </c>
      <c r="F14" s="121">
        <v>29.1</v>
      </c>
      <c r="G14" s="117">
        <v>34.6</v>
      </c>
      <c r="H14" s="118">
        <v>39</v>
      </c>
      <c r="I14" s="115">
        <v>3.78</v>
      </c>
      <c r="J14" s="118">
        <v>18</v>
      </c>
      <c r="K14" s="115">
        <v>0.56</v>
      </c>
      <c r="L14" s="170">
        <v>0.53</v>
      </c>
      <c r="M14" s="170">
        <v>9.62</v>
      </c>
      <c r="N14" s="114">
        <v>27</v>
      </c>
      <c r="O14" s="171">
        <v>2.69</v>
      </c>
      <c r="P14" s="114">
        <v>5</v>
      </c>
      <c r="Q14" s="170">
        <v>0.31</v>
      </c>
      <c r="R14" s="119">
        <v>0.38</v>
      </c>
      <c r="S14" s="170">
        <v>7.24</v>
      </c>
      <c r="T14" s="121">
        <v>78.3</v>
      </c>
      <c r="U14" s="192" t="s">
        <v>128</v>
      </c>
      <c r="V14" s="193"/>
      <c r="W14" s="194">
        <f t="shared" si="0"/>
        <v>0.790751445086705</v>
      </c>
    </row>
    <row r="15" ht="12.95" customHeight="1" spans="1:23">
      <c r="A15" s="111">
        <v>9</v>
      </c>
      <c r="B15" s="112">
        <v>317</v>
      </c>
      <c r="C15" s="113">
        <v>144</v>
      </c>
      <c r="D15" s="114">
        <v>110</v>
      </c>
      <c r="E15" s="115">
        <v>2.28</v>
      </c>
      <c r="F15" s="117">
        <v>28.5</v>
      </c>
      <c r="G15" s="117">
        <v>33.5</v>
      </c>
      <c r="H15" s="118">
        <v>32</v>
      </c>
      <c r="I15" s="115">
        <v>3.22</v>
      </c>
      <c r="J15" s="118">
        <v>14</v>
      </c>
      <c r="K15" s="115">
        <v>0.52</v>
      </c>
      <c r="L15" s="170">
        <v>0.52</v>
      </c>
      <c r="M15" s="170">
        <v>9.86</v>
      </c>
      <c r="N15" s="114">
        <v>24</v>
      </c>
      <c r="O15" s="171">
        <v>2.16</v>
      </c>
      <c r="P15" s="114">
        <v>5</v>
      </c>
      <c r="Q15" s="170">
        <v>0.21</v>
      </c>
      <c r="R15" s="119">
        <v>0.46</v>
      </c>
      <c r="S15" s="170">
        <v>9.6</v>
      </c>
      <c r="T15" s="121">
        <v>78.2</v>
      </c>
      <c r="U15" s="192">
        <v>110</v>
      </c>
      <c r="V15" s="193"/>
      <c r="W15" s="194">
        <f t="shared" si="0"/>
        <v>0.713432835820895</v>
      </c>
    </row>
    <row r="16" ht="12.95" customHeight="1" spans="1:23">
      <c r="A16" s="111">
        <v>10</v>
      </c>
      <c r="B16" s="112">
        <v>198</v>
      </c>
      <c r="C16" s="122">
        <v>91.4</v>
      </c>
      <c r="D16" s="114">
        <v>88</v>
      </c>
      <c r="E16" s="115">
        <v>2.12</v>
      </c>
      <c r="F16" s="117">
        <v>27.8</v>
      </c>
      <c r="G16" s="117">
        <v>33.9</v>
      </c>
      <c r="H16" s="118">
        <v>39</v>
      </c>
      <c r="I16" s="172">
        <v>3.44</v>
      </c>
      <c r="J16" s="118">
        <v>13</v>
      </c>
      <c r="K16" s="115">
        <v>0.51</v>
      </c>
      <c r="L16" s="170">
        <v>0.74</v>
      </c>
      <c r="M16" s="170">
        <v>9.72</v>
      </c>
      <c r="N16" s="114">
        <v>24</v>
      </c>
      <c r="O16" s="171">
        <v>2.46</v>
      </c>
      <c r="P16" s="114">
        <v>5</v>
      </c>
      <c r="Q16" s="170">
        <v>0.13</v>
      </c>
      <c r="R16" s="119">
        <v>0.58</v>
      </c>
      <c r="S16" s="170">
        <v>8.9</v>
      </c>
      <c r="T16" s="121">
        <v>78.6</v>
      </c>
      <c r="U16" s="192" t="s">
        <v>128</v>
      </c>
      <c r="V16" s="193"/>
      <c r="W16" s="194">
        <f t="shared" si="0"/>
        <v>0.737463126843658</v>
      </c>
    </row>
    <row r="17" ht="12.95" customHeight="1" spans="1:23">
      <c r="A17" s="111">
        <v>11</v>
      </c>
      <c r="B17" s="112">
        <v>302</v>
      </c>
      <c r="C17" s="113">
        <v>136</v>
      </c>
      <c r="D17" s="114">
        <v>106</v>
      </c>
      <c r="E17" s="115">
        <v>2.12</v>
      </c>
      <c r="F17" s="116">
        <v>27.8</v>
      </c>
      <c r="G17" s="117">
        <v>33.6</v>
      </c>
      <c r="H17" s="118">
        <v>28</v>
      </c>
      <c r="I17" s="115">
        <v>2.77</v>
      </c>
      <c r="J17" s="118">
        <v>12</v>
      </c>
      <c r="K17" s="115">
        <v>0.55</v>
      </c>
      <c r="L17" s="170">
        <v>0.49</v>
      </c>
      <c r="M17" s="170">
        <v>8.76</v>
      </c>
      <c r="N17" s="114">
        <v>22</v>
      </c>
      <c r="O17" s="171">
        <v>2.61</v>
      </c>
      <c r="P17" s="114">
        <v>6</v>
      </c>
      <c r="Q17" s="170">
        <v>0.15</v>
      </c>
      <c r="R17" s="119">
        <v>0.25</v>
      </c>
      <c r="S17" s="170">
        <v>8.73</v>
      </c>
      <c r="T17" s="121">
        <v>78.8</v>
      </c>
      <c r="U17" s="192" t="s">
        <v>128</v>
      </c>
      <c r="V17" s="193"/>
      <c r="W17" s="194">
        <f t="shared" si="0"/>
        <v>0.740178571428571</v>
      </c>
    </row>
    <row r="18" ht="12.95" customHeight="1" spans="1:23">
      <c r="A18" s="111">
        <v>12</v>
      </c>
      <c r="B18" s="114">
        <v>344</v>
      </c>
      <c r="C18" s="113">
        <v>156</v>
      </c>
      <c r="D18" s="123">
        <v>156</v>
      </c>
      <c r="E18" s="115">
        <v>2.83</v>
      </c>
      <c r="F18" s="117">
        <v>28.7</v>
      </c>
      <c r="G18" s="117">
        <v>33.4</v>
      </c>
      <c r="H18" s="118">
        <v>34</v>
      </c>
      <c r="I18" s="115">
        <v>3.14</v>
      </c>
      <c r="J18" s="61">
        <v>16</v>
      </c>
      <c r="K18" s="115">
        <v>0.54</v>
      </c>
      <c r="L18" s="170">
        <v>0.6</v>
      </c>
      <c r="M18" s="170">
        <v>9.3</v>
      </c>
      <c r="N18" s="114">
        <v>25</v>
      </c>
      <c r="O18" s="171">
        <v>2.52</v>
      </c>
      <c r="P18" s="114">
        <v>6</v>
      </c>
      <c r="Q18" s="170">
        <v>0.14</v>
      </c>
      <c r="R18" s="119">
        <v>0.59</v>
      </c>
      <c r="S18" s="195">
        <v>8.73</v>
      </c>
      <c r="T18" s="121">
        <v>79</v>
      </c>
      <c r="U18" s="192" t="s">
        <v>128</v>
      </c>
      <c r="V18" s="193"/>
      <c r="W18" s="194">
        <f t="shared" si="0"/>
        <v>0.738622754491018</v>
      </c>
    </row>
    <row r="19" ht="12.95" customHeight="1" spans="1:23">
      <c r="A19" s="111">
        <v>13</v>
      </c>
      <c r="B19" s="112">
        <v>368</v>
      </c>
      <c r="C19" s="113">
        <v>166</v>
      </c>
      <c r="D19" s="123">
        <v>162</v>
      </c>
      <c r="E19" s="115">
        <v>2.36</v>
      </c>
      <c r="F19" s="117">
        <v>23.9</v>
      </c>
      <c r="G19" s="117">
        <v>30.3</v>
      </c>
      <c r="H19" s="118">
        <v>26</v>
      </c>
      <c r="I19" s="115">
        <v>2.66</v>
      </c>
      <c r="J19" s="61">
        <v>14</v>
      </c>
      <c r="K19" s="115">
        <v>0.52</v>
      </c>
      <c r="L19" s="170">
        <v>0.33</v>
      </c>
      <c r="M19" s="170">
        <v>7.97</v>
      </c>
      <c r="N19" s="114">
        <v>19</v>
      </c>
      <c r="O19" s="171">
        <v>2.33</v>
      </c>
      <c r="P19" s="114">
        <v>6</v>
      </c>
      <c r="Q19" s="170">
        <v>0.16</v>
      </c>
      <c r="R19" s="119">
        <v>0.28</v>
      </c>
      <c r="S19" s="170">
        <v>7.31</v>
      </c>
      <c r="T19" s="121">
        <v>78.9</v>
      </c>
      <c r="U19" s="192" t="s">
        <v>128</v>
      </c>
      <c r="V19" s="193"/>
      <c r="W19" s="194">
        <f t="shared" si="0"/>
        <v>0.758745874587459</v>
      </c>
    </row>
    <row r="20" ht="12.95" customHeight="1" spans="1:23">
      <c r="A20" s="111">
        <v>14</v>
      </c>
      <c r="B20" s="112">
        <v>276</v>
      </c>
      <c r="C20" s="113">
        <v>126</v>
      </c>
      <c r="D20" s="114">
        <v>124</v>
      </c>
      <c r="E20" s="115">
        <v>2.11</v>
      </c>
      <c r="F20" s="121">
        <v>29.7</v>
      </c>
      <c r="G20" s="117">
        <v>36.4</v>
      </c>
      <c r="H20" s="118">
        <v>41</v>
      </c>
      <c r="I20" s="172">
        <v>3.84</v>
      </c>
      <c r="J20" s="118">
        <v>17</v>
      </c>
      <c r="K20" s="115">
        <v>0.51</v>
      </c>
      <c r="L20" s="170">
        <v>0.35</v>
      </c>
      <c r="M20" s="170">
        <v>7.88</v>
      </c>
      <c r="N20" s="114">
        <v>25</v>
      </c>
      <c r="O20" s="171">
        <v>2.39</v>
      </c>
      <c r="P20" s="114">
        <v>6</v>
      </c>
      <c r="Q20" s="170">
        <v>0.11</v>
      </c>
      <c r="R20" s="119">
        <v>0.28</v>
      </c>
      <c r="S20" s="170">
        <v>7.36</v>
      </c>
      <c r="T20" s="121">
        <v>78.7</v>
      </c>
      <c r="U20" s="192" t="s">
        <v>128</v>
      </c>
      <c r="V20" s="193"/>
      <c r="W20" s="194">
        <f t="shared" si="0"/>
        <v>0.797802197802198</v>
      </c>
    </row>
    <row r="21" ht="12.95" customHeight="1" spans="1:23">
      <c r="A21" s="111">
        <v>15</v>
      </c>
      <c r="B21" s="112">
        <v>259</v>
      </c>
      <c r="C21" s="113">
        <v>117</v>
      </c>
      <c r="D21" s="114">
        <v>86</v>
      </c>
      <c r="E21" s="115">
        <v>2.19</v>
      </c>
      <c r="F21" s="116">
        <v>26.1</v>
      </c>
      <c r="G21" s="117">
        <v>33</v>
      </c>
      <c r="H21" s="118">
        <v>28</v>
      </c>
      <c r="I21" s="115">
        <v>2.54</v>
      </c>
      <c r="J21" s="118">
        <v>12</v>
      </c>
      <c r="K21" s="115">
        <v>0.55</v>
      </c>
      <c r="L21" s="170">
        <v>0.41</v>
      </c>
      <c r="M21" s="170">
        <v>9.06</v>
      </c>
      <c r="N21" s="114">
        <v>20</v>
      </c>
      <c r="O21" s="171">
        <v>2.31</v>
      </c>
      <c r="P21" s="114">
        <v>5</v>
      </c>
      <c r="Q21" s="170">
        <v>0.12</v>
      </c>
      <c r="R21" s="119">
        <v>0.32</v>
      </c>
      <c r="S21" s="170">
        <v>8.39</v>
      </c>
      <c r="T21" s="121">
        <v>78.6</v>
      </c>
      <c r="U21" s="192">
        <v>80</v>
      </c>
      <c r="V21" s="193"/>
      <c r="W21" s="194">
        <f t="shared" si="0"/>
        <v>0.745757575757576</v>
      </c>
    </row>
    <row r="22" ht="12" customHeight="1" spans="1:23">
      <c r="A22" s="111">
        <v>16</v>
      </c>
      <c r="B22" s="112">
        <v>328</v>
      </c>
      <c r="C22" s="113">
        <v>150</v>
      </c>
      <c r="D22" s="114">
        <v>100</v>
      </c>
      <c r="E22" s="115">
        <v>2.01</v>
      </c>
      <c r="F22" s="116">
        <v>30.1</v>
      </c>
      <c r="G22" s="117">
        <v>36.7</v>
      </c>
      <c r="H22" s="118">
        <v>33</v>
      </c>
      <c r="I22" s="115">
        <v>3.09</v>
      </c>
      <c r="J22" s="118">
        <v>15</v>
      </c>
      <c r="K22" s="115">
        <v>0.51</v>
      </c>
      <c r="L22" s="170">
        <v>0.43</v>
      </c>
      <c r="M22" s="170">
        <v>9.8</v>
      </c>
      <c r="N22" s="114">
        <v>18</v>
      </c>
      <c r="O22" s="171">
        <v>2.51</v>
      </c>
      <c r="P22" s="114">
        <v>5</v>
      </c>
      <c r="Q22" s="170">
        <v>0.11</v>
      </c>
      <c r="R22" s="119">
        <v>0.31</v>
      </c>
      <c r="S22" s="170">
        <v>6</v>
      </c>
      <c r="T22" s="121">
        <v>78.3</v>
      </c>
      <c r="U22" s="192" t="s">
        <v>128</v>
      </c>
      <c r="V22" s="193"/>
      <c r="W22" s="194">
        <f t="shared" si="0"/>
        <v>0.836512261580381</v>
      </c>
    </row>
    <row r="23" ht="12.95" customHeight="1" spans="1:23">
      <c r="A23" s="111">
        <v>17</v>
      </c>
      <c r="B23" s="112">
        <v>259</v>
      </c>
      <c r="C23" s="113">
        <v>117</v>
      </c>
      <c r="D23" s="114">
        <v>138</v>
      </c>
      <c r="E23" s="115">
        <v>3.27</v>
      </c>
      <c r="F23" s="116">
        <v>36</v>
      </c>
      <c r="G23" s="117">
        <v>41.6</v>
      </c>
      <c r="H23" s="118">
        <v>26</v>
      </c>
      <c r="I23" s="115">
        <v>2.74</v>
      </c>
      <c r="J23" s="118">
        <v>14</v>
      </c>
      <c r="K23" s="115">
        <v>0.56</v>
      </c>
      <c r="L23" s="170">
        <v>0.58</v>
      </c>
      <c r="M23" s="170">
        <v>8.46</v>
      </c>
      <c r="N23" s="114">
        <v>16</v>
      </c>
      <c r="O23" s="171">
        <v>2.35</v>
      </c>
      <c r="P23" s="114">
        <v>5</v>
      </c>
      <c r="Q23" s="170">
        <v>0.11</v>
      </c>
      <c r="R23" s="119">
        <v>0.43</v>
      </c>
      <c r="S23" s="170">
        <v>7.56</v>
      </c>
      <c r="T23" s="121">
        <v>78.8</v>
      </c>
      <c r="U23" s="192" t="s">
        <v>128</v>
      </c>
      <c r="V23" s="193"/>
      <c r="W23" s="194">
        <f t="shared" si="0"/>
        <v>0.818269230769231</v>
      </c>
    </row>
    <row r="24" ht="12.95" customHeight="1" spans="1:23">
      <c r="A24" s="111">
        <v>18</v>
      </c>
      <c r="B24" s="124">
        <v>238</v>
      </c>
      <c r="C24" s="113">
        <v>110</v>
      </c>
      <c r="D24" s="114">
        <v>84</v>
      </c>
      <c r="E24" s="115">
        <v>2.3</v>
      </c>
      <c r="F24" s="116">
        <v>26.9</v>
      </c>
      <c r="G24" s="117">
        <v>32.4</v>
      </c>
      <c r="H24" s="118">
        <v>21</v>
      </c>
      <c r="I24" s="115">
        <v>2.55</v>
      </c>
      <c r="J24" s="118">
        <v>13</v>
      </c>
      <c r="K24" s="115">
        <v>0.53</v>
      </c>
      <c r="L24" s="170">
        <v>0.56</v>
      </c>
      <c r="M24" s="170">
        <v>8.64</v>
      </c>
      <c r="N24" s="114">
        <v>17</v>
      </c>
      <c r="O24" s="171">
        <v>2.4</v>
      </c>
      <c r="P24" s="114">
        <v>5</v>
      </c>
      <c r="Q24" s="170">
        <v>0.11</v>
      </c>
      <c r="R24" s="119">
        <v>0.33</v>
      </c>
      <c r="S24" s="170">
        <v>7.81</v>
      </c>
      <c r="T24" s="121">
        <v>78.5</v>
      </c>
      <c r="U24" s="192" t="s">
        <v>128</v>
      </c>
      <c r="V24" s="193"/>
      <c r="W24" s="194">
        <f t="shared" si="0"/>
        <v>0.758950617283951</v>
      </c>
    </row>
    <row r="25" ht="12.95" customHeight="1" spans="1:23">
      <c r="A25" s="111">
        <v>19</v>
      </c>
      <c r="B25" s="124">
        <v>242</v>
      </c>
      <c r="C25" s="113">
        <v>108</v>
      </c>
      <c r="D25" s="114">
        <v>122</v>
      </c>
      <c r="E25" s="115">
        <v>3.27</v>
      </c>
      <c r="F25" s="117">
        <v>35.5</v>
      </c>
      <c r="G25" s="117">
        <v>43.8</v>
      </c>
      <c r="H25" s="118">
        <v>25</v>
      </c>
      <c r="I25" s="172">
        <v>2.33</v>
      </c>
      <c r="J25" s="118">
        <v>12</v>
      </c>
      <c r="K25" s="115">
        <v>0.56</v>
      </c>
      <c r="L25" s="170">
        <v>0.59</v>
      </c>
      <c r="M25" s="170">
        <v>8.94</v>
      </c>
      <c r="N25" s="114">
        <v>17</v>
      </c>
      <c r="O25" s="171">
        <v>2.2</v>
      </c>
      <c r="P25" s="114">
        <v>5</v>
      </c>
      <c r="Q25" s="170">
        <v>0.11</v>
      </c>
      <c r="R25" s="119">
        <v>0.58</v>
      </c>
      <c r="S25" s="170">
        <v>7.36</v>
      </c>
      <c r="T25" s="121">
        <v>78.7</v>
      </c>
      <c r="U25" s="192" t="s">
        <v>128</v>
      </c>
      <c r="V25" s="193"/>
      <c r="W25" s="194">
        <f t="shared" si="0"/>
        <v>0.831963470319635</v>
      </c>
    </row>
    <row r="26" ht="12.95" customHeight="1" spans="1:23">
      <c r="A26" s="111">
        <v>20</v>
      </c>
      <c r="B26" s="124">
        <v>368</v>
      </c>
      <c r="C26" s="113">
        <v>167</v>
      </c>
      <c r="D26" s="114">
        <v>120</v>
      </c>
      <c r="E26" s="115">
        <v>2.24</v>
      </c>
      <c r="F26" s="117">
        <v>26.8</v>
      </c>
      <c r="G26" s="117">
        <v>33.7</v>
      </c>
      <c r="H26" s="118">
        <v>25</v>
      </c>
      <c r="I26" s="115">
        <v>2.34</v>
      </c>
      <c r="J26" s="118">
        <v>12</v>
      </c>
      <c r="K26" s="115">
        <v>0.54</v>
      </c>
      <c r="L26" s="170">
        <v>0.22</v>
      </c>
      <c r="M26" s="170">
        <v>6.82</v>
      </c>
      <c r="N26" s="114">
        <v>16</v>
      </c>
      <c r="O26" s="171">
        <v>2.25</v>
      </c>
      <c r="P26" s="114">
        <v>5</v>
      </c>
      <c r="Q26" s="170">
        <v>0.13</v>
      </c>
      <c r="R26" s="119">
        <v>0.19</v>
      </c>
      <c r="S26" s="170">
        <v>6.45</v>
      </c>
      <c r="T26" s="121">
        <v>78.6</v>
      </c>
      <c r="U26" s="192" t="s">
        <v>128</v>
      </c>
      <c r="V26" s="193"/>
      <c r="W26" s="194">
        <f t="shared" si="0"/>
        <v>0.808605341246291</v>
      </c>
    </row>
    <row r="27" ht="12.95" customHeight="1" spans="1:23">
      <c r="A27" s="111">
        <v>21</v>
      </c>
      <c r="B27" s="124">
        <v>238</v>
      </c>
      <c r="C27" s="113">
        <v>108</v>
      </c>
      <c r="D27" s="114">
        <v>94</v>
      </c>
      <c r="E27" s="115">
        <v>2.79</v>
      </c>
      <c r="F27" s="121">
        <v>32</v>
      </c>
      <c r="G27" s="117">
        <v>38.8</v>
      </c>
      <c r="H27" s="118">
        <v>19</v>
      </c>
      <c r="I27" s="115">
        <v>2.61</v>
      </c>
      <c r="J27" s="118">
        <v>11</v>
      </c>
      <c r="K27" s="115">
        <v>0.5</v>
      </c>
      <c r="L27" s="170">
        <v>0.57</v>
      </c>
      <c r="M27" s="170">
        <v>8.71</v>
      </c>
      <c r="N27" s="114">
        <v>16</v>
      </c>
      <c r="O27" s="171">
        <v>2.32</v>
      </c>
      <c r="P27" s="114">
        <v>5</v>
      </c>
      <c r="Q27" s="170">
        <v>0.1</v>
      </c>
      <c r="R27" s="119">
        <v>0.35</v>
      </c>
      <c r="S27" s="170">
        <v>7.68</v>
      </c>
      <c r="T27" s="121">
        <v>78.8</v>
      </c>
      <c r="U27" s="192">
        <v>40</v>
      </c>
      <c r="V27" s="193"/>
      <c r="W27" s="194">
        <f t="shared" si="0"/>
        <v>0.802061855670103</v>
      </c>
    </row>
    <row r="28" ht="12.95" customHeight="1" spans="1:23">
      <c r="A28" s="111">
        <v>22</v>
      </c>
      <c r="B28" s="124">
        <v>248</v>
      </c>
      <c r="C28" s="113">
        <v>113</v>
      </c>
      <c r="D28" s="114">
        <v>116</v>
      </c>
      <c r="E28" s="115">
        <v>4.44</v>
      </c>
      <c r="F28" s="125">
        <v>31.4</v>
      </c>
      <c r="G28" s="126">
        <v>37.8</v>
      </c>
      <c r="H28" s="118">
        <v>19</v>
      </c>
      <c r="I28" s="115">
        <v>2.25</v>
      </c>
      <c r="J28" s="118">
        <v>12</v>
      </c>
      <c r="K28" s="115">
        <v>0.51</v>
      </c>
      <c r="L28" s="170">
        <v>0.33</v>
      </c>
      <c r="M28" s="170">
        <v>8.16</v>
      </c>
      <c r="N28" s="114">
        <v>16</v>
      </c>
      <c r="O28" s="171">
        <v>2.14</v>
      </c>
      <c r="P28" s="114">
        <v>5</v>
      </c>
      <c r="Q28" s="170">
        <v>0.13</v>
      </c>
      <c r="R28" s="119">
        <v>0.24</v>
      </c>
      <c r="S28" s="170">
        <v>8.08</v>
      </c>
      <c r="T28" s="121">
        <v>78.5</v>
      </c>
      <c r="U28" s="192" t="s">
        <v>128</v>
      </c>
      <c r="V28" s="193"/>
      <c r="W28" s="194">
        <f t="shared" si="0"/>
        <v>0.786243386243386</v>
      </c>
    </row>
    <row r="29" ht="12.95" customHeight="1" spans="1:23">
      <c r="A29" s="111">
        <v>23</v>
      </c>
      <c r="B29" s="124">
        <v>208</v>
      </c>
      <c r="C29" s="113">
        <v>94.2</v>
      </c>
      <c r="D29" s="114">
        <v>100</v>
      </c>
      <c r="E29" s="115">
        <v>2.08</v>
      </c>
      <c r="F29" s="121">
        <v>29.2</v>
      </c>
      <c r="G29" s="117">
        <v>36.9</v>
      </c>
      <c r="H29" s="118">
        <v>16</v>
      </c>
      <c r="I29" s="172">
        <v>2.38</v>
      </c>
      <c r="J29" s="118">
        <v>10</v>
      </c>
      <c r="K29" s="115">
        <v>0.51</v>
      </c>
      <c r="L29" s="170">
        <v>0.37</v>
      </c>
      <c r="M29" s="170">
        <v>9.82</v>
      </c>
      <c r="N29" s="114" t="s">
        <v>147</v>
      </c>
      <c r="O29" s="171">
        <v>2.24</v>
      </c>
      <c r="P29" s="114">
        <v>5</v>
      </c>
      <c r="Q29" s="170">
        <v>0.15</v>
      </c>
      <c r="R29" s="119">
        <v>0.2</v>
      </c>
      <c r="S29" s="170">
        <v>8.98</v>
      </c>
      <c r="T29" s="121">
        <v>78.3</v>
      </c>
      <c r="U29" s="192" t="s">
        <v>128</v>
      </c>
      <c r="V29" s="193"/>
      <c r="W29" s="194">
        <f t="shared" si="0"/>
        <v>0.756639566395664</v>
      </c>
    </row>
    <row r="30" ht="12.95" customHeight="1" spans="1:23">
      <c r="A30" s="111">
        <v>24</v>
      </c>
      <c r="B30" s="124">
        <v>254</v>
      </c>
      <c r="C30" s="113">
        <v>116</v>
      </c>
      <c r="D30" s="114">
        <v>88</v>
      </c>
      <c r="E30" s="115">
        <v>4.24</v>
      </c>
      <c r="F30" s="126">
        <v>34.2</v>
      </c>
      <c r="G30" s="125">
        <v>39.7</v>
      </c>
      <c r="H30" s="118">
        <v>20</v>
      </c>
      <c r="I30" s="115">
        <v>2.31</v>
      </c>
      <c r="J30" s="118">
        <v>11</v>
      </c>
      <c r="K30" s="115">
        <v>0.5</v>
      </c>
      <c r="L30" s="170">
        <v>0.4</v>
      </c>
      <c r="M30" s="170">
        <v>7.71</v>
      </c>
      <c r="N30" s="114">
        <v>17</v>
      </c>
      <c r="O30" s="171">
        <v>2.11</v>
      </c>
      <c r="P30" s="114">
        <v>5</v>
      </c>
      <c r="Q30" s="170">
        <v>0.11</v>
      </c>
      <c r="R30" s="170">
        <v>0.22</v>
      </c>
      <c r="S30" s="170">
        <v>6.92</v>
      </c>
      <c r="T30" s="121">
        <v>78.7</v>
      </c>
      <c r="U30" s="192" t="s">
        <v>128</v>
      </c>
      <c r="V30" s="193"/>
      <c r="W30" s="194">
        <f t="shared" si="0"/>
        <v>0.825692695214106</v>
      </c>
    </row>
    <row r="31" ht="12.95" customHeight="1" spans="1:23">
      <c r="A31" s="111">
        <v>25</v>
      </c>
      <c r="B31" s="124">
        <v>256</v>
      </c>
      <c r="C31" s="113">
        <v>117</v>
      </c>
      <c r="D31" s="114">
        <v>96</v>
      </c>
      <c r="E31" s="115">
        <v>2.79</v>
      </c>
      <c r="F31" s="117">
        <v>25.8</v>
      </c>
      <c r="G31" s="125">
        <v>32.8</v>
      </c>
      <c r="H31" s="118">
        <v>21</v>
      </c>
      <c r="I31" s="115">
        <v>2.58</v>
      </c>
      <c r="J31" s="118">
        <v>12</v>
      </c>
      <c r="K31" s="115">
        <v>0.54</v>
      </c>
      <c r="L31" s="170">
        <v>0.17</v>
      </c>
      <c r="M31" s="173">
        <v>8.11</v>
      </c>
      <c r="N31" s="114">
        <v>16</v>
      </c>
      <c r="O31" s="171">
        <v>2.25</v>
      </c>
      <c r="P31" s="114">
        <v>5</v>
      </c>
      <c r="Q31" s="170">
        <v>0.13</v>
      </c>
      <c r="R31" s="170">
        <v>0.1</v>
      </c>
      <c r="S31" s="195">
        <v>6.95</v>
      </c>
      <c r="T31" s="121">
        <v>78.5</v>
      </c>
      <c r="U31" s="192" t="s">
        <v>128</v>
      </c>
      <c r="V31" s="193"/>
      <c r="W31" s="194">
        <f t="shared" si="0"/>
        <v>0.788109756097561</v>
      </c>
    </row>
    <row r="32" ht="12.95" customHeight="1" spans="1:23">
      <c r="A32" s="111">
        <v>26</v>
      </c>
      <c r="B32" s="124">
        <v>196</v>
      </c>
      <c r="C32" s="113">
        <v>89.3</v>
      </c>
      <c r="D32" s="114">
        <v>82</v>
      </c>
      <c r="E32" s="115">
        <v>3.14</v>
      </c>
      <c r="F32" s="116">
        <v>37.9</v>
      </c>
      <c r="G32" s="117">
        <v>45.1</v>
      </c>
      <c r="H32" s="118">
        <v>23</v>
      </c>
      <c r="I32" s="115">
        <v>2.39</v>
      </c>
      <c r="J32" s="118">
        <v>11</v>
      </c>
      <c r="K32" s="115">
        <v>0.52</v>
      </c>
      <c r="L32" s="170">
        <v>0.5</v>
      </c>
      <c r="M32" s="116">
        <v>12</v>
      </c>
      <c r="N32" s="114">
        <v>18</v>
      </c>
      <c r="O32" s="171">
        <v>2.3</v>
      </c>
      <c r="P32" s="114">
        <v>5</v>
      </c>
      <c r="Q32" s="170">
        <v>0.12</v>
      </c>
      <c r="R32" s="170">
        <v>0.38</v>
      </c>
      <c r="S32" s="116">
        <v>11.7</v>
      </c>
      <c r="T32" s="121">
        <v>78.2</v>
      </c>
      <c r="U32" s="192" t="s">
        <v>128</v>
      </c>
      <c r="V32" s="193"/>
      <c r="W32" s="194">
        <f t="shared" si="0"/>
        <v>0.740576496674058</v>
      </c>
    </row>
    <row r="33" ht="12.95" customHeight="1" spans="1:23">
      <c r="A33" s="111">
        <v>27</v>
      </c>
      <c r="B33" s="124">
        <v>240</v>
      </c>
      <c r="C33" s="113">
        <v>110</v>
      </c>
      <c r="D33" s="114">
        <v>68</v>
      </c>
      <c r="E33" s="115">
        <v>2.59</v>
      </c>
      <c r="F33" s="121">
        <v>25.9</v>
      </c>
      <c r="G33" s="117">
        <v>33.1</v>
      </c>
      <c r="H33" s="118">
        <v>16</v>
      </c>
      <c r="I33" s="115">
        <v>2.61</v>
      </c>
      <c r="J33" s="118">
        <v>10</v>
      </c>
      <c r="K33" s="115">
        <v>0.52</v>
      </c>
      <c r="L33" s="170">
        <v>0.38</v>
      </c>
      <c r="M33" s="170">
        <v>9.62</v>
      </c>
      <c r="N33" s="114" t="s">
        <v>147</v>
      </c>
      <c r="O33" s="171">
        <v>2.52</v>
      </c>
      <c r="P33" s="114">
        <v>5</v>
      </c>
      <c r="Q33" s="170">
        <v>0.17</v>
      </c>
      <c r="R33" s="170">
        <v>0.15</v>
      </c>
      <c r="S33" s="170">
        <v>9.34</v>
      </c>
      <c r="T33" s="121">
        <v>78.5</v>
      </c>
      <c r="U33" s="192" t="s">
        <v>128</v>
      </c>
      <c r="V33" s="193"/>
      <c r="W33" s="194">
        <f t="shared" si="0"/>
        <v>0.717824773413897</v>
      </c>
    </row>
    <row r="34" ht="12.95" customHeight="1" spans="1:23">
      <c r="A34" s="111">
        <v>28</v>
      </c>
      <c r="B34" s="124">
        <v>230</v>
      </c>
      <c r="C34" s="113">
        <v>104</v>
      </c>
      <c r="D34" s="114">
        <v>132</v>
      </c>
      <c r="E34" s="115">
        <v>3.64</v>
      </c>
      <c r="F34" s="116">
        <v>33.1</v>
      </c>
      <c r="G34" s="117">
        <v>39.6</v>
      </c>
      <c r="H34" s="118">
        <v>16</v>
      </c>
      <c r="I34" s="115">
        <v>2.37</v>
      </c>
      <c r="J34" s="118">
        <v>10</v>
      </c>
      <c r="K34" s="115">
        <v>0.5</v>
      </c>
      <c r="L34" s="170">
        <v>0.39</v>
      </c>
      <c r="M34" s="170">
        <v>9.01</v>
      </c>
      <c r="N34" s="114" t="s">
        <v>147</v>
      </c>
      <c r="O34" s="171">
        <v>2.22</v>
      </c>
      <c r="P34" s="114">
        <v>5</v>
      </c>
      <c r="Q34" s="170">
        <v>0.2</v>
      </c>
      <c r="R34" s="170">
        <v>0.25</v>
      </c>
      <c r="S34" s="170">
        <v>8.04</v>
      </c>
      <c r="T34" s="121">
        <v>78.7</v>
      </c>
      <c r="U34" s="192">
        <v>80</v>
      </c>
      <c r="V34" s="193"/>
      <c r="W34" s="194">
        <f t="shared" si="0"/>
        <v>0.796969696969697</v>
      </c>
    </row>
    <row r="35" ht="12.95" customHeight="1" spans="1:23">
      <c r="A35" s="111">
        <v>29</v>
      </c>
      <c r="B35" s="124">
        <v>244</v>
      </c>
      <c r="C35" s="113">
        <v>108</v>
      </c>
      <c r="D35" s="114">
        <v>108</v>
      </c>
      <c r="E35" s="115">
        <v>3.2</v>
      </c>
      <c r="F35" s="116">
        <v>33</v>
      </c>
      <c r="G35" s="117">
        <v>39.1</v>
      </c>
      <c r="H35" s="118">
        <v>20</v>
      </c>
      <c r="I35" s="115">
        <v>2.67</v>
      </c>
      <c r="J35" s="118">
        <v>10</v>
      </c>
      <c r="K35" s="115">
        <v>0.52</v>
      </c>
      <c r="L35" s="170">
        <v>0.44</v>
      </c>
      <c r="M35" s="170">
        <v>7.76</v>
      </c>
      <c r="N35" s="114" t="s">
        <v>147</v>
      </c>
      <c r="O35" s="171">
        <v>2.55</v>
      </c>
      <c r="P35" s="114">
        <v>5</v>
      </c>
      <c r="Q35" s="170">
        <v>0.1</v>
      </c>
      <c r="R35" s="170">
        <v>0.38</v>
      </c>
      <c r="S35" s="170">
        <v>7.64</v>
      </c>
      <c r="T35" s="121">
        <v>78.9</v>
      </c>
      <c r="U35" s="192" t="s">
        <v>128</v>
      </c>
      <c r="V35" s="193"/>
      <c r="W35" s="194">
        <f t="shared" si="0"/>
        <v>0.80460358056266</v>
      </c>
    </row>
    <row r="36" ht="12.95" customHeight="1" spans="1:23">
      <c r="A36" s="111">
        <v>30</v>
      </c>
      <c r="B36" s="124">
        <v>235</v>
      </c>
      <c r="C36" s="113">
        <v>107</v>
      </c>
      <c r="D36" s="114">
        <v>122</v>
      </c>
      <c r="E36" s="115">
        <v>3.8</v>
      </c>
      <c r="F36" s="116">
        <v>40.9</v>
      </c>
      <c r="G36" s="117">
        <v>46.1</v>
      </c>
      <c r="H36" s="118">
        <v>19</v>
      </c>
      <c r="I36" s="115">
        <v>2.51</v>
      </c>
      <c r="J36" s="118">
        <v>12</v>
      </c>
      <c r="K36" s="115">
        <v>0.53</v>
      </c>
      <c r="L36" s="170">
        <v>0.31</v>
      </c>
      <c r="M36" s="170">
        <v>7.81</v>
      </c>
      <c r="N36" s="114" t="s">
        <v>147</v>
      </c>
      <c r="O36" s="171">
        <v>2.4</v>
      </c>
      <c r="P36" s="114">
        <v>5</v>
      </c>
      <c r="Q36" s="170">
        <v>0.07</v>
      </c>
      <c r="R36" s="170">
        <v>0.12</v>
      </c>
      <c r="S36" s="170">
        <v>7.68</v>
      </c>
      <c r="T36" s="121">
        <v>78.7</v>
      </c>
      <c r="U36" s="192" t="s">
        <v>128</v>
      </c>
      <c r="V36" s="193"/>
      <c r="W36" s="194">
        <f t="shared" si="0"/>
        <v>0.833405639913232</v>
      </c>
    </row>
    <row r="37" ht="12.95" customHeight="1" spans="1:23">
      <c r="A37" s="111">
        <v>31</v>
      </c>
      <c r="B37" s="124">
        <v>292</v>
      </c>
      <c r="C37" s="113">
        <v>132</v>
      </c>
      <c r="D37" s="114">
        <v>110</v>
      </c>
      <c r="E37" s="115">
        <v>3.32</v>
      </c>
      <c r="F37" s="116">
        <v>38.9</v>
      </c>
      <c r="G37" s="117">
        <v>43.6</v>
      </c>
      <c r="H37" s="118">
        <v>18</v>
      </c>
      <c r="I37" s="115">
        <v>2.71</v>
      </c>
      <c r="J37" s="118">
        <v>11</v>
      </c>
      <c r="K37" s="115">
        <v>0.5</v>
      </c>
      <c r="L37" s="170">
        <v>0.29</v>
      </c>
      <c r="M37" s="119">
        <v>8.81</v>
      </c>
      <c r="N37" s="114" t="s">
        <v>147</v>
      </c>
      <c r="O37" s="171">
        <v>2.58</v>
      </c>
      <c r="P37" s="114">
        <v>5</v>
      </c>
      <c r="Q37" s="170">
        <v>0.08</v>
      </c>
      <c r="R37" s="170">
        <v>0.21</v>
      </c>
      <c r="S37" s="170">
        <v>7.78</v>
      </c>
      <c r="T37" s="121">
        <v>78.6</v>
      </c>
      <c r="U37" s="192" t="s">
        <v>128</v>
      </c>
      <c r="V37" s="193"/>
      <c r="W37" s="194">
        <f t="shared" si="0"/>
        <v>0.821559633027523</v>
      </c>
    </row>
    <row r="38" ht="12.95" customHeight="1" spans="1:21">
      <c r="A38" s="111" t="s">
        <v>68</v>
      </c>
      <c r="B38" s="114">
        <f>ROUND(AVERAGE(B7:B37),0)</f>
        <v>274</v>
      </c>
      <c r="C38" s="114">
        <f>ROUND(AVERAGE(C7:C37),0)</f>
        <v>125</v>
      </c>
      <c r="D38" s="114">
        <f>ROUND(AVERAGE(D7:D37),0)</f>
        <v>115</v>
      </c>
      <c r="E38" s="115">
        <f>ROUND(AVERAGE(E7:E37),2)</f>
        <v>2.96</v>
      </c>
      <c r="F38" s="121">
        <f>ROUND(AVERAGE(F7:F37),1)</f>
        <v>29.8</v>
      </c>
      <c r="G38" s="121">
        <f>ROUND(AVERAGE(G7:G37),1)</f>
        <v>36</v>
      </c>
      <c r="H38" s="127">
        <f>ROUND(AVERAGE(H7:H37),1)</f>
        <v>27.2</v>
      </c>
      <c r="I38" s="174">
        <f>ROUND(AVERAGE(I7:I37),2)</f>
        <v>2.86</v>
      </c>
      <c r="J38" s="175">
        <f>ROUND(AVERAGE(J7:J37),2)</f>
        <v>13.16</v>
      </c>
      <c r="K38" s="174">
        <f>ROUND(AVERAGE(K7:K37),2)</f>
        <v>0.52</v>
      </c>
      <c r="L38" s="174">
        <f>ROUND(AVERAGE(L7:L37),2)</f>
        <v>0.46</v>
      </c>
      <c r="M38" s="119">
        <f>ROUND(AVERAGE(M7:M37),1)</f>
        <v>8.8</v>
      </c>
      <c r="N38" s="114">
        <f>ROUND(AVERAGE(N7:N37),1)</f>
        <v>21.1</v>
      </c>
      <c r="O38" s="115">
        <f t="shared" ref="O38:T38" si="1">ROUND(AVERAGE(O7:O37),2)</f>
        <v>2.42</v>
      </c>
      <c r="P38" s="115">
        <f t="shared" si="1"/>
        <v>5.23</v>
      </c>
      <c r="Q38" s="170">
        <f t="shared" si="1"/>
        <v>0.15</v>
      </c>
      <c r="R38" s="115">
        <f t="shared" si="1"/>
        <v>0.35</v>
      </c>
      <c r="S38" s="119">
        <f t="shared" si="1"/>
        <v>7.95</v>
      </c>
      <c r="T38" s="117">
        <f t="shared" si="1"/>
        <v>78.55</v>
      </c>
      <c r="U38" s="124" t="s">
        <v>128</v>
      </c>
    </row>
    <row r="39" ht="21" customHeight="1" spans="1:21">
      <c r="A39" s="128" t="s">
        <v>70</v>
      </c>
      <c r="B39" s="129"/>
      <c r="C39" s="129"/>
      <c r="D39" s="130"/>
      <c r="E39" s="131"/>
      <c r="F39" s="132"/>
      <c r="H39"/>
      <c r="I39"/>
      <c r="J39" s="128" t="s">
        <v>71</v>
      </c>
      <c r="K39" s="176"/>
      <c r="L39" s="176"/>
      <c r="M39" s="176"/>
      <c r="N39" s="128"/>
      <c r="O39" s="132"/>
      <c r="P39" s="132"/>
      <c r="Q39" s="196" t="s">
        <v>148</v>
      </c>
      <c r="R39" s="196"/>
      <c r="S39" s="196"/>
      <c r="T39" s="196"/>
      <c r="U39" s="197"/>
    </row>
    <row r="40" ht="21" customHeight="1" spans="1:21">
      <c r="A40" s="133"/>
      <c r="B40" s="134"/>
      <c r="C40" s="135"/>
      <c r="D40" s="136"/>
      <c r="E40" s="137"/>
      <c r="F40" s="138"/>
      <c r="H40"/>
      <c r="I40"/>
      <c r="J40" s="132"/>
      <c r="K40" s="132"/>
      <c r="L40" s="132"/>
      <c r="M40" s="132"/>
      <c r="N40" s="133"/>
      <c r="O40" s="132"/>
      <c r="P40" s="132"/>
      <c r="Q40" s="198"/>
      <c r="R40" s="198"/>
      <c r="S40" s="198"/>
      <c r="T40" s="198"/>
      <c r="U40" s="197"/>
    </row>
    <row r="41" ht="15.75" spans="2:19">
      <c r="B41" s="139" t="s">
        <v>109</v>
      </c>
      <c r="C41" s="139" t="s">
        <v>149</v>
      </c>
      <c r="D41" s="140" t="s">
        <v>150</v>
      </c>
      <c r="E41" s="139" t="s">
        <v>151</v>
      </c>
      <c r="F41" s="139" t="s">
        <v>152</v>
      </c>
      <c r="G41" s="140" t="s">
        <v>150</v>
      </c>
      <c r="H41" s="139" t="s">
        <v>151</v>
      </c>
      <c r="I41" s="140" t="s">
        <v>153</v>
      </c>
      <c r="J41" s="132"/>
      <c r="K41" s="132"/>
      <c r="L41" s="132"/>
      <c r="S41" s="199"/>
    </row>
    <row r="42" ht="30" spans="2:20">
      <c r="B42" s="139"/>
      <c r="C42" s="139"/>
      <c r="D42" s="141" t="s">
        <v>154</v>
      </c>
      <c r="E42" s="139"/>
      <c r="F42" s="139"/>
      <c r="G42" s="141" t="s">
        <v>154</v>
      </c>
      <c r="H42" s="139"/>
      <c r="I42" s="141" t="s">
        <v>155</v>
      </c>
      <c r="J42" s="132"/>
      <c r="K42" s="132"/>
      <c r="L42" s="132"/>
      <c r="M42" s="177"/>
      <c r="N42" s="177"/>
      <c r="O42" s="177"/>
      <c r="P42" s="177"/>
      <c r="Q42" s="177"/>
      <c r="R42" s="177"/>
      <c r="S42" s="200"/>
      <c r="T42" s="200"/>
    </row>
    <row r="43" ht="18" spans="2:18">
      <c r="B43" s="142" t="s">
        <v>156</v>
      </c>
      <c r="C43" s="143">
        <f>B38</f>
        <v>274</v>
      </c>
      <c r="D43" s="144">
        <f>MAX(B7:B37)</f>
        <v>422</v>
      </c>
      <c r="E43" s="144">
        <f>MIN(B7:B37)</f>
        <v>196</v>
      </c>
      <c r="F43" s="145">
        <f>N38</f>
        <v>21.1</v>
      </c>
      <c r="G43" s="146">
        <f>MAX(N7:N37)</f>
        <v>35</v>
      </c>
      <c r="H43" s="144">
        <f>MIN(N7:N37)</f>
        <v>16</v>
      </c>
      <c r="I43" s="178">
        <f t="shared" ref="I43:I48" si="2">1-F43/C43</f>
        <v>0.922992700729927</v>
      </c>
      <c r="J43" s="162"/>
      <c r="K43" s="142" t="s">
        <v>157</v>
      </c>
      <c r="L43" s="179">
        <f>C44/C43</f>
        <v>0.456204379562044</v>
      </c>
      <c r="M43" s="180"/>
      <c r="N43" s="181"/>
      <c r="O43" s="181"/>
      <c r="P43" s="181"/>
      <c r="Q43" s="180"/>
      <c r="R43" s="185"/>
    </row>
    <row r="44" ht="17.25" spans="2:18">
      <c r="B44" s="147" t="s">
        <v>158</v>
      </c>
      <c r="C44" s="148">
        <f>C38</f>
        <v>125</v>
      </c>
      <c r="D44" s="149">
        <f>MAX(C7:C37)</f>
        <v>190</v>
      </c>
      <c r="E44" s="150">
        <f>MIN(C7:C37)</f>
        <v>89.3</v>
      </c>
      <c r="F44" s="151">
        <f>O38</f>
        <v>2.42</v>
      </c>
      <c r="G44" s="150">
        <f>MAX(O7:O37)</f>
        <v>3.11</v>
      </c>
      <c r="H44" s="150">
        <f>MIN(O7:O37)</f>
        <v>2.11</v>
      </c>
      <c r="I44" s="182">
        <f>1-2/C44</f>
        <v>0.984</v>
      </c>
      <c r="J44" s="162"/>
      <c r="K44" s="147" t="s">
        <v>159</v>
      </c>
      <c r="L44" s="183">
        <f>C44/C48</f>
        <v>3.47222222222222</v>
      </c>
      <c r="M44" s="180"/>
      <c r="N44" s="181"/>
      <c r="O44" s="181"/>
      <c r="P44" s="181"/>
      <c r="Q44" s="180"/>
      <c r="R44" s="185"/>
    </row>
    <row r="45" ht="17.25" spans="2:18">
      <c r="B45" s="147" t="s">
        <v>118</v>
      </c>
      <c r="C45" s="152">
        <f>D38</f>
        <v>115</v>
      </c>
      <c r="D45" s="150">
        <f>MAX(D7:D37)</f>
        <v>186</v>
      </c>
      <c r="E45" s="153">
        <f>MIN(D7:D37)</f>
        <v>68</v>
      </c>
      <c r="F45" s="154">
        <f>P38</f>
        <v>5.23</v>
      </c>
      <c r="G45" s="155">
        <f>MAX(P7:P37)</f>
        <v>6</v>
      </c>
      <c r="H45" s="155">
        <f>MIN(P7:P37)</f>
        <v>5</v>
      </c>
      <c r="I45" s="182">
        <f t="shared" si="2"/>
        <v>0.954521739130435</v>
      </c>
      <c r="J45" s="162"/>
      <c r="K45" s="147" t="s">
        <v>160</v>
      </c>
      <c r="L45" s="184">
        <f>C44/C46</f>
        <v>42.2297297297297</v>
      </c>
      <c r="M45" s="185"/>
      <c r="N45" s="185"/>
      <c r="O45" s="185"/>
      <c r="P45" s="185"/>
      <c r="Q45" s="185"/>
      <c r="R45" s="185"/>
    </row>
    <row r="46" ht="17.25" spans="2:12">
      <c r="B46" s="147" t="s">
        <v>120</v>
      </c>
      <c r="C46" s="154">
        <f>E38</f>
        <v>2.96</v>
      </c>
      <c r="D46" s="150">
        <f>MAX(E7:E37)</f>
        <v>5.15</v>
      </c>
      <c r="E46" s="150">
        <f>MIN(E7:E37)</f>
        <v>2.01</v>
      </c>
      <c r="F46" s="154">
        <f>Q38</f>
        <v>0.15</v>
      </c>
      <c r="G46" s="155">
        <f>MAX(Q7:Q37)</f>
        <v>0.31</v>
      </c>
      <c r="H46" s="155">
        <f>MIN(Q7:Q37)</f>
        <v>0.07</v>
      </c>
      <c r="I46" s="182">
        <f t="shared" si="2"/>
        <v>0.949324324324324</v>
      </c>
      <c r="J46" s="162"/>
      <c r="K46" s="147"/>
      <c r="L46" s="186"/>
    </row>
    <row r="47" ht="17.25" spans="2:12">
      <c r="B47" s="147" t="s">
        <v>161</v>
      </c>
      <c r="C47" s="148">
        <f>F38</f>
        <v>29.8</v>
      </c>
      <c r="D47" s="150">
        <f>MAX(F7:F37)</f>
        <v>40.9</v>
      </c>
      <c r="E47" s="150">
        <f>MIN(F7:F37)</f>
        <v>20.7</v>
      </c>
      <c r="F47" s="154">
        <f>R38</f>
        <v>0.35</v>
      </c>
      <c r="G47" s="150">
        <f>MAX(R7:R37)</f>
        <v>0.59</v>
      </c>
      <c r="H47" s="155">
        <f>MIN(R7:R37)</f>
        <v>0.1</v>
      </c>
      <c r="I47" s="182">
        <f t="shared" si="2"/>
        <v>0.988255033557047</v>
      </c>
      <c r="J47" s="162"/>
      <c r="K47" s="147"/>
      <c r="L47" s="186"/>
    </row>
    <row r="48" ht="17.25" spans="2:12">
      <c r="B48" s="156" t="s">
        <v>123</v>
      </c>
      <c r="C48" s="157">
        <f>G38</f>
        <v>36</v>
      </c>
      <c r="D48" s="158">
        <f>MAX(G7:G37)</f>
        <v>46.1</v>
      </c>
      <c r="E48" s="158">
        <f>MIN(G7:G37)</f>
        <v>26.9</v>
      </c>
      <c r="F48" s="159">
        <f>S38</f>
        <v>7.95</v>
      </c>
      <c r="G48" s="160">
        <f>MAX(S7:S37)</f>
        <v>11.7</v>
      </c>
      <c r="H48" s="158">
        <f>MIN(S7:S37)</f>
        <v>6</v>
      </c>
      <c r="I48" s="187">
        <f t="shared" si="2"/>
        <v>0.779166666666667</v>
      </c>
      <c r="J48" s="162"/>
      <c r="K48" s="156"/>
      <c r="L48" s="188"/>
    </row>
    <row r="49" ht="17.25" spans="2:12">
      <c r="B49" s="161"/>
      <c r="C49" s="162"/>
      <c r="D49" s="162"/>
      <c r="E49" s="162"/>
      <c r="F49" s="162"/>
      <c r="G49" s="162"/>
      <c r="H49" s="163"/>
      <c r="I49" s="162"/>
      <c r="J49" s="162"/>
      <c r="K49" s="163"/>
      <c r="L49" s="162"/>
    </row>
    <row r="50" spans="2:2">
      <c r="B50" s="164"/>
    </row>
    <row r="51" spans="2:2">
      <c r="B51" s="164"/>
    </row>
    <row r="52" spans="2:2">
      <c r="B52" s="164"/>
    </row>
    <row r="53" spans="2:2">
      <c r="B53" s="164"/>
    </row>
    <row r="54" spans="2:2">
      <c r="B54" s="164"/>
    </row>
    <row r="55" spans="2:2">
      <c r="B55" s="164"/>
    </row>
    <row r="56" spans="2:2">
      <c r="B56" s="164"/>
    </row>
    <row r="57" spans="2:2">
      <c r="B57" s="164"/>
    </row>
    <row r="58" spans="2:2">
      <c r="B58" s="164"/>
    </row>
    <row r="59" spans="2:2">
      <c r="B59" s="164"/>
    </row>
    <row r="60" spans="2:2">
      <c r="B60" s="164"/>
    </row>
    <row r="61" spans="2:2">
      <c r="B61" s="164"/>
    </row>
    <row r="62" spans="2:2">
      <c r="B62" s="164"/>
    </row>
    <row r="63" spans="2:2">
      <c r="B63" s="164"/>
    </row>
    <row r="64" spans="2:2">
      <c r="B64" s="164"/>
    </row>
    <row r="65" spans="2:2">
      <c r="B65" s="164"/>
    </row>
    <row r="66" spans="2:2">
      <c r="B66" s="164"/>
    </row>
    <row r="67" spans="2:2">
      <c r="B67" s="164"/>
    </row>
    <row r="68" spans="2:2">
      <c r="B68" s="164"/>
    </row>
  </sheetData>
  <mergeCells count="15">
    <mergeCell ref="A1:U1"/>
    <mergeCell ref="J3:K3"/>
    <mergeCell ref="B4:G4"/>
    <mergeCell ref="H4:M4"/>
    <mergeCell ref="N4:S4"/>
    <mergeCell ref="J39:M39"/>
    <mergeCell ref="Q39:T39"/>
    <mergeCell ref="A4:A6"/>
    <mergeCell ref="B41:B42"/>
    <mergeCell ref="C41:C42"/>
    <mergeCell ref="E41:E42"/>
    <mergeCell ref="F41:F42"/>
    <mergeCell ref="H41:H42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4"/>
  <sheetViews>
    <sheetView topLeftCell="A145" workbookViewId="0">
      <selection activeCell="I145" sqref="I145"/>
    </sheetView>
  </sheetViews>
  <sheetFormatPr defaultColWidth="8.75" defaultRowHeight="16.5" customHeight="1"/>
  <cols>
    <col min="1" max="1" width="6.25" style="54" customWidth="1"/>
    <col min="2" max="2" width="11.25" style="54" customWidth="1"/>
    <col min="3" max="3" width="3.88333333333333" style="54" customWidth="1"/>
    <col min="4" max="4" width="5.25" style="54" customWidth="1"/>
    <col min="5" max="5" width="7" style="54" customWidth="1"/>
    <col min="6" max="7" width="6.63333333333333" style="54" customWidth="1"/>
    <col min="8" max="8" width="5.5" style="55" customWidth="1"/>
    <col min="9" max="9" width="5.5" style="54" customWidth="1"/>
    <col min="10" max="10" width="28.875" style="54" customWidth="1"/>
    <col min="11" max="12" width="9" style="56"/>
    <col min="13" max="16384" width="8.75" style="56"/>
  </cols>
  <sheetData>
    <row r="1" ht="35" customHeight="1" spans="1:10">
      <c r="A1" s="57" t="s">
        <v>162</v>
      </c>
      <c r="B1" s="57"/>
      <c r="C1" s="57"/>
      <c r="D1" s="57"/>
      <c r="E1" s="57"/>
      <c r="F1" s="57"/>
      <c r="G1" s="57"/>
      <c r="H1" s="58"/>
      <c r="I1" s="57"/>
      <c r="J1" s="57"/>
    </row>
    <row r="2" customHeight="1" spans="1:10">
      <c r="A2" s="59">
        <v>44927</v>
      </c>
      <c r="B2" s="59"/>
      <c r="C2" s="59"/>
      <c r="D2" s="59"/>
      <c r="E2" s="59"/>
      <c r="F2" s="59"/>
      <c r="G2" s="59"/>
      <c r="H2" s="59"/>
      <c r="I2" s="59"/>
      <c r="J2" s="59"/>
    </row>
    <row r="3" customHeight="1" spans="1:10">
      <c r="A3" s="6" t="s">
        <v>163</v>
      </c>
      <c r="B3" s="6" t="s">
        <v>164</v>
      </c>
      <c r="C3" s="6" t="s">
        <v>165</v>
      </c>
      <c r="D3" s="6" t="s">
        <v>166</v>
      </c>
      <c r="E3" s="60" t="s">
        <v>167</v>
      </c>
      <c r="F3" s="60" t="s">
        <v>168</v>
      </c>
      <c r="G3" s="61" t="s">
        <v>169</v>
      </c>
      <c r="H3" s="62" t="s">
        <v>170</v>
      </c>
      <c r="I3" s="60" t="s">
        <v>171</v>
      </c>
      <c r="J3" s="6" t="s">
        <v>172</v>
      </c>
    </row>
    <row r="4" customHeight="1" spans="1:10">
      <c r="A4" s="6"/>
      <c r="B4" s="6"/>
      <c r="C4" s="6"/>
      <c r="D4" s="6"/>
      <c r="E4" s="60"/>
      <c r="F4" s="60"/>
      <c r="G4" s="61"/>
      <c r="H4" s="62"/>
      <c r="I4" s="60"/>
      <c r="J4" s="6"/>
    </row>
    <row r="5" customHeight="1" spans="1:10">
      <c r="A5" s="63"/>
      <c r="B5" s="6"/>
      <c r="C5" s="63"/>
      <c r="D5" s="6" t="s">
        <v>173</v>
      </c>
      <c r="E5" s="60" t="s">
        <v>174</v>
      </c>
      <c r="F5" s="60" t="s">
        <v>175</v>
      </c>
      <c r="G5" s="61" t="s">
        <v>175</v>
      </c>
      <c r="H5" s="62" t="s">
        <v>176</v>
      </c>
      <c r="I5" s="60" t="s">
        <v>176</v>
      </c>
      <c r="J5" s="6"/>
    </row>
    <row r="6" customHeight="1" spans="1:10">
      <c r="A6" s="64" t="s">
        <v>177</v>
      </c>
      <c r="B6" s="65" t="s">
        <v>178</v>
      </c>
      <c r="C6" s="65" t="s">
        <v>179</v>
      </c>
      <c r="D6" s="65">
        <v>31</v>
      </c>
      <c r="E6" s="65">
        <v>2</v>
      </c>
      <c r="F6" s="65">
        <v>62</v>
      </c>
      <c r="G6" s="65">
        <v>62</v>
      </c>
      <c r="H6" s="66">
        <v>1</v>
      </c>
      <c r="I6" s="66">
        <v>1</v>
      </c>
      <c r="J6" s="65"/>
    </row>
    <row r="7" customHeight="1" spans="1:10">
      <c r="A7" s="64"/>
      <c r="B7" s="65"/>
      <c r="C7" s="65" t="s">
        <v>180</v>
      </c>
      <c r="D7" s="65">
        <v>31</v>
      </c>
      <c r="E7" s="65">
        <v>2</v>
      </c>
      <c r="F7" s="65">
        <v>62</v>
      </c>
      <c r="G7" s="65">
        <v>62</v>
      </c>
      <c r="H7" s="66">
        <v>1</v>
      </c>
      <c r="I7" s="66">
        <v>1</v>
      </c>
      <c r="J7" s="65"/>
    </row>
    <row r="8" customHeight="1" spans="1:10">
      <c r="A8" s="64"/>
      <c r="B8" s="65" t="s">
        <v>181</v>
      </c>
      <c r="C8" s="65" t="s">
        <v>69</v>
      </c>
      <c r="D8" s="65">
        <v>31</v>
      </c>
      <c r="E8" s="65">
        <v>2</v>
      </c>
      <c r="F8" s="65">
        <v>62</v>
      </c>
      <c r="G8" s="65">
        <v>62</v>
      </c>
      <c r="H8" s="66">
        <v>1</v>
      </c>
      <c r="I8" s="66">
        <v>1</v>
      </c>
      <c r="J8" s="65"/>
    </row>
    <row r="9" customHeight="1" spans="1:10">
      <c r="A9" s="64"/>
      <c r="B9" s="65" t="s">
        <v>182</v>
      </c>
      <c r="C9" s="65" t="s">
        <v>69</v>
      </c>
      <c r="D9" s="65">
        <v>31</v>
      </c>
      <c r="E9" s="65">
        <v>2</v>
      </c>
      <c r="F9" s="65">
        <v>62</v>
      </c>
      <c r="G9" s="65">
        <v>62</v>
      </c>
      <c r="H9" s="66">
        <v>1</v>
      </c>
      <c r="I9" s="66">
        <v>1</v>
      </c>
      <c r="J9" s="65"/>
    </row>
    <row r="10" customHeight="1" spans="1:10">
      <c r="A10" s="64"/>
      <c r="B10" s="65" t="s">
        <v>183</v>
      </c>
      <c r="C10" s="65" t="s">
        <v>179</v>
      </c>
      <c r="D10" s="65">
        <v>31</v>
      </c>
      <c r="E10" s="65">
        <v>24</v>
      </c>
      <c r="F10" s="65">
        <v>744</v>
      </c>
      <c r="G10" s="65">
        <v>0</v>
      </c>
      <c r="H10" s="66">
        <v>0</v>
      </c>
      <c r="I10" s="66">
        <v>0.58</v>
      </c>
      <c r="J10" s="65" t="s">
        <v>184</v>
      </c>
    </row>
    <row r="11" customHeight="1" spans="1:10">
      <c r="A11" s="64"/>
      <c r="B11" s="65"/>
      <c r="C11" s="65" t="s">
        <v>180</v>
      </c>
      <c r="D11" s="65">
        <v>31</v>
      </c>
      <c r="E11" s="65">
        <v>24</v>
      </c>
      <c r="F11" s="65">
        <v>744</v>
      </c>
      <c r="G11" s="65">
        <v>182</v>
      </c>
      <c r="H11" s="66">
        <v>0.244623655913978</v>
      </c>
      <c r="I11" s="66">
        <v>1</v>
      </c>
      <c r="J11" s="65"/>
    </row>
    <row r="12" customHeight="1" spans="1:10">
      <c r="A12" s="64"/>
      <c r="B12" s="65"/>
      <c r="C12" s="65" t="s">
        <v>185</v>
      </c>
      <c r="D12" s="65">
        <v>31</v>
      </c>
      <c r="E12" s="65">
        <v>24</v>
      </c>
      <c r="F12" s="65">
        <v>744</v>
      </c>
      <c r="G12" s="65">
        <v>564</v>
      </c>
      <c r="H12" s="66">
        <v>0.758064516129032</v>
      </c>
      <c r="I12" s="66">
        <v>1</v>
      </c>
      <c r="J12" s="65"/>
    </row>
    <row r="13" customHeight="1" spans="1:10">
      <c r="A13" s="64"/>
      <c r="B13" s="65"/>
      <c r="C13" s="65" t="s">
        <v>186</v>
      </c>
      <c r="D13" s="65">
        <v>31</v>
      </c>
      <c r="E13" s="65">
        <v>24</v>
      </c>
      <c r="F13" s="65">
        <v>744</v>
      </c>
      <c r="G13" s="65">
        <v>80</v>
      </c>
      <c r="H13" s="66">
        <v>0.10752688172043</v>
      </c>
      <c r="I13" s="66">
        <v>1</v>
      </c>
      <c r="J13" s="65"/>
    </row>
    <row r="14" customHeight="1" spans="1:10">
      <c r="A14" s="64"/>
      <c r="B14" s="65"/>
      <c r="C14" s="65" t="s">
        <v>187</v>
      </c>
      <c r="D14" s="65">
        <v>31</v>
      </c>
      <c r="E14" s="65">
        <v>24</v>
      </c>
      <c r="F14" s="65">
        <v>744</v>
      </c>
      <c r="G14" s="65">
        <v>726</v>
      </c>
      <c r="H14" s="66">
        <v>0.975806451612903</v>
      </c>
      <c r="I14" s="66">
        <v>1</v>
      </c>
      <c r="J14" s="65"/>
    </row>
    <row r="15" customHeight="1" spans="1:10">
      <c r="A15" s="64"/>
      <c r="B15" s="65" t="s">
        <v>188</v>
      </c>
      <c r="C15" s="65" t="s">
        <v>179</v>
      </c>
      <c r="D15" s="65">
        <v>31</v>
      </c>
      <c r="E15" s="65">
        <v>2.4</v>
      </c>
      <c r="F15" s="65">
        <v>74.4</v>
      </c>
      <c r="G15" s="65">
        <v>74.4</v>
      </c>
      <c r="H15" s="66">
        <v>1</v>
      </c>
      <c r="I15" s="66">
        <v>1</v>
      </c>
      <c r="J15" s="65" t="s">
        <v>189</v>
      </c>
    </row>
    <row r="16" customHeight="1" spans="1:10">
      <c r="A16" s="64"/>
      <c r="B16" s="65"/>
      <c r="C16" s="65" t="s">
        <v>180</v>
      </c>
      <c r="D16" s="65">
        <v>31</v>
      </c>
      <c r="E16" s="65">
        <v>2.4</v>
      </c>
      <c r="F16" s="65">
        <v>74.4</v>
      </c>
      <c r="G16" s="65">
        <v>74.4</v>
      </c>
      <c r="H16" s="66">
        <v>1</v>
      </c>
      <c r="I16" s="66">
        <v>1</v>
      </c>
      <c r="J16" s="65" t="s">
        <v>189</v>
      </c>
    </row>
    <row r="17" customHeight="1" spans="1:10">
      <c r="A17" s="64"/>
      <c r="B17" s="65"/>
      <c r="C17" s="65" t="s">
        <v>185</v>
      </c>
      <c r="D17" s="65">
        <v>31</v>
      </c>
      <c r="E17" s="65">
        <v>2.4</v>
      </c>
      <c r="F17" s="65">
        <v>74.4</v>
      </c>
      <c r="G17" s="65">
        <v>74.4</v>
      </c>
      <c r="H17" s="66">
        <v>1</v>
      </c>
      <c r="I17" s="66">
        <v>1</v>
      </c>
      <c r="J17" s="65" t="s">
        <v>189</v>
      </c>
    </row>
    <row r="18" customHeight="1" spans="1:10">
      <c r="A18" s="64"/>
      <c r="B18" s="65"/>
      <c r="C18" s="65" t="s">
        <v>186</v>
      </c>
      <c r="D18" s="65">
        <v>31</v>
      </c>
      <c r="E18" s="65">
        <v>2.4</v>
      </c>
      <c r="F18" s="65">
        <v>74.4</v>
      </c>
      <c r="G18" s="65">
        <v>12</v>
      </c>
      <c r="H18" s="66">
        <v>0.161290322580645</v>
      </c>
      <c r="I18" s="66">
        <v>1</v>
      </c>
      <c r="J18" s="65" t="s">
        <v>189</v>
      </c>
    </row>
    <row r="19" customHeight="1" spans="1:10">
      <c r="A19" s="64"/>
      <c r="B19" s="65"/>
      <c r="C19" s="65" t="s">
        <v>187</v>
      </c>
      <c r="D19" s="65">
        <v>31</v>
      </c>
      <c r="E19" s="65">
        <v>2.4</v>
      </c>
      <c r="F19" s="65">
        <v>74.4</v>
      </c>
      <c r="G19" s="65">
        <v>74.4</v>
      </c>
      <c r="H19" s="66">
        <v>1</v>
      </c>
      <c r="I19" s="66">
        <v>0.99</v>
      </c>
      <c r="J19" s="65" t="s">
        <v>190</v>
      </c>
    </row>
    <row r="20" customHeight="1" spans="1:10">
      <c r="A20" s="64"/>
      <c r="B20" s="65"/>
      <c r="C20" s="65" t="s">
        <v>191</v>
      </c>
      <c r="D20" s="65">
        <v>31</v>
      </c>
      <c r="E20" s="65">
        <v>2.4</v>
      </c>
      <c r="F20" s="65">
        <v>74.4</v>
      </c>
      <c r="G20" s="65">
        <v>74.4</v>
      </c>
      <c r="H20" s="66">
        <v>1</v>
      </c>
      <c r="I20" s="66">
        <v>0.99</v>
      </c>
      <c r="J20" s="65" t="s">
        <v>190</v>
      </c>
    </row>
    <row r="21" customHeight="1" spans="1:10">
      <c r="A21" s="64"/>
      <c r="B21" s="65" t="s">
        <v>181</v>
      </c>
      <c r="C21" s="65" t="s">
        <v>179</v>
      </c>
      <c r="D21" s="65">
        <v>31</v>
      </c>
      <c r="E21" s="65">
        <v>2</v>
      </c>
      <c r="F21" s="65">
        <v>62</v>
      </c>
      <c r="G21" s="65">
        <v>62</v>
      </c>
      <c r="H21" s="66">
        <v>1</v>
      </c>
      <c r="I21" s="66">
        <v>1</v>
      </c>
      <c r="J21" s="65" t="s">
        <v>189</v>
      </c>
    </row>
    <row r="22" customHeight="1" spans="1:10">
      <c r="A22" s="64"/>
      <c r="B22" s="65"/>
      <c r="C22" s="65" t="s">
        <v>180</v>
      </c>
      <c r="D22" s="65">
        <v>31</v>
      </c>
      <c r="E22" s="65">
        <v>2</v>
      </c>
      <c r="F22" s="65">
        <v>62</v>
      </c>
      <c r="G22" s="65">
        <v>62</v>
      </c>
      <c r="H22" s="66">
        <v>1</v>
      </c>
      <c r="I22" s="66">
        <v>1</v>
      </c>
      <c r="J22" s="65" t="s">
        <v>189</v>
      </c>
    </row>
    <row r="23" customHeight="1" spans="1:10">
      <c r="A23" s="64"/>
      <c r="B23" s="65" t="s">
        <v>182</v>
      </c>
      <c r="C23" s="65" t="s">
        <v>179</v>
      </c>
      <c r="D23" s="65">
        <v>31</v>
      </c>
      <c r="E23" s="65">
        <v>2</v>
      </c>
      <c r="F23" s="65">
        <v>62</v>
      </c>
      <c r="G23" s="65">
        <v>62</v>
      </c>
      <c r="H23" s="66">
        <v>1</v>
      </c>
      <c r="I23" s="66">
        <v>1</v>
      </c>
      <c r="J23" s="65" t="s">
        <v>189</v>
      </c>
    </row>
    <row r="24" customHeight="1" spans="1:10">
      <c r="A24" s="64"/>
      <c r="B24" s="65"/>
      <c r="C24" s="65" t="s">
        <v>180</v>
      </c>
      <c r="D24" s="65">
        <v>31</v>
      </c>
      <c r="E24" s="65">
        <v>2</v>
      </c>
      <c r="F24" s="65">
        <v>62</v>
      </c>
      <c r="G24" s="65">
        <v>62</v>
      </c>
      <c r="H24" s="66">
        <v>1</v>
      </c>
      <c r="I24" s="66">
        <v>1</v>
      </c>
      <c r="J24" s="65" t="s">
        <v>189</v>
      </c>
    </row>
    <row r="25" customHeight="1" spans="1:10">
      <c r="A25" s="64"/>
      <c r="B25" s="65" t="s">
        <v>192</v>
      </c>
      <c r="C25" s="65" t="s">
        <v>179</v>
      </c>
      <c r="D25" s="65">
        <v>31</v>
      </c>
      <c r="E25" s="65">
        <v>24</v>
      </c>
      <c r="F25" s="65">
        <v>744</v>
      </c>
      <c r="G25" s="65">
        <v>0</v>
      </c>
      <c r="H25" s="66">
        <v>0</v>
      </c>
      <c r="I25" s="66">
        <v>0</v>
      </c>
      <c r="J25" s="65"/>
    </row>
    <row r="26" customHeight="1" spans="1:10">
      <c r="A26" s="64"/>
      <c r="B26" s="65" t="s">
        <v>193</v>
      </c>
      <c r="C26" s="65" t="s">
        <v>179</v>
      </c>
      <c r="D26" s="65">
        <v>31</v>
      </c>
      <c r="E26" s="65">
        <v>0.5</v>
      </c>
      <c r="F26" s="65">
        <v>15.5</v>
      </c>
      <c r="G26" s="65">
        <v>15.5</v>
      </c>
      <c r="H26" s="66">
        <v>1</v>
      </c>
      <c r="I26" s="66">
        <v>1</v>
      </c>
      <c r="J26" s="65" t="s">
        <v>189</v>
      </c>
    </row>
    <row r="27" customHeight="1" spans="1:10">
      <c r="A27" s="64"/>
      <c r="B27" s="65" t="s">
        <v>192</v>
      </c>
      <c r="C27" s="65" t="s">
        <v>180</v>
      </c>
      <c r="D27" s="65">
        <v>31</v>
      </c>
      <c r="E27" s="65">
        <v>24</v>
      </c>
      <c r="F27" s="65">
        <v>744</v>
      </c>
      <c r="G27" s="65">
        <v>0</v>
      </c>
      <c r="H27" s="66">
        <v>0</v>
      </c>
      <c r="I27" s="66">
        <v>0</v>
      </c>
      <c r="J27" s="65"/>
    </row>
    <row r="28" customHeight="1" spans="1:10">
      <c r="A28" s="64"/>
      <c r="B28" s="65" t="s">
        <v>193</v>
      </c>
      <c r="C28" s="65" t="s">
        <v>180</v>
      </c>
      <c r="D28" s="65">
        <v>31</v>
      </c>
      <c r="E28" s="65">
        <v>0.5</v>
      </c>
      <c r="F28" s="65">
        <v>15.5</v>
      </c>
      <c r="G28" s="65">
        <v>15.5</v>
      </c>
      <c r="H28" s="66">
        <v>1</v>
      </c>
      <c r="I28" s="66">
        <v>1</v>
      </c>
      <c r="J28" s="65" t="s">
        <v>189</v>
      </c>
    </row>
    <row r="29" customHeight="1" spans="1:10">
      <c r="A29" s="64"/>
      <c r="B29" s="65" t="s">
        <v>192</v>
      </c>
      <c r="C29" s="65" t="s">
        <v>185</v>
      </c>
      <c r="D29" s="65">
        <v>31</v>
      </c>
      <c r="E29" s="65">
        <v>24</v>
      </c>
      <c r="F29" s="65">
        <v>744</v>
      </c>
      <c r="G29" s="65">
        <v>744</v>
      </c>
      <c r="H29" s="66">
        <v>1</v>
      </c>
      <c r="I29" s="66">
        <v>1</v>
      </c>
      <c r="J29" s="65" t="s">
        <v>189</v>
      </c>
    </row>
    <row r="30" customHeight="1" spans="1:10">
      <c r="A30" s="64"/>
      <c r="B30" s="65" t="s">
        <v>193</v>
      </c>
      <c r="C30" s="65" t="s">
        <v>185</v>
      </c>
      <c r="D30" s="65">
        <v>31</v>
      </c>
      <c r="E30" s="65">
        <v>0.5</v>
      </c>
      <c r="F30" s="65">
        <v>15.5</v>
      </c>
      <c r="G30" s="65">
        <v>15.5</v>
      </c>
      <c r="H30" s="66">
        <v>1</v>
      </c>
      <c r="I30" s="66">
        <v>1</v>
      </c>
      <c r="J30" s="65" t="s">
        <v>189</v>
      </c>
    </row>
    <row r="31" customHeight="1" spans="1:10">
      <c r="A31" s="64"/>
      <c r="B31" s="65" t="s">
        <v>192</v>
      </c>
      <c r="C31" s="65" t="s">
        <v>186</v>
      </c>
      <c r="D31" s="65">
        <v>31</v>
      </c>
      <c r="E31" s="65">
        <v>24</v>
      </c>
      <c r="F31" s="65">
        <v>744</v>
      </c>
      <c r="G31" s="65">
        <v>744</v>
      </c>
      <c r="H31" s="66">
        <v>1</v>
      </c>
      <c r="I31" s="66">
        <v>1</v>
      </c>
      <c r="J31" s="65" t="s">
        <v>189</v>
      </c>
    </row>
    <row r="32" customHeight="1" spans="1:10">
      <c r="A32" s="64"/>
      <c r="B32" s="65" t="s">
        <v>193</v>
      </c>
      <c r="C32" s="65" t="s">
        <v>186</v>
      </c>
      <c r="D32" s="65">
        <v>31</v>
      </c>
      <c r="E32" s="65">
        <v>0.5</v>
      </c>
      <c r="F32" s="65">
        <v>15.5</v>
      </c>
      <c r="G32" s="65">
        <v>15.5</v>
      </c>
      <c r="H32" s="66">
        <v>1</v>
      </c>
      <c r="I32" s="66">
        <v>1</v>
      </c>
      <c r="J32" s="65" t="s">
        <v>189</v>
      </c>
    </row>
    <row r="33" customHeight="1" spans="1:10">
      <c r="A33" s="64"/>
      <c r="B33" s="65" t="s">
        <v>194</v>
      </c>
      <c r="C33" s="65" t="s">
        <v>179</v>
      </c>
      <c r="D33" s="65">
        <v>31</v>
      </c>
      <c r="E33" s="65">
        <v>24</v>
      </c>
      <c r="F33" s="65">
        <v>744</v>
      </c>
      <c r="G33" s="65">
        <v>526</v>
      </c>
      <c r="H33" s="66">
        <v>0.706989247311828</v>
      </c>
      <c r="I33" s="66">
        <v>1</v>
      </c>
      <c r="J33" s="65" t="s">
        <v>195</v>
      </c>
    </row>
    <row r="34" customHeight="1" spans="1:10">
      <c r="A34" s="64"/>
      <c r="B34" s="65"/>
      <c r="C34" s="65" t="s">
        <v>180</v>
      </c>
      <c r="D34" s="65">
        <v>31</v>
      </c>
      <c r="E34" s="65">
        <v>24</v>
      </c>
      <c r="F34" s="65">
        <v>744</v>
      </c>
      <c r="G34" s="65">
        <v>406</v>
      </c>
      <c r="H34" s="66">
        <v>0.545698924731183</v>
      </c>
      <c r="I34" s="66">
        <v>1</v>
      </c>
      <c r="J34" s="65"/>
    </row>
    <row r="35" customHeight="1" spans="1:10">
      <c r="A35" s="64"/>
      <c r="B35" s="65"/>
      <c r="C35" s="65" t="s">
        <v>185</v>
      </c>
      <c r="D35" s="65">
        <v>31</v>
      </c>
      <c r="E35" s="65">
        <v>24</v>
      </c>
      <c r="F35" s="65">
        <v>744</v>
      </c>
      <c r="G35" s="65">
        <v>218</v>
      </c>
      <c r="H35" s="66">
        <v>0.293010752688172</v>
      </c>
      <c r="I35" s="66">
        <v>1</v>
      </c>
      <c r="J35" s="65" t="s">
        <v>196</v>
      </c>
    </row>
    <row r="36" customHeight="1" spans="1:10">
      <c r="A36" s="64"/>
      <c r="B36" s="65"/>
      <c r="C36" s="65" t="s">
        <v>186</v>
      </c>
      <c r="D36" s="65">
        <v>31</v>
      </c>
      <c r="E36" s="65">
        <v>24</v>
      </c>
      <c r="F36" s="65">
        <v>744</v>
      </c>
      <c r="G36" s="65">
        <v>70</v>
      </c>
      <c r="H36" s="66">
        <v>0.0940860215053763</v>
      </c>
      <c r="I36" s="66">
        <v>1</v>
      </c>
      <c r="J36" s="65"/>
    </row>
    <row r="37" customHeight="1" spans="1:10">
      <c r="A37" s="64"/>
      <c r="B37" s="65"/>
      <c r="C37" s="65" t="s">
        <v>187</v>
      </c>
      <c r="D37" s="65">
        <v>31</v>
      </c>
      <c r="E37" s="65">
        <v>24</v>
      </c>
      <c r="F37" s="65">
        <v>744</v>
      </c>
      <c r="G37" s="65">
        <v>262</v>
      </c>
      <c r="H37" s="66">
        <v>0.352150537634409</v>
      </c>
      <c r="I37" s="66">
        <v>1</v>
      </c>
      <c r="J37" s="65"/>
    </row>
    <row r="38" customHeight="1" spans="1:10">
      <c r="A38" s="67" t="s">
        <v>70</v>
      </c>
      <c r="B38" s="67"/>
      <c r="C38" s="15"/>
      <c r="D38" s="15"/>
      <c r="E38" s="68" t="s">
        <v>71</v>
      </c>
      <c r="F38" s="68"/>
      <c r="G38" s="69"/>
      <c r="H38" s="10" t="s">
        <v>148</v>
      </c>
      <c r="I38" s="10"/>
      <c r="J38" s="10"/>
    </row>
    <row r="39" ht="34" customHeight="1"/>
    <row r="46" ht="33" customHeight="1" spans="1:10">
      <c r="A46" s="57" t="s">
        <v>162</v>
      </c>
      <c r="B46" s="57"/>
      <c r="C46" s="57"/>
      <c r="D46" s="57"/>
      <c r="E46" s="57"/>
      <c r="F46" s="57"/>
      <c r="G46" s="57"/>
      <c r="H46" s="58"/>
      <c r="I46" s="57"/>
      <c r="J46" s="57"/>
    </row>
    <row r="47" customHeight="1" spans="1:10">
      <c r="A47" s="70">
        <f>A2</f>
        <v>44927</v>
      </c>
      <c r="B47" s="70"/>
      <c r="C47" s="70"/>
      <c r="D47" s="70"/>
      <c r="E47" s="70"/>
      <c r="F47" s="70"/>
      <c r="G47" s="70"/>
      <c r="H47" s="70"/>
      <c r="I47" s="70"/>
      <c r="J47" s="70"/>
    </row>
    <row r="48" customHeight="1" spans="1:10">
      <c r="A48" s="6" t="s">
        <v>163</v>
      </c>
      <c r="B48" s="6" t="s">
        <v>164</v>
      </c>
      <c r="C48" s="6" t="s">
        <v>165</v>
      </c>
      <c r="D48" s="6" t="s">
        <v>166</v>
      </c>
      <c r="E48" s="60" t="s">
        <v>167</v>
      </c>
      <c r="F48" s="60" t="s">
        <v>168</v>
      </c>
      <c r="G48" s="61" t="s">
        <v>169</v>
      </c>
      <c r="H48" s="62" t="s">
        <v>170</v>
      </c>
      <c r="I48" s="60" t="s">
        <v>171</v>
      </c>
      <c r="J48" s="6" t="s">
        <v>172</v>
      </c>
    </row>
    <row r="49" customHeight="1" spans="1:10">
      <c r="A49" s="6"/>
      <c r="B49" s="6"/>
      <c r="C49" s="6"/>
      <c r="D49" s="6"/>
      <c r="E49" s="60"/>
      <c r="F49" s="60"/>
      <c r="G49" s="61"/>
      <c r="H49" s="62"/>
      <c r="I49" s="60"/>
      <c r="J49" s="6"/>
    </row>
    <row r="50" customHeight="1" spans="1:10">
      <c r="A50" s="63"/>
      <c r="B50" s="8"/>
      <c r="C50" s="71"/>
      <c r="D50" s="8" t="s">
        <v>173</v>
      </c>
      <c r="E50" s="72" t="s">
        <v>174</v>
      </c>
      <c r="F50" s="72" t="s">
        <v>175</v>
      </c>
      <c r="G50" s="73" t="s">
        <v>175</v>
      </c>
      <c r="H50" s="74" t="s">
        <v>176</v>
      </c>
      <c r="I50" s="60" t="s">
        <v>176</v>
      </c>
      <c r="J50" s="6"/>
    </row>
    <row r="51" customHeight="1" spans="1:10">
      <c r="A51" s="75" t="s">
        <v>197</v>
      </c>
      <c r="B51" s="64" t="s">
        <v>198</v>
      </c>
      <c r="C51" s="65" t="s">
        <v>179</v>
      </c>
      <c r="D51" s="65">
        <v>31</v>
      </c>
      <c r="E51" s="65">
        <v>24</v>
      </c>
      <c r="F51" s="65">
        <v>744</v>
      </c>
      <c r="G51" s="65">
        <v>0</v>
      </c>
      <c r="H51" s="66">
        <v>0</v>
      </c>
      <c r="I51" s="77">
        <v>1</v>
      </c>
      <c r="J51" s="65"/>
    </row>
    <row r="52" customHeight="1" spans="1:10">
      <c r="A52" s="76"/>
      <c r="B52" s="65"/>
      <c r="C52" s="65" t="s">
        <v>180</v>
      </c>
      <c r="D52" s="65">
        <v>31</v>
      </c>
      <c r="E52" s="65">
        <v>24</v>
      </c>
      <c r="F52" s="65">
        <v>744</v>
      </c>
      <c r="G52" s="65">
        <v>0</v>
      </c>
      <c r="H52" s="66">
        <v>0</v>
      </c>
      <c r="I52" s="77">
        <v>1</v>
      </c>
      <c r="J52" s="65"/>
    </row>
    <row r="53" customHeight="1" spans="1:10">
      <c r="A53" s="76"/>
      <c r="B53" s="65"/>
      <c r="C53" s="65" t="s">
        <v>185</v>
      </c>
      <c r="D53" s="65">
        <v>31</v>
      </c>
      <c r="E53" s="65">
        <v>24</v>
      </c>
      <c r="F53" s="65">
        <v>744</v>
      </c>
      <c r="G53" s="65">
        <v>0</v>
      </c>
      <c r="H53" s="66">
        <v>0</v>
      </c>
      <c r="I53" s="77">
        <v>1</v>
      </c>
      <c r="J53" s="65"/>
    </row>
    <row r="54" customHeight="1" spans="1:10">
      <c r="A54" s="76"/>
      <c r="B54" s="65"/>
      <c r="C54" s="65" t="s">
        <v>186</v>
      </c>
      <c r="D54" s="65">
        <v>31</v>
      </c>
      <c r="E54" s="65">
        <v>24</v>
      </c>
      <c r="F54" s="65">
        <v>744</v>
      </c>
      <c r="G54" s="65">
        <v>0</v>
      </c>
      <c r="H54" s="66">
        <v>0</v>
      </c>
      <c r="I54" s="77">
        <v>1</v>
      </c>
      <c r="J54" s="65"/>
    </row>
    <row r="55" customHeight="1" spans="1:10">
      <c r="A55" s="76"/>
      <c r="B55" s="65"/>
      <c r="C55" s="65" t="s">
        <v>187</v>
      </c>
      <c r="D55" s="65">
        <v>31</v>
      </c>
      <c r="E55" s="65">
        <v>24</v>
      </c>
      <c r="F55" s="65">
        <v>744</v>
      </c>
      <c r="G55" s="65">
        <v>0</v>
      </c>
      <c r="H55" s="66">
        <v>0</v>
      </c>
      <c r="I55" s="77">
        <v>1</v>
      </c>
      <c r="J55" s="65"/>
    </row>
    <row r="56" customHeight="1" spans="1:10">
      <c r="A56" s="76"/>
      <c r="B56" s="65"/>
      <c r="C56" s="65" t="s">
        <v>191</v>
      </c>
      <c r="D56" s="65">
        <v>31</v>
      </c>
      <c r="E56" s="65">
        <v>24</v>
      </c>
      <c r="F56" s="65">
        <v>744</v>
      </c>
      <c r="G56" s="65">
        <v>0</v>
      </c>
      <c r="H56" s="66">
        <v>0</v>
      </c>
      <c r="I56" s="77">
        <v>1</v>
      </c>
      <c r="J56" s="65"/>
    </row>
    <row r="57" customHeight="1" spans="1:10">
      <c r="A57" s="76"/>
      <c r="B57" s="65"/>
      <c r="C57" s="65" t="s">
        <v>199</v>
      </c>
      <c r="D57" s="65">
        <v>31</v>
      </c>
      <c r="E57" s="65">
        <v>24</v>
      </c>
      <c r="F57" s="65">
        <v>744</v>
      </c>
      <c r="G57" s="65">
        <v>0</v>
      </c>
      <c r="H57" s="66">
        <v>0</v>
      </c>
      <c r="I57" s="77">
        <v>1</v>
      </c>
      <c r="J57" s="65"/>
    </row>
    <row r="58" customHeight="1" spans="1:10">
      <c r="A58" s="76"/>
      <c r="B58" s="65"/>
      <c r="C58" s="65" t="s">
        <v>200</v>
      </c>
      <c r="D58" s="65">
        <v>31</v>
      </c>
      <c r="E58" s="65">
        <v>24</v>
      </c>
      <c r="F58" s="65">
        <v>744</v>
      </c>
      <c r="G58" s="65">
        <v>0</v>
      </c>
      <c r="H58" s="66">
        <v>0</v>
      </c>
      <c r="I58" s="77">
        <v>1</v>
      </c>
      <c r="J58" s="65"/>
    </row>
    <row r="59" customHeight="1" spans="1:10">
      <c r="A59" s="76"/>
      <c r="B59" s="65"/>
      <c r="C59" s="65" t="s">
        <v>201</v>
      </c>
      <c r="D59" s="65">
        <v>31</v>
      </c>
      <c r="E59" s="65">
        <v>24</v>
      </c>
      <c r="F59" s="65">
        <v>744</v>
      </c>
      <c r="G59" s="65">
        <v>0</v>
      </c>
      <c r="H59" s="66">
        <v>0</v>
      </c>
      <c r="I59" s="77">
        <v>1</v>
      </c>
      <c r="J59" s="65"/>
    </row>
    <row r="60" customHeight="1" spans="1:10">
      <c r="A60" s="76"/>
      <c r="B60" s="65"/>
      <c r="C60" s="65" t="s">
        <v>202</v>
      </c>
      <c r="D60" s="65">
        <v>31</v>
      </c>
      <c r="E60" s="65">
        <v>24</v>
      </c>
      <c r="F60" s="65">
        <v>744</v>
      </c>
      <c r="G60" s="65">
        <v>0</v>
      </c>
      <c r="H60" s="66">
        <v>0</v>
      </c>
      <c r="I60" s="77">
        <v>1</v>
      </c>
      <c r="J60" s="65"/>
    </row>
    <row r="61" customHeight="1" spans="1:10">
      <c r="A61" s="76"/>
      <c r="B61" s="65"/>
      <c r="C61" s="65" t="s">
        <v>203</v>
      </c>
      <c r="D61" s="65">
        <v>31</v>
      </c>
      <c r="E61" s="65">
        <v>24</v>
      </c>
      <c r="F61" s="65">
        <v>744</v>
      </c>
      <c r="G61" s="65">
        <v>0</v>
      </c>
      <c r="H61" s="66">
        <v>0</v>
      </c>
      <c r="I61" s="77">
        <v>1</v>
      </c>
      <c r="J61" s="65"/>
    </row>
    <row r="62" customHeight="1" spans="1:10">
      <c r="A62" s="76"/>
      <c r="B62" s="65"/>
      <c r="C62" s="65" t="s">
        <v>204</v>
      </c>
      <c r="D62" s="65">
        <v>31</v>
      </c>
      <c r="E62" s="65">
        <v>24</v>
      </c>
      <c r="F62" s="65">
        <v>744</v>
      </c>
      <c r="G62" s="65">
        <v>0</v>
      </c>
      <c r="H62" s="66">
        <v>0</v>
      </c>
      <c r="I62" s="77">
        <v>1</v>
      </c>
      <c r="J62" s="65"/>
    </row>
    <row r="63" customHeight="1" spans="1:10">
      <c r="A63" s="76"/>
      <c r="B63" s="65"/>
      <c r="C63" s="65" t="s">
        <v>205</v>
      </c>
      <c r="D63" s="65">
        <v>31</v>
      </c>
      <c r="E63" s="65">
        <v>24</v>
      </c>
      <c r="F63" s="65">
        <v>744</v>
      </c>
      <c r="G63" s="65">
        <v>0</v>
      </c>
      <c r="H63" s="66">
        <v>0</v>
      </c>
      <c r="I63" s="77">
        <v>1</v>
      </c>
      <c r="J63" s="65"/>
    </row>
    <row r="64" customHeight="1" spans="1:10">
      <c r="A64" s="76"/>
      <c r="B64" s="65"/>
      <c r="C64" s="65" t="s">
        <v>206</v>
      </c>
      <c r="D64" s="65">
        <v>31</v>
      </c>
      <c r="E64" s="65">
        <v>24</v>
      </c>
      <c r="F64" s="65">
        <v>744</v>
      </c>
      <c r="G64" s="65">
        <v>0</v>
      </c>
      <c r="H64" s="66">
        <v>0</v>
      </c>
      <c r="I64" s="77">
        <v>1</v>
      </c>
      <c r="J64" s="65"/>
    </row>
    <row r="65" customHeight="1" spans="1:10">
      <c r="A65" s="76"/>
      <c r="B65" s="65"/>
      <c r="C65" s="65" t="s">
        <v>207</v>
      </c>
      <c r="D65" s="65">
        <v>31</v>
      </c>
      <c r="E65" s="65">
        <v>24</v>
      </c>
      <c r="F65" s="65">
        <v>744</v>
      </c>
      <c r="G65" s="65">
        <v>0</v>
      </c>
      <c r="H65" s="66">
        <v>0</v>
      </c>
      <c r="I65" s="77">
        <v>1</v>
      </c>
      <c r="J65" s="65"/>
    </row>
    <row r="66" customHeight="1" spans="1:10">
      <c r="A66" s="76"/>
      <c r="B66" s="65"/>
      <c r="C66" s="65" t="s">
        <v>208</v>
      </c>
      <c r="D66" s="65">
        <v>31</v>
      </c>
      <c r="E66" s="65">
        <v>24</v>
      </c>
      <c r="F66" s="65">
        <v>744</v>
      </c>
      <c r="G66" s="65">
        <v>0</v>
      </c>
      <c r="H66" s="66">
        <v>0</v>
      </c>
      <c r="I66" s="77">
        <v>1</v>
      </c>
      <c r="J66" s="65"/>
    </row>
    <row r="67" customHeight="1" spans="1:10">
      <c r="A67" s="76"/>
      <c r="B67" s="65"/>
      <c r="C67" s="65" t="s">
        <v>209</v>
      </c>
      <c r="D67" s="65">
        <v>31</v>
      </c>
      <c r="E67" s="65">
        <v>24</v>
      </c>
      <c r="F67" s="65">
        <v>744</v>
      </c>
      <c r="G67" s="65">
        <v>0</v>
      </c>
      <c r="H67" s="66">
        <v>0</v>
      </c>
      <c r="I67" s="77">
        <v>1</v>
      </c>
      <c r="J67" s="65"/>
    </row>
    <row r="68" customHeight="1" spans="1:10">
      <c r="A68" s="76"/>
      <c r="B68" s="65"/>
      <c r="C68" s="65" t="s">
        <v>210</v>
      </c>
      <c r="D68" s="65">
        <v>31</v>
      </c>
      <c r="E68" s="65">
        <v>24</v>
      </c>
      <c r="F68" s="65">
        <v>744</v>
      </c>
      <c r="G68" s="65">
        <v>0</v>
      </c>
      <c r="H68" s="66">
        <v>0</v>
      </c>
      <c r="I68" s="77">
        <v>1</v>
      </c>
      <c r="J68" s="65"/>
    </row>
    <row r="69" customHeight="1" spans="1:10">
      <c r="A69" s="76"/>
      <c r="B69" s="64" t="s">
        <v>211</v>
      </c>
      <c r="C69" s="65" t="s">
        <v>212</v>
      </c>
      <c r="D69" s="65">
        <v>31</v>
      </c>
      <c r="E69" s="65">
        <v>24</v>
      </c>
      <c r="F69" s="65">
        <v>744</v>
      </c>
      <c r="G69" s="65">
        <v>0</v>
      </c>
      <c r="H69" s="66">
        <v>0</v>
      </c>
      <c r="I69" s="77">
        <v>1</v>
      </c>
      <c r="J69" s="65"/>
    </row>
    <row r="70" customHeight="1" spans="1:10">
      <c r="A70" s="76"/>
      <c r="B70" s="65"/>
      <c r="C70" s="65" t="s">
        <v>213</v>
      </c>
      <c r="D70" s="65">
        <v>31</v>
      </c>
      <c r="E70" s="65">
        <v>24</v>
      </c>
      <c r="F70" s="65">
        <v>744</v>
      </c>
      <c r="G70" s="65">
        <v>0</v>
      </c>
      <c r="H70" s="66">
        <v>0</v>
      </c>
      <c r="I70" s="77">
        <v>1</v>
      </c>
      <c r="J70" s="65"/>
    </row>
    <row r="71" customHeight="1" spans="1:10">
      <c r="A71" s="76"/>
      <c r="B71" s="65"/>
      <c r="C71" s="65" t="s">
        <v>214</v>
      </c>
      <c r="D71" s="65">
        <v>31</v>
      </c>
      <c r="E71" s="65">
        <v>24</v>
      </c>
      <c r="F71" s="65">
        <v>744</v>
      </c>
      <c r="G71" s="65">
        <v>0</v>
      </c>
      <c r="H71" s="66">
        <v>0</v>
      </c>
      <c r="I71" s="77">
        <v>1</v>
      </c>
      <c r="J71" s="65"/>
    </row>
    <row r="72" customHeight="1" spans="1:10">
      <c r="A72" s="76"/>
      <c r="B72" s="65"/>
      <c r="C72" s="65" t="s">
        <v>215</v>
      </c>
      <c r="D72" s="65">
        <v>31</v>
      </c>
      <c r="E72" s="65">
        <v>24</v>
      </c>
      <c r="F72" s="65">
        <v>744</v>
      </c>
      <c r="G72" s="65">
        <v>0</v>
      </c>
      <c r="H72" s="66">
        <v>0</v>
      </c>
      <c r="I72" s="77">
        <v>1</v>
      </c>
      <c r="J72" s="65"/>
    </row>
    <row r="73" customHeight="1" spans="1:10">
      <c r="A73" s="76"/>
      <c r="B73" s="65"/>
      <c r="C73" s="65" t="s">
        <v>216</v>
      </c>
      <c r="D73" s="65">
        <v>31</v>
      </c>
      <c r="E73" s="65">
        <v>24</v>
      </c>
      <c r="F73" s="65">
        <v>744</v>
      </c>
      <c r="G73" s="65">
        <v>0</v>
      </c>
      <c r="H73" s="66">
        <v>0</v>
      </c>
      <c r="I73" s="77">
        <v>1</v>
      </c>
      <c r="J73" s="65"/>
    </row>
    <row r="74" customHeight="1" spans="1:10">
      <c r="A74" s="76"/>
      <c r="B74" s="65"/>
      <c r="C74" s="65" t="s">
        <v>217</v>
      </c>
      <c r="D74" s="65">
        <v>31</v>
      </c>
      <c r="E74" s="65">
        <v>24</v>
      </c>
      <c r="F74" s="65">
        <v>744</v>
      </c>
      <c r="G74" s="65">
        <v>0</v>
      </c>
      <c r="H74" s="66">
        <v>0</v>
      </c>
      <c r="I74" s="77">
        <v>1</v>
      </c>
      <c r="J74" s="65"/>
    </row>
    <row r="75" customHeight="1" spans="1:10">
      <c r="A75" s="76"/>
      <c r="B75" s="65"/>
      <c r="C75" s="65" t="s">
        <v>218</v>
      </c>
      <c r="D75" s="65">
        <v>31</v>
      </c>
      <c r="E75" s="65">
        <v>24</v>
      </c>
      <c r="F75" s="65">
        <v>744</v>
      </c>
      <c r="G75" s="65">
        <v>0</v>
      </c>
      <c r="H75" s="66">
        <v>0</v>
      </c>
      <c r="I75" s="77">
        <v>1</v>
      </c>
      <c r="J75" s="65"/>
    </row>
    <row r="76" customHeight="1" spans="1:10">
      <c r="A76" s="76"/>
      <c r="B76" s="65"/>
      <c r="C76" s="65" t="s">
        <v>219</v>
      </c>
      <c r="D76" s="65">
        <v>31</v>
      </c>
      <c r="E76" s="65">
        <v>24</v>
      </c>
      <c r="F76" s="65">
        <v>744</v>
      </c>
      <c r="G76" s="65">
        <v>0</v>
      </c>
      <c r="H76" s="66">
        <v>0</v>
      </c>
      <c r="I76" s="77">
        <v>1</v>
      </c>
      <c r="J76" s="65"/>
    </row>
    <row r="77" customHeight="1" spans="1:10">
      <c r="A77" s="76"/>
      <c r="B77" s="65"/>
      <c r="C77" s="65" t="s">
        <v>220</v>
      </c>
      <c r="D77" s="65">
        <v>31</v>
      </c>
      <c r="E77" s="65">
        <v>24</v>
      </c>
      <c r="F77" s="65">
        <v>744</v>
      </c>
      <c r="G77" s="65">
        <v>0</v>
      </c>
      <c r="H77" s="66">
        <v>0</v>
      </c>
      <c r="I77" s="77">
        <v>1</v>
      </c>
      <c r="J77" s="65"/>
    </row>
    <row r="78" customHeight="1" spans="1:10">
      <c r="A78" s="76"/>
      <c r="B78" s="65"/>
      <c r="C78" s="65" t="s">
        <v>221</v>
      </c>
      <c r="D78" s="65">
        <v>31</v>
      </c>
      <c r="E78" s="65">
        <v>24</v>
      </c>
      <c r="F78" s="65">
        <v>744</v>
      </c>
      <c r="G78" s="65">
        <v>0</v>
      </c>
      <c r="H78" s="66">
        <v>0</v>
      </c>
      <c r="I78" s="77">
        <v>1</v>
      </c>
      <c r="J78" s="65"/>
    </row>
    <row r="79" customHeight="1" spans="1:10">
      <c r="A79" s="76"/>
      <c r="B79" s="65"/>
      <c r="C79" s="65" t="s">
        <v>222</v>
      </c>
      <c r="D79" s="65">
        <v>31</v>
      </c>
      <c r="E79" s="65">
        <v>24</v>
      </c>
      <c r="F79" s="65">
        <v>744</v>
      </c>
      <c r="G79" s="65">
        <v>0</v>
      </c>
      <c r="H79" s="66">
        <v>0</v>
      </c>
      <c r="I79" s="77">
        <v>1</v>
      </c>
      <c r="J79" s="65"/>
    </row>
    <row r="80" customHeight="1" spans="1:10">
      <c r="A80" s="76"/>
      <c r="B80" s="65"/>
      <c r="C80" s="65" t="s">
        <v>223</v>
      </c>
      <c r="D80" s="65">
        <v>31</v>
      </c>
      <c r="E80" s="65">
        <v>24</v>
      </c>
      <c r="F80" s="65">
        <v>744</v>
      </c>
      <c r="G80" s="65">
        <v>0</v>
      </c>
      <c r="H80" s="66">
        <v>0</v>
      </c>
      <c r="I80" s="77">
        <v>1</v>
      </c>
      <c r="J80" s="65"/>
    </row>
    <row r="81" customHeight="1" spans="1:10">
      <c r="A81" s="76"/>
      <c r="B81" s="65"/>
      <c r="C81" s="65" t="s">
        <v>224</v>
      </c>
      <c r="D81" s="65">
        <v>31</v>
      </c>
      <c r="E81" s="65">
        <v>24</v>
      </c>
      <c r="F81" s="65">
        <v>744</v>
      </c>
      <c r="G81" s="65">
        <v>0</v>
      </c>
      <c r="H81" s="66">
        <v>0</v>
      </c>
      <c r="I81" s="77">
        <v>1</v>
      </c>
      <c r="J81" s="65"/>
    </row>
    <row r="82" customHeight="1" spans="1:10">
      <c r="A82" s="76"/>
      <c r="B82" s="65"/>
      <c r="C82" s="65" t="s">
        <v>225</v>
      </c>
      <c r="D82" s="65">
        <v>31</v>
      </c>
      <c r="E82" s="65">
        <v>24</v>
      </c>
      <c r="F82" s="65">
        <v>744</v>
      </c>
      <c r="G82" s="65">
        <v>0</v>
      </c>
      <c r="H82" s="66">
        <v>0</v>
      </c>
      <c r="I82" s="77">
        <v>1</v>
      </c>
      <c r="J82" s="65"/>
    </row>
    <row r="83" customHeight="1" spans="1:10">
      <c r="A83" s="76"/>
      <c r="B83" s="65"/>
      <c r="C83" s="65" t="s">
        <v>226</v>
      </c>
      <c r="D83" s="65">
        <v>31</v>
      </c>
      <c r="E83" s="65">
        <v>24</v>
      </c>
      <c r="F83" s="65">
        <v>744</v>
      </c>
      <c r="G83" s="65">
        <v>0</v>
      </c>
      <c r="H83" s="66">
        <v>0</v>
      </c>
      <c r="I83" s="77">
        <v>1</v>
      </c>
      <c r="J83" s="65"/>
    </row>
    <row r="84" customHeight="1" spans="1:10">
      <c r="A84" s="76"/>
      <c r="B84" s="65"/>
      <c r="C84" s="65" t="s">
        <v>227</v>
      </c>
      <c r="D84" s="65">
        <v>31</v>
      </c>
      <c r="E84" s="65">
        <v>24</v>
      </c>
      <c r="F84" s="65">
        <v>744</v>
      </c>
      <c r="G84" s="65">
        <v>0</v>
      </c>
      <c r="H84" s="66">
        <v>0</v>
      </c>
      <c r="I84" s="77">
        <v>1</v>
      </c>
      <c r="J84" s="65"/>
    </row>
    <row r="85" customHeight="1" spans="1:10">
      <c r="A85" s="76"/>
      <c r="B85" s="65"/>
      <c r="C85" s="65" t="s">
        <v>228</v>
      </c>
      <c r="D85" s="65">
        <v>31</v>
      </c>
      <c r="E85" s="65">
        <v>24</v>
      </c>
      <c r="F85" s="65">
        <v>744</v>
      </c>
      <c r="G85" s="65">
        <v>0</v>
      </c>
      <c r="H85" s="66">
        <v>0</v>
      </c>
      <c r="I85" s="77">
        <v>1</v>
      </c>
      <c r="J85" s="65"/>
    </row>
    <row r="86" customHeight="1" spans="1:10">
      <c r="A86" s="78"/>
      <c r="B86" s="65"/>
      <c r="C86" s="65" t="s">
        <v>229</v>
      </c>
      <c r="D86" s="65">
        <v>31</v>
      </c>
      <c r="E86" s="65">
        <v>24</v>
      </c>
      <c r="F86" s="65">
        <v>744</v>
      </c>
      <c r="G86" s="65">
        <v>0</v>
      </c>
      <c r="H86" s="66">
        <v>0</v>
      </c>
      <c r="I86" s="77">
        <v>1</v>
      </c>
      <c r="J86" s="65"/>
    </row>
    <row r="87" customHeight="1" spans="1:10">
      <c r="A87" s="67" t="s">
        <v>70</v>
      </c>
      <c r="B87" s="67"/>
      <c r="C87" s="15"/>
      <c r="D87" s="15"/>
      <c r="E87" s="68" t="s">
        <v>71</v>
      </c>
      <c r="F87" s="68"/>
      <c r="G87" s="69"/>
      <c r="H87" s="10" t="str">
        <f>H38</f>
        <v>制表时间：2023/2/6</v>
      </c>
      <c r="I87" s="10"/>
      <c r="J87" s="10"/>
    </row>
    <row r="88" ht="16" customHeight="1"/>
    <row r="89" ht="15.95" customHeight="1"/>
    <row r="90" ht="20.1" customHeight="1"/>
    <row r="91" ht="34" customHeight="1" spans="1:10">
      <c r="A91" s="57" t="s">
        <v>162</v>
      </c>
      <c r="B91" s="57"/>
      <c r="C91" s="57"/>
      <c r="D91" s="57"/>
      <c r="E91" s="57"/>
      <c r="F91" s="57"/>
      <c r="G91" s="57"/>
      <c r="H91" s="58"/>
      <c r="I91" s="57"/>
      <c r="J91" s="57"/>
    </row>
    <row r="92" customHeight="1" spans="1:10">
      <c r="A92" s="59">
        <f>A2</f>
        <v>44927</v>
      </c>
      <c r="B92" s="59"/>
      <c r="C92" s="59"/>
      <c r="D92" s="59"/>
      <c r="E92" s="59"/>
      <c r="F92" s="59"/>
      <c r="G92" s="59"/>
      <c r="H92" s="59"/>
      <c r="I92" s="59"/>
      <c r="J92" s="59"/>
    </row>
    <row r="93" ht="24.95" customHeight="1" spans="1:10">
      <c r="A93" s="6" t="s">
        <v>163</v>
      </c>
      <c r="B93" s="6" t="s">
        <v>164</v>
      </c>
      <c r="C93" s="6" t="s">
        <v>165</v>
      </c>
      <c r="D93" s="6" t="s">
        <v>166</v>
      </c>
      <c r="E93" s="60" t="s">
        <v>167</v>
      </c>
      <c r="F93" s="60" t="s">
        <v>168</v>
      </c>
      <c r="G93" s="61" t="s">
        <v>169</v>
      </c>
      <c r="H93" s="62" t="s">
        <v>170</v>
      </c>
      <c r="I93" s="60" t="s">
        <v>171</v>
      </c>
      <c r="J93" s="6" t="s">
        <v>172</v>
      </c>
    </row>
    <row r="94" customHeight="1" spans="1:10">
      <c r="A94" s="6"/>
      <c r="B94" s="6"/>
      <c r="C94" s="6"/>
      <c r="D94" s="6"/>
      <c r="E94" s="60"/>
      <c r="F94" s="60"/>
      <c r="G94" s="61"/>
      <c r="H94" s="62"/>
      <c r="I94" s="60"/>
      <c r="J94" s="6"/>
    </row>
    <row r="95" customHeight="1" spans="1:10">
      <c r="A95" s="63"/>
      <c r="B95" s="6"/>
      <c r="C95" s="63"/>
      <c r="D95" s="6" t="s">
        <v>173</v>
      </c>
      <c r="E95" s="60" t="s">
        <v>174</v>
      </c>
      <c r="F95" s="60" t="s">
        <v>175</v>
      </c>
      <c r="G95" s="61" t="s">
        <v>175</v>
      </c>
      <c r="H95" s="62" t="s">
        <v>176</v>
      </c>
      <c r="I95" s="60" t="s">
        <v>176</v>
      </c>
      <c r="J95" s="6"/>
    </row>
    <row r="96" customHeight="1" spans="1:10">
      <c r="A96" s="64" t="s">
        <v>197</v>
      </c>
      <c r="B96" s="64" t="s">
        <v>230</v>
      </c>
      <c r="C96" s="65" t="s">
        <v>179</v>
      </c>
      <c r="D96" s="65">
        <v>31</v>
      </c>
      <c r="E96" s="65">
        <v>24</v>
      </c>
      <c r="F96" s="65">
        <v>744</v>
      </c>
      <c r="G96" s="65">
        <v>0</v>
      </c>
      <c r="H96" s="79">
        <v>0</v>
      </c>
      <c r="I96" s="66">
        <v>1</v>
      </c>
      <c r="J96" s="65"/>
    </row>
    <row r="97" customHeight="1" spans="1:10">
      <c r="A97" s="65"/>
      <c r="B97" s="65"/>
      <c r="C97" s="65" t="s">
        <v>180</v>
      </c>
      <c r="D97" s="65">
        <v>31</v>
      </c>
      <c r="E97" s="65">
        <v>24</v>
      </c>
      <c r="F97" s="65">
        <v>744</v>
      </c>
      <c r="G97" s="65">
        <v>0</v>
      </c>
      <c r="H97" s="79">
        <v>0</v>
      </c>
      <c r="I97" s="66">
        <v>1</v>
      </c>
      <c r="J97" s="65"/>
    </row>
    <row r="98" customHeight="1" spans="1:10">
      <c r="A98" s="65"/>
      <c r="B98" s="64" t="s">
        <v>231</v>
      </c>
      <c r="C98" s="65" t="s">
        <v>179</v>
      </c>
      <c r="D98" s="65">
        <v>31</v>
      </c>
      <c r="E98" s="65">
        <v>24</v>
      </c>
      <c r="F98" s="65">
        <v>744</v>
      </c>
      <c r="G98" s="65">
        <v>0</v>
      </c>
      <c r="H98" s="66">
        <v>0</v>
      </c>
      <c r="I98" s="66">
        <v>1</v>
      </c>
      <c r="J98" s="65"/>
    </row>
    <row r="99" customHeight="1" spans="1:10">
      <c r="A99" s="65"/>
      <c r="B99" s="65"/>
      <c r="C99" s="65" t="s">
        <v>180</v>
      </c>
      <c r="D99" s="65">
        <v>31</v>
      </c>
      <c r="E99" s="65">
        <v>24</v>
      </c>
      <c r="F99" s="65">
        <v>744</v>
      </c>
      <c r="G99" s="65">
        <v>0</v>
      </c>
      <c r="H99" s="66">
        <v>0</v>
      </c>
      <c r="I99" s="66">
        <v>1</v>
      </c>
      <c r="J99" s="65"/>
    </row>
    <row r="100" customHeight="1" spans="1:10">
      <c r="A100" s="65"/>
      <c r="B100" s="65"/>
      <c r="C100" s="65" t="s">
        <v>185</v>
      </c>
      <c r="D100" s="65">
        <v>31</v>
      </c>
      <c r="E100" s="65">
        <v>24</v>
      </c>
      <c r="F100" s="65">
        <v>744</v>
      </c>
      <c r="G100" s="65">
        <v>0</v>
      </c>
      <c r="H100" s="66">
        <v>0</v>
      </c>
      <c r="I100" s="66">
        <v>1</v>
      </c>
      <c r="J100" s="65"/>
    </row>
    <row r="101" customHeight="1" spans="1:10">
      <c r="A101" s="65"/>
      <c r="B101" s="65"/>
      <c r="C101" s="65" t="s">
        <v>186</v>
      </c>
      <c r="D101" s="65">
        <v>31</v>
      </c>
      <c r="E101" s="65">
        <v>24</v>
      </c>
      <c r="F101" s="65">
        <v>744</v>
      </c>
      <c r="G101" s="65">
        <v>0</v>
      </c>
      <c r="H101" s="66">
        <v>0</v>
      </c>
      <c r="I101" s="66">
        <v>1</v>
      </c>
      <c r="J101" s="65"/>
    </row>
    <row r="102" customHeight="1" spans="1:10">
      <c r="A102" s="65"/>
      <c r="B102" s="65"/>
      <c r="C102" s="65" t="s">
        <v>187</v>
      </c>
      <c r="D102" s="65">
        <v>31</v>
      </c>
      <c r="E102" s="65">
        <v>24</v>
      </c>
      <c r="F102" s="65">
        <v>744</v>
      </c>
      <c r="G102" s="65">
        <v>0</v>
      </c>
      <c r="H102" s="66">
        <v>0</v>
      </c>
      <c r="I102" s="66">
        <v>1</v>
      </c>
      <c r="J102" s="65"/>
    </row>
    <row r="103" customHeight="1" spans="1:10">
      <c r="A103" s="65"/>
      <c r="B103" s="65"/>
      <c r="C103" s="65" t="s">
        <v>191</v>
      </c>
      <c r="D103" s="65">
        <v>31</v>
      </c>
      <c r="E103" s="65">
        <v>24</v>
      </c>
      <c r="F103" s="65">
        <v>744</v>
      </c>
      <c r="G103" s="65">
        <v>0</v>
      </c>
      <c r="H103" s="66">
        <v>0</v>
      </c>
      <c r="I103" s="66">
        <v>1</v>
      </c>
      <c r="J103" s="65"/>
    </row>
    <row r="104" customHeight="1" spans="1:10">
      <c r="A104" s="65"/>
      <c r="B104" s="64" t="s">
        <v>232</v>
      </c>
      <c r="C104" s="65" t="s">
        <v>179</v>
      </c>
      <c r="D104" s="65">
        <v>31</v>
      </c>
      <c r="E104" s="65">
        <v>24</v>
      </c>
      <c r="F104" s="65">
        <v>744</v>
      </c>
      <c r="G104" s="65">
        <v>0</v>
      </c>
      <c r="H104" s="66">
        <v>0</v>
      </c>
      <c r="I104" s="66">
        <v>1</v>
      </c>
      <c r="J104" s="65"/>
    </row>
    <row r="105" customHeight="1" spans="1:10">
      <c r="A105" s="65"/>
      <c r="B105" s="65"/>
      <c r="C105" s="65" t="s">
        <v>180</v>
      </c>
      <c r="D105" s="65">
        <v>31</v>
      </c>
      <c r="E105" s="65">
        <v>24</v>
      </c>
      <c r="F105" s="65">
        <v>744</v>
      </c>
      <c r="G105" s="65">
        <v>0</v>
      </c>
      <c r="H105" s="66">
        <v>0</v>
      </c>
      <c r="I105" s="66">
        <v>1</v>
      </c>
      <c r="J105" s="65"/>
    </row>
    <row r="106" customHeight="1" spans="1:10">
      <c r="A106" s="65"/>
      <c r="B106" s="65"/>
      <c r="C106" s="65" t="s">
        <v>185</v>
      </c>
      <c r="D106" s="65">
        <v>31</v>
      </c>
      <c r="E106" s="65">
        <v>24</v>
      </c>
      <c r="F106" s="65">
        <v>744</v>
      </c>
      <c r="G106" s="65">
        <v>0</v>
      </c>
      <c r="H106" s="66">
        <v>0</v>
      </c>
      <c r="I106" s="66">
        <v>1</v>
      </c>
      <c r="J106" s="65"/>
    </row>
    <row r="107" customHeight="1" spans="1:10">
      <c r="A107" s="65"/>
      <c r="B107" s="64" t="s">
        <v>233</v>
      </c>
      <c r="C107" s="65" t="s">
        <v>179</v>
      </c>
      <c r="D107" s="65">
        <v>31</v>
      </c>
      <c r="E107" s="65">
        <v>24</v>
      </c>
      <c r="F107" s="65">
        <v>744</v>
      </c>
      <c r="G107" s="65">
        <v>0</v>
      </c>
      <c r="H107" s="66">
        <v>0</v>
      </c>
      <c r="I107" s="66">
        <v>1</v>
      </c>
      <c r="J107" s="65"/>
    </row>
    <row r="108" customHeight="1" spans="1:10">
      <c r="A108" s="65"/>
      <c r="B108" s="65"/>
      <c r="C108" s="65" t="s">
        <v>180</v>
      </c>
      <c r="D108" s="65">
        <v>31</v>
      </c>
      <c r="E108" s="65">
        <v>24</v>
      </c>
      <c r="F108" s="65">
        <v>744</v>
      </c>
      <c r="G108" s="65">
        <v>0</v>
      </c>
      <c r="H108" s="66">
        <v>0</v>
      </c>
      <c r="I108" s="66">
        <v>1</v>
      </c>
      <c r="J108" s="65"/>
    </row>
    <row r="109" customHeight="1" spans="1:10">
      <c r="A109" s="65"/>
      <c r="B109" s="65"/>
      <c r="C109" s="65" t="s">
        <v>185</v>
      </c>
      <c r="D109" s="65">
        <v>31</v>
      </c>
      <c r="E109" s="65">
        <v>24</v>
      </c>
      <c r="F109" s="65">
        <v>744</v>
      </c>
      <c r="G109" s="65">
        <v>0</v>
      </c>
      <c r="H109" s="66">
        <v>0</v>
      </c>
      <c r="I109" s="66">
        <v>1</v>
      </c>
      <c r="J109" s="65"/>
    </row>
    <row r="110" customHeight="1" spans="1:10">
      <c r="A110" s="65"/>
      <c r="B110" s="65"/>
      <c r="C110" s="65" t="s">
        <v>186</v>
      </c>
      <c r="D110" s="65">
        <v>31</v>
      </c>
      <c r="E110" s="65">
        <v>24</v>
      </c>
      <c r="F110" s="65">
        <v>744</v>
      </c>
      <c r="G110" s="65">
        <v>0</v>
      </c>
      <c r="H110" s="66">
        <v>0</v>
      </c>
      <c r="I110" s="66">
        <v>1</v>
      </c>
      <c r="J110" s="65"/>
    </row>
    <row r="111" customHeight="1" spans="1:10">
      <c r="A111" s="80" t="s">
        <v>234</v>
      </c>
      <c r="B111" s="80" t="s">
        <v>235</v>
      </c>
      <c r="C111" s="65" t="s">
        <v>179</v>
      </c>
      <c r="D111" s="65">
        <v>31</v>
      </c>
      <c r="E111" s="65">
        <v>24</v>
      </c>
      <c r="F111" s="65">
        <v>744</v>
      </c>
      <c r="G111" s="65">
        <v>736</v>
      </c>
      <c r="H111" s="66">
        <v>0.989247311827957</v>
      </c>
      <c r="I111" s="66">
        <v>1</v>
      </c>
      <c r="J111" s="65"/>
    </row>
    <row r="112" customHeight="1" spans="1:10">
      <c r="A112" s="81"/>
      <c r="B112" s="82"/>
      <c r="C112" s="65" t="s">
        <v>180</v>
      </c>
      <c r="D112" s="65">
        <v>31</v>
      </c>
      <c r="E112" s="65">
        <v>24</v>
      </c>
      <c r="F112" s="65">
        <v>744</v>
      </c>
      <c r="G112" s="65">
        <v>736</v>
      </c>
      <c r="H112" s="66">
        <v>0.989247311827957</v>
      </c>
      <c r="I112" s="66">
        <v>1</v>
      </c>
      <c r="J112" s="65"/>
    </row>
    <row r="113" customHeight="1" spans="1:10">
      <c r="A113" s="81"/>
      <c r="B113" s="82"/>
      <c r="C113" s="65" t="s">
        <v>185</v>
      </c>
      <c r="D113" s="65">
        <v>31</v>
      </c>
      <c r="E113" s="65">
        <v>24</v>
      </c>
      <c r="F113" s="65">
        <v>744</v>
      </c>
      <c r="G113" s="65">
        <v>736</v>
      </c>
      <c r="H113" s="66">
        <v>0.989247311827957</v>
      </c>
      <c r="I113" s="66">
        <v>1</v>
      </c>
      <c r="J113" s="65"/>
    </row>
    <row r="114" customHeight="1" spans="1:10">
      <c r="A114" s="81"/>
      <c r="B114" s="82"/>
      <c r="C114" s="65" t="s">
        <v>186</v>
      </c>
      <c r="D114" s="65">
        <v>31</v>
      </c>
      <c r="E114" s="65">
        <v>24</v>
      </c>
      <c r="F114" s="65">
        <v>744</v>
      </c>
      <c r="G114" s="65">
        <v>0</v>
      </c>
      <c r="H114" s="66">
        <v>0</v>
      </c>
      <c r="I114" s="66">
        <v>0</v>
      </c>
      <c r="J114" s="65"/>
    </row>
    <row r="115" customHeight="1" spans="1:10">
      <c r="A115" s="81"/>
      <c r="B115" s="82"/>
      <c r="C115" s="65" t="s">
        <v>187</v>
      </c>
      <c r="D115" s="65">
        <v>31</v>
      </c>
      <c r="E115" s="65">
        <v>24</v>
      </c>
      <c r="F115" s="65">
        <v>744</v>
      </c>
      <c r="G115" s="65">
        <v>736</v>
      </c>
      <c r="H115" s="66">
        <v>0.989247311827957</v>
      </c>
      <c r="I115" s="66">
        <v>1</v>
      </c>
      <c r="J115" s="65"/>
    </row>
    <row r="116" customHeight="1" spans="1:10">
      <c r="A116" s="81"/>
      <c r="B116" s="82"/>
      <c r="C116" s="65" t="s">
        <v>191</v>
      </c>
      <c r="D116" s="65">
        <v>31</v>
      </c>
      <c r="E116" s="65">
        <v>24</v>
      </c>
      <c r="F116" s="65">
        <v>744</v>
      </c>
      <c r="G116" s="65">
        <v>720</v>
      </c>
      <c r="H116" s="66">
        <v>0.97</v>
      </c>
      <c r="I116" s="66">
        <v>1</v>
      </c>
      <c r="J116" s="65"/>
    </row>
    <row r="117" customHeight="1" spans="1:10">
      <c r="A117" s="81"/>
      <c r="B117" s="82"/>
      <c r="C117" s="65" t="s">
        <v>199</v>
      </c>
      <c r="D117" s="65">
        <v>31</v>
      </c>
      <c r="E117" s="65">
        <v>24</v>
      </c>
      <c r="F117" s="65">
        <v>744</v>
      </c>
      <c r="G117" s="65">
        <v>736</v>
      </c>
      <c r="H117" s="66">
        <v>0.989247311827957</v>
      </c>
      <c r="I117" s="66">
        <v>1</v>
      </c>
      <c r="J117" s="65"/>
    </row>
    <row r="118" customHeight="1" spans="1:10">
      <c r="A118" s="81"/>
      <c r="B118" s="82"/>
      <c r="C118" s="65" t="s">
        <v>200</v>
      </c>
      <c r="D118" s="65">
        <v>31</v>
      </c>
      <c r="E118" s="65">
        <v>24</v>
      </c>
      <c r="F118" s="65">
        <v>744</v>
      </c>
      <c r="G118" s="65">
        <v>736</v>
      </c>
      <c r="H118" s="66">
        <v>0.989247311827957</v>
      </c>
      <c r="I118" s="66">
        <v>1</v>
      </c>
      <c r="J118" s="65"/>
    </row>
    <row r="119" customHeight="1" spans="1:10">
      <c r="A119" s="81"/>
      <c r="B119" s="82"/>
      <c r="C119" s="65" t="s">
        <v>201</v>
      </c>
      <c r="D119" s="65">
        <v>31</v>
      </c>
      <c r="E119" s="65">
        <v>24</v>
      </c>
      <c r="F119" s="65">
        <v>744</v>
      </c>
      <c r="G119" s="65">
        <v>208</v>
      </c>
      <c r="H119" s="66">
        <v>0.279569892473118</v>
      </c>
      <c r="I119" s="66">
        <v>1</v>
      </c>
      <c r="J119" s="65"/>
    </row>
    <row r="120" customHeight="1" spans="1:10">
      <c r="A120" s="81"/>
      <c r="B120" s="82"/>
      <c r="C120" s="65" t="s">
        <v>202</v>
      </c>
      <c r="D120" s="65">
        <v>31</v>
      </c>
      <c r="E120" s="65">
        <v>24</v>
      </c>
      <c r="F120" s="65">
        <v>744</v>
      </c>
      <c r="G120" s="65">
        <v>0</v>
      </c>
      <c r="H120" s="66">
        <v>0</v>
      </c>
      <c r="I120" s="66">
        <v>0</v>
      </c>
      <c r="J120" s="65"/>
    </row>
    <row r="121" customHeight="1" spans="1:10">
      <c r="A121" s="81"/>
      <c r="B121" s="82"/>
      <c r="C121" s="65" t="s">
        <v>203</v>
      </c>
      <c r="D121" s="65">
        <v>31</v>
      </c>
      <c r="E121" s="65">
        <v>24</v>
      </c>
      <c r="F121" s="65">
        <v>744</v>
      </c>
      <c r="G121" s="65">
        <v>0</v>
      </c>
      <c r="H121" s="66">
        <v>0</v>
      </c>
      <c r="I121" s="66">
        <v>0</v>
      </c>
      <c r="J121" s="65"/>
    </row>
    <row r="122" customHeight="1" spans="1:10">
      <c r="A122" s="81"/>
      <c r="B122" s="82"/>
      <c r="C122" s="65" t="s">
        <v>204</v>
      </c>
      <c r="D122" s="65">
        <v>31</v>
      </c>
      <c r="E122" s="65">
        <v>24</v>
      </c>
      <c r="F122" s="65">
        <v>744</v>
      </c>
      <c r="G122" s="65">
        <v>736</v>
      </c>
      <c r="H122" s="66">
        <v>0.989247311827957</v>
      </c>
      <c r="I122" s="66">
        <v>1</v>
      </c>
      <c r="J122" s="65"/>
    </row>
    <row r="123" customHeight="1" spans="1:10">
      <c r="A123" s="81"/>
      <c r="B123" s="82"/>
      <c r="C123" s="65" t="s">
        <v>205</v>
      </c>
      <c r="D123" s="65">
        <v>31</v>
      </c>
      <c r="E123" s="65">
        <v>24</v>
      </c>
      <c r="F123" s="65">
        <v>744</v>
      </c>
      <c r="G123" s="65">
        <v>736</v>
      </c>
      <c r="H123" s="66">
        <v>0.989247311827957</v>
      </c>
      <c r="I123" s="66">
        <v>1</v>
      </c>
      <c r="J123" s="65"/>
    </row>
    <row r="124" customHeight="1" spans="1:10">
      <c r="A124" s="81"/>
      <c r="B124" s="82"/>
      <c r="C124" s="65" t="s">
        <v>206</v>
      </c>
      <c r="D124" s="65">
        <v>31</v>
      </c>
      <c r="E124" s="65">
        <v>24</v>
      </c>
      <c r="F124" s="65">
        <v>744</v>
      </c>
      <c r="G124" s="65">
        <v>736</v>
      </c>
      <c r="H124" s="66">
        <v>0.989247311827957</v>
      </c>
      <c r="I124" s="66">
        <v>1</v>
      </c>
      <c r="J124" s="65"/>
    </row>
    <row r="125" customHeight="1" spans="1:10">
      <c r="A125" s="81"/>
      <c r="B125" s="82"/>
      <c r="C125" s="65" t="s">
        <v>207</v>
      </c>
      <c r="D125" s="65">
        <v>31</v>
      </c>
      <c r="E125" s="65">
        <v>24</v>
      </c>
      <c r="F125" s="65">
        <v>744</v>
      </c>
      <c r="G125" s="65">
        <v>736</v>
      </c>
      <c r="H125" s="66">
        <v>0.989247311827957</v>
      </c>
      <c r="I125" s="66">
        <v>1</v>
      </c>
      <c r="J125" s="65"/>
    </row>
    <row r="126" customHeight="1" spans="1:10">
      <c r="A126" s="81"/>
      <c r="B126" s="82"/>
      <c r="C126" s="65" t="s">
        <v>208</v>
      </c>
      <c r="D126" s="65">
        <v>31</v>
      </c>
      <c r="E126" s="65">
        <v>24</v>
      </c>
      <c r="F126" s="65">
        <v>744</v>
      </c>
      <c r="G126" s="65">
        <v>736</v>
      </c>
      <c r="H126" s="66">
        <v>0.989247311827957</v>
      </c>
      <c r="I126" s="66">
        <v>1</v>
      </c>
      <c r="J126" s="65"/>
    </row>
    <row r="127" customHeight="1" spans="1:10">
      <c r="A127" s="81"/>
      <c r="B127" s="82"/>
      <c r="C127" s="65" t="s">
        <v>209</v>
      </c>
      <c r="D127" s="65">
        <v>31</v>
      </c>
      <c r="E127" s="65">
        <v>24</v>
      </c>
      <c r="F127" s="65">
        <v>744</v>
      </c>
      <c r="G127" s="65">
        <v>736</v>
      </c>
      <c r="H127" s="66">
        <v>0.989247311827957</v>
      </c>
      <c r="I127" s="66">
        <v>1</v>
      </c>
      <c r="J127" s="65"/>
    </row>
    <row r="128" customHeight="1" spans="1:10">
      <c r="A128" s="81"/>
      <c r="B128" s="82"/>
      <c r="C128" s="65" t="s">
        <v>210</v>
      </c>
      <c r="D128" s="65">
        <v>31</v>
      </c>
      <c r="E128" s="65">
        <v>24</v>
      </c>
      <c r="F128" s="65">
        <v>744</v>
      </c>
      <c r="G128" s="65">
        <v>736</v>
      </c>
      <c r="H128" s="66">
        <v>0.989247311827957</v>
      </c>
      <c r="I128" s="66">
        <v>1</v>
      </c>
      <c r="J128" s="65"/>
    </row>
    <row r="129" customHeight="1" spans="1:10">
      <c r="A129" s="81"/>
      <c r="B129" s="82"/>
      <c r="C129" s="65" t="s">
        <v>212</v>
      </c>
      <c r="D129" s="65">
        <v>31</v>
      </c>
      <c r="E129" s="65">
        <v>24</v>
      </c>
      <c r="F129" s="65">
        <v>744</v>
      </c>
      <c r="G129" s="65">
        <v>736</v>
      </c>
      <c r="H129" s="66">
        <v>0.989247311827957</v>
      </c>
      <c r="I129" s="66">
        <v>1</v>
      </c>
      <c r="J129" s="65"/>
    </row>
    <row r="130" customHeight="1" spans="1:10">
      <c r="A130" s="81"/>
      <c r="B130" s="82"/>
      <c r="C130" s="65" t="s">
        <v>213</v>
      </c>
      <c r="D130" s="65">
        <v>31</v>
      </c>
      <c r="E130" s="65">
        <v>24</v>
      </c>
      <c r="F130" s="65">
        <v>744</v>
      </c>
      <c r="G130" s="65">
        <v>736</v>
      </c>
      <c r="H130" s="66">
        <v>0.989247311827957</v>
      </c>
      <c r="I130" s="66">
        <v>1</v>
      </c>
      <c r="J130" s="65"/>
    </row>
    <row r="131" customHeight="1" spans="1:10">
      <c r="A131" s="81"/>
      <c r="B131" s="82"/>
      <c r="C131" s="65" t="s">
        <v>214</v>
      </c>
      <c r="D131" s="65">
        <v>31</v>
      </c>
      <c r="E131" s="65">
        <v>24</v>
      </c>
      <c r="F131" s="65">
        <v>744</v>
      </c>
      <c r="G131" s="65">
        <v>720</v>
      </c>
      <c r="H131" s="66">
        <v>0.97</v>
      </c>
      <c r="I131" s="66">
        <v>1</v>
      </c>
      <c r="J131" s="65"/>
    </row>
    <row r="132" customHeight="1" spans="1:10">
      <c r="A132" s="83"/>
      <c r="B132" s="84"/>
      <c r="C132" s="65" t="s">
        <v>215</v>
      </c>
      <c r="D132" s="65">
        <v>31</v>
      </c>
      <c r="E132" s="65">
        <v>24</v>
      </c>
      <c r="F132" s="65">
        <v>744</v>
      </c>
      <c r="G132" s="65">
        <v>352</v>
      </c>
      <c r="H132" s="66">
        <v>0.473118279569892</v>
      </c>
      <c r="I132" s="66">
        <v>1</v>
      </c>
      <c r="J132" s="65"/>
    </row>
    <row r="133" ht="14.25" spans="1:10">
      <c r="A133" s="67" t="s">
        <v>70</v>
      </c>
      <c r="B133" s="67"/>
      <c r="C133" s="15"/>
      <c r="D133" s="15"/>
      <c r="E133" s="68" t="s">
        <v>71</v>
      </c>
      <c r="F133" s="68"/>
      <c r="G133" s="69"/>
      <c r="H133" s="10" t="str">
        <f>H38</f>
        <v>制表时间：2023/2/6</v>
      </c>
      <c r="I133" s="10"/>
      <c r="J133" s="10"/>
    </row>
    <row r="134" ht="7" customHeight="1" spans="2:6">
      <c r="B134" s="85"/>
      <c r="F134" s="86"/>
    </row>
    <row r="135" ht="5" customHeight="1" spans="2:6">
      <c r="B135" s="85"/>
      <c r="F135" s="86"/>
    </row>
    <row r="136" s="53" customFormat="1" ht="29" customHeight="1" spans="1:212">
      <c r="A136" s="57" t="s">
        <v>162</v>
      </c>
      <c r="B136" s="57"/>
      <c r="C136" s="57"/>
      <c r="D136" s="57"/>
      <c r="E136" s="57"/>
      <c r="F136" s="57"/>
      <c r="G136" s="57"/>
      <c r="H136" s="58"/>
      <c r="I136" s="57"/>
      <c r="J136" s="57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6"/>
      <c r="CO136" s="56"/>
      <c r="CP136" s="56"/>
      <c r="CQ136" s="56"/>
      <c r="CR136" s="56"/>
      <c r="CS136" s="56"/>
      <c r="CT136" s="56"/>
      <c r="CU136" s="56"/>
      <c r="CV136" s="56"/>
      <c r="CW136" s="56"/>
      <c r="CX136" s="56"/>
      <c r="CY136" s="56"/>
      <c r="CZ136" s="56"/>
      <c r="DA136" s="56"/>
      <c r="DB136" s="56"/>
      <c r="DC136" s="56"/>
      <c r="DD136" s="56"/>
      <c r="DE136" s="56"/>
      <c r="DF136" s="56"/>
      <c r="DG136" s="56"/>
      <c r="DH136" s="56"/>
      <c r="DI136" s="56"/>
      <c r="DJ136" s="56"/>
      <c r="DK136" s="56"/>
      <c r="DL136" s="56"/>
      <c r="DM136" s="56"/>
      <c r="DN136" s="56"/>
      <c r="DO136" s="56"/>
      <c r="DP136" s="56"/>
      <c r="DQ136" s="56"/>
      <c r="DR136" s="56"/>
      <c r="DS136" s="56"/>
      <c r="DT136" s="56"/>
      <c r="DU136" s="56"/>
      <c r="DV136" s="56"/>
      <c r="DW136" s="56"/>
      <c r="DX136" s="56"/>
      <c r="DY136" s="56"/>
      <c r="DZ136" s="56"/>
      <c r="EA136" s="56"/>
      <c r="EB136" s="56"/>
      <c r="EC136" s="56"/>
      <c r="ED136" s="56"/>
      <c r="EE136" s="56"/>
      <c r="EF136" s="56"/>
      <c r="EG136" s="56"/>
      <c r="EH136" s="56"/>
      <c r="EI136" s="56"/>
      <c r="EJ136" s="56"/>
      <c r="EK136" s="56"/>
      <c r="EL136" s="56"/>
      <c r="EM136" s="56"/>
      <c r="EN136" s="56"/>
      <c r="EO136" s="56"/>
      <c r="EP136" s="56"/>
      <c r="EQ136" s="56"/>
      <c r="ER136" s="56"/>
      <c r="ES136" s="56"/>
      <c r="ET136" s="56"/>
      <c r="EU136" s="56"/>
      <c r="EV136" s="56"/>
      <c r="EW136" s="56"/>
      <c r="EX136" s="56"/>
      <c r="EY136" s="56"/>
      <c r="EZ136" s="56"/>
      <c r="FA136" s="56"/>
      <c r="FB136" s="56"/>
      <c r="FC136" s="56"/>
      <c r="FD136" s="56"/>
      <c r="FE136" s="56"/>
      <c r="FF136" s="56"/>
      <c r="FG136" s="56"/>
      <c r="FH136" s="56"/>
      <c r="FI136" s="56"/>
      <c r="FJ136" s="56"/>
      <c r="FK136" s="56"/>
      <c r="FL136" s="56"/>
      <c r="FM136" s="56"/>
      <c r="FN136" s="56"/>
      <c r="FO136" s="56"/>
      <c r="FP136" s="56"/>
      <c r="FQ136" s="56"/>
      <c r="FR136" s="56"/>
      <c r="FS136" s="56"/>
      <c r="FT136" s="56"/>
      <c r="FU136" s="56"/>
      <c r="FV136" s="56"/>
      <c r="FW136" s="56"/>
      <c r="FX136" s="56"/>
      <c r="FY136" s="56"/>
      <c r="FZ136" s="56"/>
      <c r="GA136" s="56"/>
      <c r="GB136" s="56"/>
      <c r="GC136" s="56"/>
      <c r="GD136" s="56"/>
      <c r="GE136" s="56"/>
      <c r="GF136" s="56"/>
      <c r="GG136" s="56"/>
      <c r="GH136" s="56"/>
      <c r="GI136" s="56"/>
      <c r="GJ136" s="56"/>
      <c r="GK136" s="56"/>
      <c r="GL136" s="56"/>
      <c r="GM136" s="56"/>
      <c r="GN136" s="56"/>
      <c r="GO136" s="56"/>
      <c r="GP136" s="56"/>
      <c r="GQ136" s="56"/>
      <c r="GR136" s="56"/>
      <c r="GS136" s="56"/>
      <c r="GT136" s="56"/>
      <c r="GU136" s="56"/>
      <c r="GV136" s="56"/>
      <c r="GW136" s="56"/>
      <c r="GX136" s="56"/>
      <c r="GY136" s="56"/>
      <c r="GZ136" s="56"/>
      <c r="HA136" s="56"/>
      <c r="HB136" s="56"/>
      <c r="HC136" s="56"/>
      <c r="HD136" s="56"/>
    </row>
    <row r="137" s="53" customFormat="1" ht="20.1" customHeight="1" spans="1:212">
      <c r="A137" s="59">
        <f>A2</f>
        <v>44927</v>
      </c>
      <c r="B137" s="59"/>
      <c r="C137" s="59"/>
      <c r="D137" s="59"/>
      <c r="E137" s="59"/>
      <c r="F137" s="59"/>
      <c r="G137" s="59"/>
      <c r="H137" s="59"/>
      <c r="I137" s="59"/>
      <c r="J137" s="59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6"/>
      <c r="BR137" s="56"/>
      <c r="BS137" s="56"/>
      <c r="BT137" s="56"/>
      <c r="BU137" s="56"/>
      <c r="BV137" s="56"/>
      <c r="BW137" s="56"/>
      <c r="BX137" s="56"/>
      <c r="BY137" s="56"/>
      <c r="BZ137" s="56"/>
      <c r="CA137" s="56"/>
      <c r="CB137" s="56"/>
      <c r="CC137" s="56"/>
      <c r="CD137" s="56"/>
      <c r="CE137" s="56"/>
      <c r="CF137" s="56"/>
      <c r="CG137" s="56"/>
      <c r="CH137" s="56"/>
      <c r="CI137" s="56"/>
      <c r="CJ137" s="56"/>
      <c r="CK137" s="56"/>
      <c r="CL137" s="56"/>
      <c r="CM137" s="56"/>
      <c r="CN137" s="56"/>
      <c r="CO137" s="56"/>
      <c r="CP137" s="56"/>
      <c r="CQ137" s="56"/>
      <c r="CR137" s="56"/>
      <c r="CS137" s="56"/>
      <c r="CT137" s="56"/>
      <c r="CU137" s="56"/>
      <c r="CV137" s="56"/>
      <c r="CW137" s="56"/>
      <c r="CX137" s="56"/>
      <c r="CY137" s="56"/>
      <c r="CZ137" s="56"/>
      <c r="DA137" s="56"/>
      <c r="DB137" s="56"/>
      <c r="DC137" s="56"/>
      <c r="DD137" s="56"/>
      <c r="DE137" s="56"/>
      <c r="DF137" s="56"/>
      <c r="DG137" s="56"/>
      <c r="DH137" s="56"/>
      <c r="DI137" s="56"/>
      <c r="DJ137" s="56"/>
      <c r="DK137" s="56"/>
      <c r="DL137" s="56"/>
      <c r="DM137" s="56"/>
      <c r="DN137" s="56"/>
      <c r="DO137" s="56"/>
      <c r="DP137" s="56"/>
      <c r="DQ137" s="56"/>
      <c r="DR137" s="56"/>
      <c r="DS137" s="56"/>
      <c r="DT137" s="56"/>
      <c r="DU137" s="56"/>
      <c r="DV137" s="56"/>
      <c r="DW137" s="56"/>
      <c r="DX137" s="56"/>
      <c r="DY137" s="56"/>
      <c r="DZ137" s="56"/>
      <c r="EA137" s="56"/>
      <c r="EB137" s="56"/>
      <c r="EC137" s="56"/>
      <c r="ED137" s="56"/>
      <c r="EE137" s="56"/>
      <c r="EF137" s="56"/>
      <c r="EG137" s="56"/>
      <c r="EH137" s="56"/>
      <c r="EI137" s="56"/>
      <c r="EJ137" s="56"/>
      <c r="EK137" s="56"/>
      <c r="EL137" s="56"/>
      <c r="EM137" s="56"/>
      <c r="EN137" s="56"/>
      <c r="EO137" s="56"/>
      <c r="EP137" s="56"/>
      <c r="EQ137" s="56"/>
      <c r="ER137" s="56"/>
      <c r="ES137" s="56"/>
      <c r="ET137" s="56"/>
      <c r="EU137" s="56"/>
      <c r="EV137" s="56"/>
      <c r="EW137" s="56"/>
      <c r="EX137" s="56"/>
      <c r="EY137" s="56"/>
      <c r="EZ137" s="56"/>
      <c r="FA137" s="56"/>
      <c r="FB137" s="56"/>
      <c r="FC137" s="56"/>
      <c r="FD137" s="56"/>
      <c r="FE137" s="56"/>
      <c r="FF137" s="56"/>
      <c r="FG137" s="56"/>
      <c r="FH137" s="56"/>
      <c r="FI137" s="56"/>
      <c r="FJ137" s="56"/>
      <c r="FK137" s="56"/>
      <c r="FL137" s="56"/>
      <c r="FM137" s="56"/>
      <c r="FN137" s="56"/>
      <c r="FO137" s="56"/>
      <c r="FP137" s="56"/>
      <c r="FQ137" s="56"/>
      <c r="FR137" s="56"/>
      <c r="FS137" s="56"/>
      <c r="FT137" s="56"/>
      <c r="FU137" s="56"/>
      <c r="FV137" s="56"/>
      <c r="FW137" s="56"/>
      <c r="FX137" s="56"/>
      <c r="FY137" s="56"/>
      <c r="FZ137" s="56"/>
      <c r="GA137" s="56"/>
      <c r="GB137" s="56"/>
      <c r="GC137" s="56"/>
      <c r="GD137" s="56"/>
      <c r="GE137" s="56"/>
      <c r="GF137" s="56"/>
      <c r="GG137" s="56"/>
      <c r="GH137" s="56"/>
      <c r="GI137" s="56"/>
      <c r="GJ137" s="56"/>
      <c r="GK137" s="56"/>
      <c r="GL137" s="56"/>
      <c r="GM137" s="56"/>
      <c r="GN137" s="56"/>
      <c r="GO137" s="56"/>
      <c r="GP137" s="56"/>
      <c r="GQ137" s="56"/>
      <c r="GR137" s="56"/>
      <c r="GS137" s="56"/>
      <c r="GT137" s="56"/>
      <c r="GU137" s="56"/>
      <c r="GV137" s="56"/>
      <c r="GW137" s="56"/>
      <c r="GX137" s="56"/>
      <c r="GY137" s="56"/>
      <c r="GZ137" s="56"/>
      <c r="HA137" s="56"/>
      <c r="HB137" s="56"/>
      <c r="HC137" s="56"/>
      <c r="HD137" s="56"/>
    </row>
    <row r="138" s="53" customFormat="1" ht="20.1" customHeight="1" spans="1:212">
      <c r="A138" s="6" t="s">
        <v>163</v>
      </c>
      <c r="B138" s="6" t="s">
        <v>164</v>
      </c>
      <c r="C138" s="6" t="s">
        <v>165</v>
      </c>
      <c r="D138" s="6" t="s">
        <v>166</v>
      </c>
      <c r="E138" s="60" t="s">
        <v>167</v>
      </c>
      <c r="F138" s="60" t="s">
        <v>168</v>
      </c>
      <c r="G138" s="61" t="s">
        <v>169</v>
      </c>
      <c r="H138" s="62" t="s">
        <v>170</v>
      </c>
      <c r="I138" s="60" t="s">
        <v>171</v>
      </c>
      <c r="J138" s="6" t="s">
        <v>172</v>
      </c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  <c r="BV138" s="56"/>
      <c r="BW138" s="56"/>
      <c r="BX138" s="56"/>
      <c r="BY138" s="56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  <c r="CJ138" s="56"/>
      <c r="CK138" s="56"/>
      <c r="CL138" s="56"/>
      <c r="CM138" s="56"/>
      <c r="CN138" s="56"/>
      <c r="CO138" s="56"/>
      <c r="CP138" s="56"/>
      <c r="CQ138" s="56"/>
      <c r="CR138" s="56"/>
      <c r="CS138" s="56"/>
      <c r="CT138" s="56"/>
      <c r="CU138" s="56"/>
      <c r="CV138" s="56"/>
      <c r="CW138" s="56"/>
      <c r="CX138" s="56"/>
      <c r="CY138" s="56"/>
      <c r="CZ138" s="56"/>
      <c r="DA138" s="56"/>
      <c r="DB138" s="56"/>
      <c r="DC138" s="56"/>
      <c r="DD138" s="56"/>
      <c r="DE138" s="56"/>
      <c r="DF138" s="56"/>
      <c r="DG138" s="56"/>
      <c r="DH138" s="56"/>
      <c r="DI138" s="56"/>
      <c r="DJ138" s="56"/>
      <c r="DK138" s="56"/>
      <c r="DL138" s="56"/>
      <c r="DM138" s="56"/>
      <c r="DN138" s="56"/>
      <c r="DO138" s="56"/>
      <c r="DP138" s="56"/>
      <c r="DQ138" s="56"/>
      <c r="DR138" s="56"/>
      <c r="DS138" s="56"/>
      <c r="DT138" s="56"/>
      <c r="DU138" s="56"/>
      <c r="DV138" s="56"/>
      <c r="DW138" s="56"/>
      <c r="DX138" s="56"/>
      <c r="DY138" s="56"/>
      <c r="DZ138" s="56"/>
      <c r="EA138" s="56"/>
      <c r="EB138" s="56"/>
      <c r="EC138" s="56"/>
      <c r="ED138" s="56"/>
      <c r="EE138" s="56"/>
      <c r="EF138" s="56"/>
      <c r="EG138" s="56"/>
      <c r="EH138" s="56"/>
      <c r="EI138" s="56"/>
      <c r="EJ138" s="56"/>
      <c r="EK138" s="56"/>
      <c r="EL138" s="56"/>
      <c r="EM138" s="56"/>
      <c r="EN138" s="56"/>
      <c r="EO138" s="56"/>
      <c r="EP138" s="56"/>
      <c r="EQ138" s="56"/>
      <c r="ER138" s="56"/>
      <c r="ES138" s="56"/>
      <c r="ET138" s="56"/>
      <c r="EU138" s="56"/>
      <c r="EV138" s="56"/>
      <c r="EW138" s="56"/>
      <c r="EX138" s="56"/>
      <c r="EY138" s="56"/>
      <c r="EZ138" s="56"/>
      <c r="FA138" s="56"/>
      <c r="FB138" s="56"/>
      <c r="FC138" s="56"/>
      <c r="FD138" s="56"/>
      <c r="FE138" s="56"/>
      <c r="FF138" s="56"/>
      <c r="FG138" s="56"/>
      <c r="FH138" s="56"/>
      <c r="FI138" s="56"/>
      <c r="FJ138" s="56"/>
      <c r="FK138" s="56"/>
      <c r="FL138" s="56"/>
      <c r="FM138" s="56"/>
      <c r="FN138" s="56"/>
      <c r="FO138" s="56"/>
      <c r="FP138" s="56"/>
      <c r="FQ138" s="56"/>
      <c r="FR138" s="56"/>
      <c r="FS138" s="56"/>
      <c r="FT138" s="56"/>
      <c r="FU138" s="56"/>
      <c r="FV138" s="56"/>
      <c r="FW138" s="56"/>
      <c r="FX138" s="56"/>
      <c r="FY138" s="56"/>
      <c r="FZ138" s="56"/>
      <c r="GA138" s="56"/>
      <c r="GB138" s="56"/>
      <c r="GC138" s="56"/>
      <c r="GD138" s="56"/>
      <c r="GE138" s="56"/>
      <c r="GF138" s="56"/>
      <c r="GG138" s="56"/>
      <c r="GH138" s="56"/>
      <c r="GI138" s="56"/>
      <c r="GJ138" s="56"/>
      <c r="GK138" s="56"/>
      <c r="GL138" s="56"/>
      <c r="GM138" s="56"/>
      <c r="GN138" s="56"/>
      <c r="GO138" s="56"/>
      <c r="GP138" s="56"/>
      <c r="GQ138" s="56"/>
      <c r="GR138" s="56"/>
      <c r="GS138" s="56"/>
      <c r="GT138" s="56"/>
      <c r="GU138" s="56"/>
      <c r="GV138" s="56"/>
      <c r="GW138" s="56"/>
      <c r="GX138" s="56"/>
      <c r="GY138" s="56"/>
      <c r="GZ138" s="56"/>
      <c r="HA138" s="56"/>
      <c r="HB138" s="56"/>
      <c r="HC138" s="56"/>
      <c r="HD138" s="56"/>
    </row>
    <row r="139" customHeight="1" spans="1:10">
      <c r="A139" s="6"/>
      <c r="B139" s="6"/>
      <c r="C139" s="6"/>
      <c r="D139" s="6"/>
      <c r="E139" s="60"/>
      <c r="F139" s="60"/>
      <c r="G139" s="61"/>
      <c r="H139" s="62"/>
      <c r="I139" s="60"/>
      <c r="J139" s="6"/>
    </row>
    <row r="140" customHeight="1" spans="1:10">
      <c r="A140" s="63"/>
      <c r="B140" s="6"/>
      <c r="C140" s="63"/>
      <c r="D140" s="6" t="s">
        <v>173</v>
      </c>
      <c r="E140" s="60" t="s">
        <v>174</v>
      </c>
      <c r="F140" s="60" t="s">
        <v>175</v>
      </c>
      <c r="G140" s="61" t="s">
        <v>175</v>
      </c>
      <c r="H140" s="62" t="s">
        <v>176</v>
      </c>
      <c r="I140" s="60" t="s">
        <v>176</v>
      </c>
      <c r="J140" s="6"/>
    </row>
    <row r="141" customHeight="1" spans="1:10">
      <c r="A141" s="64" t="s">
        <v>234</v>
      </c>
      <c r="B141" s="64" t="s">
        <v>236</v>
      </c>
      <c r="C141" s="65" t="s">
        <v>216</v>
      </c>
      <c r="D141" s="65">
        <v>31</v>
      </c>
      <c r="E141" s="65">
        <v>24</v>
      </c>
      <c r="F141" s="65">
        <v>744</v>
      </c>
      <c r="G141" s="65">
        <v>352</v>
      </c>
      <c r="H141" s="66">
        <v>0.473118279569892</v>
      </c>
      <c r="I141" s="66">
        <v>1</v>
      </c>
      <c r="J141" s="65"/>
    </row>
    <row r="142" customHeight="1" spans="1:10">
      <c r="A142" s="65"/>
      <c r="B142" s="65"/>
      <c r="C142" s="65" t="s">
        <v>217</v>
      </c>
      <c r="D142" s="65">
        <v>31</v>
      </c>
      <c r="E142" s="65">
        <v>24</v>
      </c>
      <c r="F142" s="65">
        <v>744</v>
      </c>
      <c r="G142" s="65">
        <v>352</v>
      </c>
      <c r="H142" s="66">
        <v>0.473118279569892</v>
      </c>
      <c r="I142" s="66">
        <v>1</v>
      </c>
      <c r="J142" s="65"/>
    </row>
    <row r="143" customHeight="1" spans="1:10">
      <c r="A143" s="65"/>
      <c r="B143" s="65"/>
      <c r="C143" s="65" t="s">
        <v>218</v>
      </c>
      <c r="D143" s="65">
        <v>31</v>
      </c>
      <c r="E143" s="65">
        <v>24</v>
      </c>
      <c r="F143" s="65">
        <v>744</v>
      </c>
      <c r="G143" s="65">
        <v>736</v>
      </c>
      <c r="H143" s="66">
        <v>0.989247311827957</v>
      </c>
      <c r="I143" s="66">
        <v>1</v>
      </c>
      <c r="J143" s="65"/>
    </row>
    <row r="144" customHeight="1" spans="1:10">
      <c r="A144" s="65"/>
      <c r="B144" s="65"/>
      <c r="C144" s="65" t="s">
        <v>219</v>
      </c>
      <c r="D144" s="65">
        <v>31</v>
      </c>
      <c r="E144" s="65">
        <v>24</v>
      </c>
      <c r="F144" s="65">
        <v>744</v>
      </c>
      <c r="G144" s="65">
        <v>736</v>
      </c>
      <c r="H144" s="66">
        <v>0.989247311827957</v>
      </c>
      <c r="I144" s="66">
        <v>1</v>
      </c>
      <c r="J144" s="65"/>
    </row>
    <row r="145" customHeight="1" spans="1:10">
      <c r="A145" s="65"/>
      <c r="B145" s="65"/>
      <c r="C145" s="65" t="s">
        <v>220</v>
      </c>
      <c r="D145" s="65">
        <v>31</v>
      </c>
      <c r="E145" s="65">
        <v>24</v>
      </c>
      <c r="F145" s="65">
        <v>744</v>
      </c>
      <c r="G145" s="65">
        <v>736</v>
      </c>
      <c r="H145" s="66">
        <v>0.989247311827957</v>
      </c>
      <c r="I145" s="66">
        <v>1</v>
      </c>
      <c r="J145" s="65"/>
    </row>
    <row r="146" customHeight="1" spans="1:10">
      <c r="A146" s="65"/>
      <c r="B146" s="65"/>
      <c r="C146" s="65" t="s">
        <v>221</v>
      </c>
      <c r="D146" s="65">
        <v>31</v>
      </c>
      <c r="E146" s="65">
        <v>24</v>
      </c>
      <c r="F146" s="65">
        <v>744</v>
      </c>
      <c r="G146" s="65">
        <v>736</v>
      </c>
      <c r="H146" s="66">
        <v>0.989247311827957</v>
      </c>
      <c r="I146" s="66">
        <v>1</v>
      </c>
      <c r="J146" s="65"/>
    </row>
    <row r="147" customHeight="1" spans="1:10">
      <c r="A147" s="65"/>
      <c r="B147" s="64" t="s">
        <v>237</v>
      </c>
      <c r="C147" s="65" t="s">
        <v>179</v>
      </c>
      <c r="D147" s="65">
        <v>31</v>
      </c>
      <c r="E147" s="65">
        <v>24</v>
      </c>
      <c r="F147" s="65">
        <v>744</v>
      </c>
      <c r="G147" s="65">
        <v>736</v>
      </c>
      <c r="H147" s="79">
        <v>0.989247311827957</v>
      </c>
      <c r="I147" s="79">
        <v>1</v>
      </c>
      <c r="J147" s="65"/>
    </row>
    <row r="148" customHeight="1" spans="1:10">
      <c r="A148" s="65"/>
      <c r="B148" s="65"/>
      <c r="C148" s="65" t="s">
        <v>180</v>
      </c>
      <c r="D148" s="65">
        <v>31</v>
      </c>
      <c r="E148" s="65">
        <v>24</v>
      </c>
      <c r="F148" s="65">
        <v>744</v>
      </c>
      <c r="G148" s="65">
        <v>736</v>
      </c>
      <c r="H148" s="79">
        <v>0.989247311827957</v>
      </c>
      <c r="I148" s="79">
        <v>1</v>
      </c>
      <c r="J148" s="65"/>
    </row>
    <row r="149" customHeight="1" spans="1:10">
      <c r="A149" s="65"/>
      <c r="B149" s="64" t="s">
        <v>238</v>
      </c>
      <c r="C149" s="65" t="s">
        <v>179</v>
      </c>
      <c r="D149" s="65">
        <v>31</v>
      </c>
      <c r="E149" s="65">
        <v>24</v>
      </c>
      <c r="F149" s="65">
        <v>744</v>
      </c>
      <c r="G149" s="65">
        <v>0</v>
      </c>
      <c r="H149" s="66">
        <v>0</v>
      </c>
      <c r="I149" s="66">
        <v>1</v>
      </c>
      <c r="J149" s="65"/>
    </row>
    <row r="150" customHeight="1" spans="1:10">
      <c r="A150" s="65"/>
      <c r="B150" s="65"/>
      <c r="C150" s="65" t="s">
        <v>180</v>
      </c>
      <c r="D150" s="65">
        <v>31</v>
      </c>
      <c r="E150" s="65">
        <v>24</v>
      </c>
      <c r="F150" s="65">
        <v>744</v>
      </c>
      <c r="G150" s="65">
        <v>390</v>
      </c>
      <c r="H150" s="66">
        <v>0.524193548387097</v>
      </c>
      <c r="I150" s="66">
        <v>1</v>
      </c>
      <c r="J150" s="65"/>
    </row>
    <row r="151" customHeight="1" spans="1:10">
      <c r="A151" s="65"/>
      <c r="B151" s="65"/>
      <c r="C151" s="65" t="s">
        <v>185</v>
      </c>
      <c r="D151" s="65">
        <v>31</v>
      </c>
      <c r="E151" s="65">
        <v>24</v>
      </c>
      <c r="F151" s="65">
        <v>744</v>
      </c>
      <c r="G151" s="65">
        <v>0</v>
      </c>
      <c r="H151" s="66">
        <v>0</v>
      </c>
      <c r="I151" s="66">
        <v>1</v>
      </c>
      <c r="J151" s="65"/>
    </row>
    <row r="152" customHeight="1" spans="1:10">
      <c r="A152" s="65"/>
      <c r="B152" s="64" t="s">
        <v>239</v>
      </c>
      <c r="C152" s="65" t="s">
        <v>179</v>
      </c>
      <c r="D152" s="65">
        <v>31</v>
      </c>
      <c r="E152" s="65">
        <v>24</v>
      </c>
      <c r="F152" s="65">
        <v>744</v>
      </c>
      <c r="G152" s="65">
        <v>216</v>
      </c>
      <c r="H152" s="66">
        <v>0.290322580645161</v>
      </c>
      <c r="I152" s="66">
        <v>1</v>
      </c>
      <c r="J152" s="65"/>
    </row>
    <row r="153" customHeight="1" spans="1:10">
      <c r="A153" s="65"/>
      <c r="B153" s="65"/>
      <c r="C153" s="65" t="s">
        <v>180</v>
      </c>
      <c r="D153" s="65">
        <v>31</v>
      </c>
      <c r="E153" s="65">
        <v>24</v>
      </c>
      <c r="F153" s="65">
        <v>744</v>
      </c>
      <c r="G153" s="65">
        <v>736</v>
      </c>
      <c r="H153" s="66">
        <v>0.989247311827957</v>
      </c>
      <c r="I153" s="66">
        <v>1</v>
      </c>
      <c r="J153" s="65"/>
    </row>
    <row r="154" customHeight="1" spans="1:10">
      <c r="A154" s="65"/>
      <c r="B154" s="65"/>
      <c r="C154" s="65" t="s">
        <v>185</v>
      </c>
      <c r="D154" s="65">
        <v>31</v>
      </c>
      <c r="E154" s="65">
        <v>24</v>
      </c>
      <c r="F154" s="65">
        <v>744</v>
      </c>
      <c r="G154" s="65">
        <v>736</v>
      </c>
      <c r="H154" s="66">
        <v>0.989247311827957</v>
      </c>
      <c r="I154" s="66">
        <v>1</v>
      </c>
      <c r="J154" s="65"/>
    </row>
    <row r="155" customHeight="1" spans="1:10">
      <c r="A155" s="65"/>
      <c r="B155" s="87" t="s">
        <v>240</v>
      </c>
      <c r="C155" s="88" t="s">
        <v>179</v>
      </c>
      <c r="D155" s="88">
        <v>31</v>
      </c>
      <c r="E155" s="88">
        <v>24</v>
      </c>
      <c r="F155" s="88">
        <v>744</v>
      </c>
      <c r="G155" s="88">
        <v>680</v>
      </c>
      <c r="H155" s="89">
        <v>0.913978494623656</v>
      </c>
      <c r="I155" s="89">
        <v>1</v>
      </c>
      <c r="J155" s="65"/>
    </row>
    <row r="156" customHeight="1" spans="1:10">
      <c r="A156" s="65"/>
      <c r="B156" s="88"/>
      <c r="C156" s="88" t="s">
        <v>180</v>
      </c>
      <c r="D156" s="88">
        <v>31</v>
      </c>
      <c r="E156" s="88">
        <v>24</v>
      </c>
      <c r="F156" s="88">
        <v>744</v>
      </c>
      <c r="G156" s="88">
        <v>508</v>
      </c>
      <c r="H156" s="89">
        <v>0.682795698924731</v>
      </c>
      <c r="I156" s="89">
        <v>1</v>
      </c>
      <c r="J156" s="65"/>
    </row>
    <row r="157" customHeight="1" spans="1:10">
      <c r="A157" s="65"/>
      <c r="B157" s="88"/>
      <c r="C157" s="88" t="s">
        <v>185</v>
      </c>
      <c r="D157" s="88">
        <v>31</v>
      </c>
      <c r="E157" s="88">
        <v>24</v>
      </c>
      <c r="F157" s="88">
        <v>744</v>
      </c>
      <c r="G157" s="88">
        <v>736</v>
      </c>
      <c r="H157" s="89">
        <v>0.989247311827957</v>
      </c>
      <c r="I157" s="89">
        <v>1</v>
      </c>
      <c r="J157" s="65"/>
    </row>
    <row r="158" customHeight="1" spans="1:10">
      <c r="A158" s="65"/>
      <c r="B158" s="88"/>
      <c r="C158" s="88" t="s">
        <v>186</v>
      </c>
      <c r="D158" s="88">
        <v>31</v>
      </c>
      <c r="E158" s="88">
        <v>24</v>
      </c>
      <c r="F158" s="88">
        <v>744</v>
      </c>
      <c r="G158" s="88">
        <v>712</v>
      </c>
      <c r="H158" s="89">
        <v>0.956989247311828</v>
      </c>
      <c r="I158" s="89">
        <v>1</v>
      </c>
      <c r="J158" s="65"/>
    </row>
    <row r="159" customHeight="1" spans="1:10">
      <c r="A159" s="65"/>
      <c r="B159" s="88"/>
      <c r="C159" s="88" t="s">
        <v>187</v>
      </c>
      <c r="D159" s="88">
        <v>31</v>
      </c>
      <c r="E159" s="88">
        <v>24</v>
      </c>
      <c r="F159" s="88">
        <v>744</v>
      </c>
      <c r="G159" s="88">
        <v>508</v>
      </c>
      <c r="H159" s="89">
        <v>0.682795698924731</v>
      </c>
      <c r="I159" s="89">
        <v>0</v>
      </c>
      <c r="J159" s="65"/>
    </row>
    <row r="160" customHeight="1" spans="1:10">
      <c r="A160" s="65"/>
      <c r="B160" s="88"/>
      <c r="C160" s="88" t="s">
        <v>191</v>
      </c>
      <c r="D160" s="88">
        <v>31</v>
      </c>
      <c r="E160" s="88">
        <v>24</v>
      </c>
      <c r="F160" s="88">
        <v>744</v>
      </c>
      <c r="G160" s="88">
        <v>704</v>
      </c>
      <c r="H160" s="89">
        <v>0.946236559139785</v>
      </c>
      <c r="I160" s="89">
        <v>1</v>
      </c>
      <c r="J160" s="65"/>
    </row>
    <row r="161" customHeight="1" spans="1:10">
      <c r="A161" s="64" t="s">
        <v>241</v>
      </c>
      <c r="B161" s="64" t="s">
        <v>242</v>
      </c>
      <c r="C161" s="65" t="s">
        <v>179</v>
      </c>
      <c r="D161" s="65">
        <v>31</v>
      </c>
      <c r="E161" s="65">
        <v>24</v>
      </c>
      <c r="F161" s="65">
        <v>744</v>
      </c>
      <c r="G161" s="65">
        <v>736</v>
      </c>
      <c r="H161" s="66">
        <v>0.989247311827957</v>
      </c>
      <c r="I161" s="66">
        <v>1</v>
      </c>
      <c r="J161" s="65"/>
    </row>
    <row r="162" customHeight="1" spans="1:10">
      <c r="A162" s="65"/>
      <c r="B162" s="65"/>
      <c r="C162" s="65" t="s">
        <v>180</v>
      </c>
      <c r="D162" s="65">
        <v>31</v>
      </c>
      <c r="E162" s="65">
        <v>24</v>
      </c>
      <c r="F162" s="65">
        <v>744</v>
      </c>
      <c r="G162" s="65">
        <v>0</v>
      </c>
      <c r="H162" s="66">
        <v>0</v>
      </c>
      <c r="I162" s="66">
        <v>0</v>
      </c>
      <c r="J162" s="65"/>
    </row>
    <row r="163" customHeight="1" spans="1:10">
      <c r="A163" s="65"/>
      <c r="B163" s="65"/>
      <c r="C163" s="65" t="s">
        <v>185</v>
      </c>
      <c r="D163" s="65">
        <v>31</v>
      </c>
      <c r="E163" s="65">
        <v>24</v>
      </c>
      <c r="F163" s="65">
        <v>744</v>
      </c>
      <c r="G163" s="65">
        <v>736</v>
      </c>
      <c r="H163" s="66">
        <v>0.989247311827957</v>
      </c>
      <c r="I163" s="66">
        <v>1</v>
      </c>
      <c r="J163" s="65"/>
    </row>
    <row r="164" ht="17" customHeight="1" spans="1:10">
      <c r="A164" s="65"/>
      <c r="B164" s="65"/>
      <c r="C164" s="65" t="s">
        <v>186</v>
      </c>
      <c r="D164" s="65">
        <v>31</v>
      </c>
      <c r="E164" s="65">
        <v>24</v>
      </c>
      <c r="F164" s="65">
        <v>744</v>
      </c>
      <c r="G164" s="65">
        <v>0</v>
      </c>
      <c r="H164" s="66">
        <v>0</v>
      </c>
      <c r="I164" s="66">
        <v>0</v>
      </c>
      <c r="J164" s="65"/>
    </row>
    <row r="165" customHeight="1" spans="1:10">
      <c r="A165" s="65"/>
      <c r="B165" s="65"/>
      <c r="C165" s="65" t="s">
        <v>187</v>
      </c>
      <c r="D165" s="65">
        <v>31</v>
      </c>
      <c r="E165" s="65">
        <v>24</v>
      </c>
      <c r="F165" s="65">
        <v>744</v>
      </c>
      <c r="G165" s="65">
        <v>736</v>
      </c>
      <c r="H165" s="66">
        <v>0.989247311827957</v>
      </c>
      <c r="I165" s="66">
        <v>1</v>
      </c>
      <c r="J165" s="65"/>
    </row>
    <row r="166" customHeight="1" spans="1:10">
      <c r="A166" s="65"/>
      <c r="B166" s="65"/>
      <c r="C166" s="65" t="s">
        <v>191</v>
      </c>
      <c r="D166" s="65">
        <v>31</v>
      </c>
      <c r="E166" s="65">
        <v>24</v>
      </c>
      <c r="F166" s="65">
        <v>744</v>
      </c>
      <c r="G166" s="65">
        <v>736</v>
      </c>
      <c r="H166" s="66">
        <v>0.989247311827957</v>
      </c>
      <c r="I166" s="66">
        <v>1</v>
      </c>
      <c r="J166" s="65"/>
    </row>
    <row r="167" customHeight="1" spans="1:10">
      <c r="A167" s="65"/>
      <c r="B167" s="65"/>
      <c r="C167" s="65" t="s">
        <v>199</v>
      </c>
      <c r="D167" s="65">
        <v>31</v>
      </c>
      <c r="E167" s="65">
        <v>24</v>
      </c>
      <c r="F167" s="65">
        <v>744</v>
      </c>
      <c r="G167" s="65">
        <v>736</v>
      </c>
      <c r="H167" s="66">
        <v>0.989247311827957</v>
      </c>
      <c r="I167" s="66">
        <v>1</v>
      </c>
      <c r="J167" s="65"/>
    </row>
    <row r="168" customHeight="1" spans="1:10">
      <c r="A168" s="65"/>
      <c r="B168" s="65"/>
      <c r="C168" s="65" t="s">
        <v>200</v>
      </c>
      <c r="D168" s="65">
        <v>31</v>
      </c>
      <c r="E168" s="65">
        <v>24</v>
      </c>
      <c r="F168" s="65">
        <v>744</v>
      </c>
      <c r="G168" s="65">
        <v>736</v>
      </c>
      <c r="H168" s="66">
        <v>0.989247311827957</v>
      </c>
      <c r="I168" s="66">
        <v>1</v>
      </c>
      <c r="J168" s="65"/>
    </row>
    <row r="169" customHeight="1" spans="1:10">
      <c r="A169" s="65"/>
      <c r="B169" s="65"/>
      <c r="C169" s="65" t="s">
        <v>201</v>
      </c>
      <c r="D169" s="65">
        <v>31</v>
      </c>
      <c r="E169" s="65">
        <v>24</v>
      </c>
      <c r="F169" s="65">
        <v>744</v>
      </c>
      <c r="G169" s="65">
        <v>736</v>
      </c>
      <c r="H169" s="66">
        <v>0.989247311827957</v>
      </c>
      <c r="I169" s="66">
        <v>1</v>
      </c>
      <c r="J169" s="65"/>
    </row>
    <row r="170" customHeight="1" spans="1:10">
      <c r="A170" s="65"/>
      <c r="B170" s="65"/>
      <c r="C170" s="65" t="s">
        <v>202</v>
      </c>
      <c r="D170" s="65">
        <v>31</v>
      </c>
      <c r="E170" s="65">
        <v>24</v>
      </c>
      <c r="F170" s="65">
        <v>744</v>
      </c>
      <c r="G170" s="65">
        <v>736</v>
      </c>
      <c r="H170" s="66">
        <v>0.989247311827957</v>
      </c>
      <c r="I170" s="66">
        <v>1</v>
      </c>
      <c r="J170" s="65"/>
    </row>
    <row r="171" customHeight="1" spans="1:10">
      <c r="A171" s="65"/>
      <c r="B171" s="65"/>
      <c r="C171" s="65" t="s">
        <v>203</v>
      </c>
      <c r="D171" s="65">
        <v>31</v>
      </c>
      <c r="E171" s="65">
        <v>24</v>
      </c>
      <c r="F171" s="65">
        <v>744</v>
      </c>
      <c r="G171" s="65">
        <v>736</v>
      </c>
      <c r="H171" s="66">
        <v>0.989247311827957</v>
      </c>
      <c r="I171" s="66">
        <v>1</v>
      </c>
      <c r="J171" s="65"/>
    </row>
    <row r="172" customHeight="1" spans="1:10">
      <c r="A172" s="65"/>
      <c r="B172" s="65"/>
      <c r="C172" s="65" t="s">
        <v>204</v>
      </c>
      <c r="D172" s="65">
        <v>31</v>
      </c>
      <c r="E172" s="65">
        <v>24</v>
      </c>
      <c r="F172" s="65">
        <v>744</v>
      </c>
      <c r="G172" s="65">
        <v>736</v>
      </c>
      <c r="H172" s="66">
        <v>0.989247311827957</v>
      </c>
      <c r="I172" s="66">
        <v>1</v>
      </c>
      <c r="J172" s="65"/>
    </row>
    <row r="173" customHeight="1" spans="1:10">
      <c r="A173" s="65"/>
      <c r="B173" s="65"/>
      <c r="C173" s="65" t="s">
        <v>205</v>
      </c>
      <c r="D173" s="65">
        <v>31</v>
      </c>
      <c r="E173" s="65">
        <v>24</v>
      </c>
      <c r="F173" s="65">
        <v>744</v>
      </c>
      <c r="G173" s="65">
        <v>736</v>
      </c>
      <c r="H173" s="66">
        <v>0.989247311827957</v>
      </c>
      <c r="I173" s="66">
        <v>1</v>
      </c>
      <c r="J173" s="65"/>
    </row>
    <row r="174" customHeight="1" spans="1:10">
      <c r="A174" s="65"/>
      <c r="B174" s="65"/>
      <c r="C174" s="65" t="s">
        <v>206</v>
      </c>
      <c r="D174" s="65">
        <v>31</v>
      </c>
      <c r="E174" s="65">
        <v>24</v>
      </c>
      <c r="F174" s="65">
        <v>744</v>
      </c>
      <c r="G174" s="65">
        <v>736</v>
      </c>
      <c r="H174" s="66">
        <v>0.989247311827957</v>
      </c>
      <c r="I174" s="66">
        <v>1</v>
      </c>
      <c r="J174" s="65"/>
    </row>
    <row r="175" customHeight="1" spans="1:10">
      <c r="A175" s="65"/>
      <c r="B175" s="65"/>
      <c r="C175" s="65" t="s">
        <v>207</v>
      </c>
      <c r="D175" s="65">
        <v>31</v>
      </c>
      <c r="E175" s="65">
        <v>24</v>
      </c>
      <c r="F175" s="65">
        <v>744</v>
      </c>
      <c r="G175" s="65">
        <v>736</v>
      </c>
      <c r="H175" s="66">
        <v>0.989247311827957</v>
      </c>
      <c r="I175" s="66">
        <v>1</v>
      </c>
      <c r="J175" s="65"/>
    </row>
    <row r="176" customHeight="1" spans="1:10">
      <c r="A176" s="65"/>
      <c r="B176" s="65"/>
      <c r="C176" s="65" t="s">
        <v>208</v>
      </c>
      <c r="D176" s="65">
        <v>31</v>
      </c>
      <c r="E176" s="65">
        <v>24</v>
      </c>
      <c r="F176" s="65">
        <v>744</v>
      </c>
      <c r="G176" s="65">
        <v>736</v>
      </c>
      <c r="H176" s="66">
        <v>0.989247311827957</v>
      </c>
      <c r="I176" s="66">
        <v>1</v>
      </c>
      <c r="J176" s="65"/>
    </row>
    <row r="177" ht="14.25" spans="1:10">
      <c r="A177" s="65"/>
      <c r="B177" s="65"/>
      <c r="C177" s="65" t="s">
        <v>209</v>
      </c>
      <c r="D177" s="65">
        <v>31</v>
      </c>
      <c r="E177" s="65">
        <v>24</v>
      </c>
      <c r="F177" s="65">
        <v>744</v>
      </c>
      <c r="G177" s="65">
        <v>0</v>
      </c>
      <c r="H177" s="66">
        <v>0</v>
      </c>
      <c r="I177" s="66">
        <v>0</v>
      </c>
      <c r="J177" s="65"/>
    </row>
    <row r="178" ht="14.25" spans="1:10">
      <c r="A178" s="65"/>
      <c r="B178" s="65"/>
      <c r="C178" s="65" t="s">
        <v>210</v>
      </c>
      <c r="D178" s="65">
        <v>31</v>
      </c>
      <c r="E178" s="65">
        <v>24</v>
      </c>
      <c r="F178" s="65">
        <v>744</v>
      </c>
      <c r="G178" s="65">
        <v>736</v>
      </c>
      <c r="H178" s="66">
        <v>0.989247311827957</v>
      </c>
      <c r="I178" s="66">
        <v>1</v>
      </c>
      <c r="J178" s="65"/>
    </row>
    <row r="179" customHeight="1" spans="1:10">
      <c r="A179" s="67" t="s">
        <v>70</v>
      </c>
      <c r="B179" s="67"/>
      <c r="C179" s="15"/>
      <c r="D179" s="15"/>
      <c r="E179" s="68" t="s">
        <v>71</v>
      </c>
      <c r="F179" s="68"/>
      <c r="G179" s="69"/>
      <c r="H179" s="10" t="str">
        <f>H38</f>
        <v>制表时间：2023/2/6</v>
      </c>
      <c r="I179" s="10"/>
      <c r="J179" s="10"/>
    </row>
    <row r="180" ht="23" customHeight="1"/>
    <row r="181" ht="28" customHeight="1" spans="1:10">
      <c r="A181" s="57" t="s">
        <v>162</v>
      </c>
      <c r="B181" s="57"/>
      <c r="C181" s="57"/>
      <c r="D181" s="57"/>
      <c r="E181" s="57"/>
      <c r="F181" s="57"/>
      <c r="G181" s="57"/>
      <c r="H181" s="58"/>
      <c r="I181" s="57"/>
      <c r="J181" s="57"/>
    </row>
    <row r="182" ht="18" customHeight="1" spans="1:10">
      <c r="A182" s="59">
        <f>A2</f>
        <v>44927</v>
      </c>
      <c r="B182" s="59"/>
      <c r="C182" s="59"/>
      <c r="D182" s="59"/>
      <c r="E182" s="59"/>
      <c r="F182" s="59"/>
      <c r="G182" s="59"/>
      <c r="H182" s="59"/>
      <c r="I182" s="59"/>
      <c r="J182" s="59"/>
    </row>
    <row r="183" customHeight="1" spans="1:10">
      <c r="A183" s="6" t="s">
        <v>163</v>
      </c>
      <c r="B183" s="6" t="s">
        <v>164</v>
      </c>
      <c r="C183" s="6" t="s">
        <v>165</v>
      </c>
      <c r="D183" s="6" t="s">
        <v>166</v>
      </c>
      <c r="E183" s="60" t="s">
        <v>167</v>
      </c>
      <c r="F183" s="60" t="s">
        <v>168</v>
      </c>
      <c r="G183" s="61" t="s">
        <v>169</v>
      </c>
      <c r="H183" s="62" t="s">
        <v>170</v>
      </c>
      <c r="I183" s="60" t="s">
        <v>171</v>
      </c>
      <c r="J183" s="6" t="s">
        <v>172</v>
      </c>
    </row>
    <row r="184" customHeight="1" spans="1:10">
      <c r="A184" s="6"/>
      <c r="B184" s="6"/>
      <c r="C184" s="6"/>
      <c r="D184" s="6"/>
      <c r="E184" s="60"/>
      <c r="F184" s="60"/>
      <c r="G184" s="61"/>
      <c r="H184" s="62"/>
      <c r="I184" s="60"/>
      <c r="J184" s="6"/>
    </row>
    <row r="185" customHeight="1" spans="1:10">
      <c r="A185" s="63"/>
      <c r="B185" s="6"/>
      <c r="C185" s="63"/>
      <c r="D185" s="6" t="s">
        <v>173</v>
      </c>
      <c r="E185" s="60" t="s">
        <v>174</v>
      </c>
      <c r="F185" s="60" t="s">
        <v>175</v>
      </c>
      <c r="G185" s="61" t="s">
        <v>175</v>
      </c>
      <c r="H185" s="62" t="s">
        <v>176</v>
      </c>
      <c r="I185" s="60" t="s">
        <v>176</v>
      </c>
      <c r="J185" s="6"/>
    </row>
    <row r="186" customHeight="1" spans="1:10">
      <c r="A186" s="64" t="s">
        <v>241</v>
      </c>
      <c r="B186" s="64" t="s">
        <v>242</v>
      </c>
      <c r="C186" s="65" t="s">
        <v>212</v>
      </c>
      <c r="D186" s="65">
        <v>31</v>
      </c>
      <c r="E186" s="65">
        <v>24</v>
      </c>
      <c r="F186" s="65">
        <v>744</v>
      </c>
      <c r="G186" s="65">
        <v>736</v>
      </c>
      <c r="H186" s="66">
        <v>0.989247311827957</v>
      </c>
      <c r="I186" s="66">
        <v>1</v>
      </c>
      <c r="J186" s="65"/>
    </row>
    <row r="187" customHeight="1" spans="1:10">
      <c r="A187" s="65"/>
      <c r="B187" s="65"/>
      <c r="C187" s="65" t="s">
        <v>213</v>
      </c>
      <c r="D187" s="65">
        <v>31</v>
      </c>
      <c r="E187" s="65">
        <v>24</v>
      </c>
      <c r="F187" s="65">
        <v>744</v>
      </c>
      <c r="G187" s="65">
        <v>736</v>
      </c>
      <c r="H187" s="66">
        <v>0.989247311827957</v>
      </c>
      <c r="I187" s="66">
        <v>1</v>
      </c>
      <c r="J187" s="65"/>
    </row>
    <row r="188" ht="20" customHeight="1" spans="1:10">
      <c r="A188" s="65"/>
      <c r="B188" s="65"/>
      <c r="C188" s="65" t="s">
        <v>214</v>
      </c>
      <c r="D188" s="65">
        <v>31</v>
      </c>
      <c r="E188" s="65">
        <v>24</v>
      </c>
      <c r="F188" s="65">
        <v>744</v>
      </c>
      <c r="G188" s="65">
        <v>736</v>
      </c>
      <c r="H188" s="66">
        <v>0.989247311827957</v>
      </c>
      <c r="I188" s="66">
        <v>1</v>
      </c>
      <c r="J188" s="65"/>
    </row>
    <row r="189" customHeight="1" spans="1:10">
      <c r="A189" s="65"/>
      <c r="B189" s="65"/>
      <c r="C189" s="65" t="s">
        <v>215</v>
      </c>
      <c r="D189" s="65">
        <v>31</v>
      </c>
      <c r="E189" s="65">
        <v>24</v>
      </c>
      <c r="F189" s="65">
        <v>744</v>
      </c>
      <c r="G189" s="65">
        <v>736</v>
      </c>
      <c r="H189" s="66">
        <v>0.989247311827957</v>
      </c>
      <c r="I189" s="66">
        <v>1</v>
      </c>
      <c r="J189" s="65"/>
    </row>
    <row r="190" customHeight="1" spans="1:10">
      <c r="A190" s="65"/>
      <c r="B190" s="65"/>
      <c r="C190" s="65" t="s">
        <v>216</v>
      </c>
      <c r="D190" s="65">
        <v>31</v>
      </c>
      <c r="E190" s="65">
        <v>24</v>
      </c>
      <c r="F190" s="65">
        <v>744</v>
      </c>
      <c r="G190" s="65">
        <v>736</v>
      </c>
      <c r="H190" s="66">
        <v>0.989247311827957</v>
      </c>
      <c r="I190" s="66">
        <v>1</v>
      </c>
      <c r="J190" s="65"/>
    </row>
    <row r="191" customHeight="1" spans="1:10">
      <c r="A191" s="65"/>
      <c r="B191" s="65"/>
      <c r="C191" s="65" t="s">
        <v>217</v>
      </c>
      <c r="D191" s="65">
        <v>31</v>
      </c>
      <c r="E191" s="65">
        <v>24</v>
      </c>
      <c r="F191" s="65">
        <v>744</v>
      </c>
      <c r="G191" s="65">
        <v>736</v>
      </c>
      <c r="H191" s="66">
        <v>0.989247311827957</v>
      </c>
      <c r="I191" s="66">
        <v>1</v>
      </c>
      <c r="J191" s="65"/>
    </row>
    <row r="192" customHeight="1" spans="1:10">
      <c r="A192" s="65"/>
      <c r="B192" s="65"/>
      <c r="C192" s="65" t="s">
        <v>218</v>
      </c>
      <c r="D192" s="65">
        <v>31</v>
      </c>
      <c r="E192" s="65">
        <v>24</v>
      </c>
      <c r="F192" s="65">
        <v>744</v>
      </c>
      <c r="G192" s="65">
        <v>0</v>
      </c>
      <c r="H192" s="66">
        <v>0</v>
      </c>
      <c r="I192" s="66">
        <v>0</v>
      </c>
      <c r="J192" s="65"/>
    </row>
    <row r="193" customHeight="1" spans="1:10">
      <c r="A193" s="65"/>
      <c r="B193" s="65"/>
      <c r="C193" s="65" t="s">
        <v>219</v>
      </c>
      <c r="D193" s="65">
        <v>31</v>
      </c>
      <c r="E193" s="65">
        <v>24</v>
      </c>
      <c r="F193" s="65">
        <v>744</v>
      </c>
      <c r="G193" s="65">
        <v>736</v>
      </c>
      <c r="H193" s="66">
        <v>0.989247311827957</v>
      </c>
      <c r="I193" s="66">
        <v>1</v>
      </c>
      <c r="J193" s="65"/>
    </row>
    <row r="194" customHeight="1" spans="1:10">
      <c r="A194" s="65"/>
      <c r="B194" s="65"/>
      <c r="C194" s="65" t="s">
        <v>220</v>
      </c>
      <c r="D194" s="65">
        <v>31</v>
      </c>
      <c r="E194" s="65">
        <v>24</v>
      </c>
      <c r="F194" s="65">
        <v>744</v>
      </c>
      <c r="G194" s="65">
        <v>736</v>
      </c>
      <c r="H194" s="66">
        <v>0.989247311827957</v>
      </c>
      <c r="I194" s="66">
        <v>1</v>
      </c>
      <c r="J194" s="65"/>
    </row>
    <row r="195" customHeight="1" spans="1:10">
      <c r="A195" s="65"/>
      <c r="B195" s="65"/>
      <c r="C195" s="65" t="s">
        <v>221</v>
      </c>
      <c r="D195" s="65">
        <v>31</v>
      </c>
      <c r="E195" s="65">
        <v>24</v>
      </c>
      <c r="F195" s="65">
        <v>744</v>
      </c>
      <c r="G195" s="65">
        <v>0</v>
      </c>
      <c r="H195" s="66">
        <v>0</v>
      </c>
      <c r="I195" s="66">
        <v>0</v>
      </c>
      <c r="J195" s="65"/>
    </row>
    <row r="196" customHeight="1" spans="1:10">
      <c r="A196" s="65"/>
      <c r="B196" s="65"/>
      <c r="C196" s="65" t="s">
        <v>222</v>
      </c>
      <c r="D196" s="65">
        <v>31</v>
      </c>
      <c r="E196" s="65">
        <v>24</v>
      </c>
      <c r="F196" s="65">
        <v>744</v>
      </c>
      <c r="G196" s="65">
        <v>736</v>
      </c>
      <c r="H196" s="66">
        <v>0.989247311827957</v>
      </c>
      <c r="I196" s="66">
        <v>1</v>
      </c>
      <c r="J196" s="65"/>
    </row>
    <row r="197" customHeight="1" spans="1:10">
      <c r="A197" s="65"/>
      <c r="B197" s="65"/>
      <c r="C197" s="65" t="s">
        <v>223</v>
      </c>
      <c r="D197" s="65">
        <v>31</v>
      </c>
      <c r="E197" s="65">
        <v>24</v>
      </c>
      <c r="F197" s="65">
        <v>744</v>
      </c>
      <c r="G197" s="65">
        <v>0</v>
      </c>
      <c r="H197" s="66">
        <v>0</v>
      </c>
      <c r="I197" s="66">
        <v>0</v>
      </c>
      <c r="J197" s="65"/>
    </row>
    <row r="198" customHeight="1" spans="1:10">
      <c r="A198" s="65"/>
      <c r="B198" s="65"/>
      <c r="C198" s="65" t="s">
        <v>224</v>
      </c>
      <c r="D198" s="65">
        <v>31</v>
      </c>
      <c r="E198" s="65">
        <v>24</v>
      </c>
      <c r="F198" s="65">
        <v>744</v>
      </c>
      <c r="G198" s="65">
        <v>736</v>
      </c>
      <c r="H198" s="66">
        <v>0.989247311827957</v>
      </c>
      <c r="I198" s="66">
        <v>1</v>
      </c>
      <c r="J198" s="65"/>
    </row>
    <row r="199" customHeight="1" spans="1:10">
      <c r="A199" s="65"/>
      <c r="B199" s="65"/>
      <c r="C199" s="65" t="s">
        <v>225</v>
      </c>
      <c r="D199" s="65">
        <v>31</v>
      </c>
      <c r="E199" s="65">
        <v>24</v>
      </c>
      <c r="F199" s="65">
        <v>744</v>
      </c>
      <c r="G199" s="65">
        <v>736</v>
      </c>
      <c r="H199" s="66">
        <v>0.989247311827957</v>
      </c>
      <c r="I199" s="66">
        <v>1</v>
      </c>
      <c r="J199" s="65"/>
    </row>
    <row r="200" customHeight="1" spans="1:10">
      <c r="A200" s="65"/>
      <c r="B200" s="65"/>
      <c r="C200" s="65" t="s">
        <v>226</v>
      </c>
      <c r="D200" s="65">
        <v>31</v>
      </c>
      <c r="E200" s="65">
        <v>24</v>
      </c>
      <c r="F200" s="65">
        <v>744</v>
      </c>
      <c r="G200" s="65">
        <v>736</v>
      </c>
      <c r="H200" s="66">
        <v>0.989247311827957</v>
      </c>
      <c r="I200" s="66">
        <v>1</v>
      </c>
      <c r="J200" s="65"/>
    </row>
    <row r="201" customHeight="1" spans="1:10">
      <c r="A201" s="65"/>
      <c r="B201" s="65"/>
      <c r="C201" s="65" t="s">
        <v>227</v>
      </c>
      <c r="D201" s="65">
        <v>31</v>
      </c>
      <c r="E201" s="65">
        <v>24</v>
      </c>
      <c r="F201" s="65">
        <v>744</v>
      </c>
      <c r="G201" s="65">
        <v>736</v>
      </c>
      <c r="H201" s="66">
        <v>0.989247311827957</v>
      </c>
      <c r="I201" s="66">
        <v>1</v>
      </c>
      <c r="J201" s="65"/>
    </row>
    <row r="202" customHeight="1" spans="1:10">
      <c r="A202" s="65"/>
      <c r="B202" s="65"/>
      <c r="C202" s="65" t="s">
        <v>228</v>
      </c>
      <c r="D202" s="65">
        <v>31</v>
      </c>
      <c r="E202" s="65">
        <v>24</v>
      </c>
      <c r="F202" s="65">
        <v>744</v>
      </c>
      <c r="G202" s="65">
        <v>736</v>
      </c>
      <c r="H202" s="66">
        <v>0.989247311827957</v>
      </c>
      <c r="I202" s="66">
        <v>1</v>
      </c>
      <c r="J202" s="65"/>
    </row>
    <row r="203" customHeight="1" spans="1:10">
      <c r="A203" s="65"/>
      <c r="B203" s="65"/>
      <c r="C203" s="65" t="s">
        <v>229</v>
      </c>
      <c r="D203" s="65">
        <v>31</v>
      </c>
      <c r="E203" s="65">
        <v>24</v>
      </c>
      <c r="F203" s="65">
        <v>744</v>
      </c>
      <c r="G203" s="65">
        <v>736</v>
      </c>
      <c r="H203" s="66">
        <v>0.989247311827957</v>
      </c>
      <c r="I203" s="66">
        <v>1</v>
      </c>
      <c r="J203" s="65"/>
    </row>
    <row r="204" customHeight="1" spans="1:10">
      <c r="A204" s="65"/>
      <c r="B204" s="64" t="s">
        <v>237</v>
      </c>
      <c r="C204" s="65" t="s">
        <v>185</v>
      </c>
      <c r="D204" s="65">
        <v>31</v>
      </c>
      <c r="E204" s="65">
        <v>24</v>
      </c>
      <c r="F204" s="65">
        <v>744</v>
      </c>
      <c r="G204" s="65">
        <v>742</v>
      </c>
      <c r="H204" s="66">
        <v>0.99</v>
      </c>
      <c r="I204" s="66">
        <v>1</v>
      </c>
      <c r="J204" s="65"/>
    </row>
    <row r="205" customHeight="1" spans="1:10">
      <c r="A205" s="65"/>
      <c r="B205" s="65"/>
      <c r="C205" s="65" t="s">
        <v>186</v>
      </c>
      <c r="D205" s="65">
        <v>31</v>
      </c>
      <c r="E205" s="65">
        <v>24</v>
      </c>
      <c r="F205" s="65">
        <v>744</v>
      </c>
      <c r="G205" s="65">
        <v>742</v>
      </c>
      <c r="H205" s="66">
        <v>0.99</v>
      </c>
      <c r="I205" s="66">
        <v>1</v>
      </c>
      <c r="J205" s="65"/>
    </row>
    <row r="206" customHeight="1" spans="1:10">
      <c r="A206" s="65"/>
      <c r="B206" s="64" t="s">
        <v>239</v>
      </c>
      <c r="C206" s="65" t="s">
        <v>186</v>
      </c>
      <c r="D206" s="65">
        <v>31</v>
      </c>
      <c r="E206" s="65">
        <v>24</v>
      </c>
      <c r="F206" s="65">
        <v>744</v>
      </c>
      <c r="G206" s="65">
        <v>656</v>
      </c>
      <c r="H206" s="66">
        <v>0.881720430107527</v>
      </c>
      <c r="I206" s="66">
        <v>1</v>
      </c>
      <c r="J206" s="65"/>
    </row>
    <row r="207" customHeight="1" spans="1:10">
      <c r="A207" s="65"/>
      <c r="B207" s="65"/>
      <c r="C207" s="65" t="s">
        <v>187</v>
      </c>
      <c r="D207" s="65">
        <v>31</v>
      </c>
      <c r="E207" s="65">
        <v>24</v>
      </c>
      <c r="F207" s="65">
        <v>744</v>
      </c>
      <c r="G207" s="65">
        <v>736</v>
      </c>
      <c r="H207" s="66">
        <v>0.989247311827957</v>
      </c>
      <c r="I207" s="66">
        <v>1</v>
      </c>
      <c r="J207" s="65"/>
    </row>
    <row r="208" customHeight="1" spans="1:10">
      <c r="A208" s="65"/>
      <c r="B208" s="65"/>
      <c r="C208" s="65" t="s">
        <v>191</v>
      </c>
      <c r="D208" s="65">
        <v>31</v>
      </c>
      <c r="E208" s="65">
        <v>24</v>
      </c>
      <c r="F208" s="65">
        <v>744</v>
      </c>
      <c r="G208" s="65">
        <v>736</v>
      </c>
      <c r="H208" s="66">
        <v>0.989247311827957</v>
      </c>
      <c r="I208" s="66">
        <v>1</v>
      </c>
      <c r="J208" s="65"/>
    </row>
    <row r="209" customHeight="1" spans="1:10">
      <c r="A209" s="65"/>
      <c r="B209" s="64" t="s">
        <v>240</v>
      </c>
      <c r="C209" s="65" t="s">
        <v>179</v>
      </c>
      <c r="D209" s="65">
        <v>31</v>
      </c>
      <c r="E209" s="65">
        <v>24</v>
      </c>
      <c r="F209" s="65">
        <v>744</v>
      </c>
      <c r="G209" s="65">
        <v>736</v>
      </c>
      <c r="H209" s="66">
        <v>0.989247311827957</v>
      </c>
      <c r="I209" s="66">
        <v>1</v>
      </c>
      <c r="J209" s="65"/>
    </row>
    <row r="210" customHeight="1" spans="1:10">
      <c r="A210" s="65"/>
      <c r="B210" s="65"/>
      <c r="C210" s="65" t="s">
        <v>180</v>
      </c>
      <c r="D210" s="65">
        <v>31</v>
      </c>
      <c r="E210" s="65">
        <v>24</v>
      </c>
      <c r="F210" s="65">
        <v>744</v>
      </c>
      <c r="G210" s="65">
        <v>610</v>
      </c>
      <c r="H210" s="66">
        <v>0.81989247311828</v>
      </c>
      <c r="I210" s="66">
        <v>1</v>
      </c>
      <c r="J210" s="65"/>
    </row>
    <row r="211" customHeight="1" spans="1:10">
      <c r="A211" s="65"/>
      <c r="B211" s="65"/>
      <c r="C211" s="65" t="s">
        <v>185</v>
      </c>
      <c r="D211" s="65">
        <v>31</v>
      </c>
      <c r="E211" s="65">
        <v>24</v>
      </c>
      <c r="F211" s="65">
        <v>744</v>
      </c>
      <c r="G211" s="65">
        <v>736</v>
      </c>
      <c r="H211" s="66">
        <v>0.989247311827957</v>
      </c>
      <c r="I211" s="66">
        <v>1</v>
      </c>
      <c r="J211" s="65"/>
    </row>
    <row r="212" customHeight="1" spans="1:10">
      <c r="A212" s="65"/>
      <c r="B212" s="65"/>
      <c r="C212" s="65" t="s">
        <v>186</v>
      </c>
      <c r="D212" s="65">
        <v>31</v>
      </c>
      <c r="E212" s="65">
        <v>24</v>
      </c>
      <c r="F212" s="65">
        <v>744</v>
      </c>
      <c r="G212" s="65">
        <v>736</v>
      </c>
      <c r="H212" s="66">
        <v>0.989247311827957</v>
      </c>
      <c r="I212" s="66">
        <v>1</v>
      </c>
      <c r="J212" s="65"/>
    </row>
    <row r="213" customHeight="1" spans="1:10">
      <c r="A213" s="65"/>
      <c r="B213" s="65"/>
      <c r="C213" s="65" t="s">
        <v>187</v>
      </c>
      <c r="D213" s="65">
        <v>31</v>
      </c>
      <c r="E213" s="65">
        <v>24</v>
      </c>
      <c r="F213" s="65">
        <v>744</v>
      </c>
      <c r="G213" s="65">
        <v>610</v>
      </c>
      <c r="H213" s="66">
        <v>0.81989247311828</v>
      </c>
      <c r="I213" s="66">
        <v>1</v>
      </c>
      <c r="J213" s="65"/>
    </row>
    <row r="214" customHeight="1" spans="1:10">
      <c r="A214" s="65"/>
      <c r="B214" s="65"/>
      <c r="C214" s="65" t="s">
        <v>191</v>
      </c>
      <c r="D214" s="65">
        <v>31</v>
      </c>
      <c r="E214" s="65">
        <v>24</v>
      </c>
      <c r="F214" s="65">
        <v>744</v>
      </c>
      <c r="G214" s="65">
        <v>736</v>
      </c>
      <c r="H214" s="66">
        <v>0.989247311827957</v>
      </c>
      <c r="I214" s="66">
        <v>1</v>
      </c>
      <c r="J214" s="65"/>
    </row>
    <row r="215" customHeight="1" spans="1:10">
      <c r="A215" s="80" t="s">
        <v>243</v>
      </c>
      <c r="B215" s="64" t="s">
        <v>244</v>
      </c>
      <c r="C215" s="65" t="s">
        <v>179</v>
      </c>
      <c r="D215" s="65">
        <v>31</v>
      </c>
      <c r="E215" s="65">
        <v>24</v>
      </c>
      <c r="F215" s="65">
        <v>744</v>
      </c>
      <c r="G215" s="65">
        <v>738</v>
      </c>
      <c r="H215" s="66">
        <v>0.991935483870968</v>
      </c>
      <c r="I215" s="66">
        <v>1</v>
      </c>
      <c r="J215" s="65"/>
    </row>
    <row r="216" customHeight="1" spans="1:10">
      <c r="A216" s="81"/>
      <c r="B216" s="65"/>
      <c r="C216" s="65" t="s">
        <v>180</v>
      </c>
      <c r="D216" s="65">
        <v>31</v>
      </c>
      <c r="E216" s="65">
        <v>24</v>
      </c>
      <c r="F216" s="65">
        <v>744</v>
      </c>
      <c r="G216" s="65">
        <v>0</v>
      </c>
      <c r="H216" s="66">
        <v>0</v>
      </c>
      <c r="I216" s="66">
        <v>1</v>
      </c>
      <c r="J216" s="65"/>
    </row>
    <row r="217" customHeight="1" spans="1:10">
      <c r="A217" s="81"/>
      <c r="B217" s="65"/>
      <c r="C217" s="65" t="s">
        <v>185</v>
      </c>
      <c r="D217" s="65">
        <v>31</v>
      </c>
      <c r="E217" s="65">
        <v>24</v>
      </c>
      <c r="F217" s="65">
        <v>744</v>
      </c>
      <c r="G217" s="65">
        <v>736</v>
      </c>
      <c r="H217" s="66">
        <v>0.989247311827957</v>
      </c>
      <c r="I217" s="66">
        <v>1</v>
      </c>
      <c r="J217" s="65"/>
    </row>
    <row r="218" customHeight="1" spans="1:10">
      <c r="A218" s="81"/>
      <c r="B218" s="65"/>
      <c r="C218" s="65" t="s">
        <v>186</v>
      </c>
      <c r="D218" s="65">
        <v>31</v>
      </c>
      <c r="E218" s="65">
        <v>24</v>
      </c>
      <c r="F218" s="65">
        <v>744</v>
      </c>
      <c r="G218" s="65">
        <v>146</v>
      </c>
      <c r="H218" s="66">
        <v>0.196236559139785</v>
      </c>
      <c r="I218" s="66">
        <v>1</v>
      </c>
      <c r="J218" s="65"/>
    </row>
    <row r="219" customHeight="1" spans="1:10">
      <c r="A219" s="81"/>
      <c r="B219" s="64" t="s">
        <v>245</v>
      </c>
      <c r="C219" s="65" t="s">
        <v>179</v>
      </c>
      <c r="D219" s="65">
        <v>31</v>
      </c>
      <c r="E219" s="65">
        <v>24</v>
      </c>
      <c r="F219" s="65">
        <v>744</v>
      </c>
      <c r="G219" s="65">
        <v>738</v>
      </c>
      <c r="H219" s="79">
        <v>0.991935483870968</v>
      </c>
      <c r="I219" s="66">
        <v>1</v>
      </c>
      <c r="J219" s="5" t="s">
        <v>246</v>
      </c>
    </row>
    <row r="220" customHeight="1" spans="1:10">
      <c r="A220" s="81"/>
      <c r="B220" s="65"/>
      <c r="C220" s="65" t="s">
        <v>180</v>
      </c>
      <c r="D220" s="65">
        <v>31</v>
      </c>
      <c r="E220" s="65">
        <v>24</v>
      </c>
      <c r="F220" s="65">
        <v>744</v>
      </c>
      <c r="G220" s="65">
        <v>642</v>
      </c>
      <c r="H220" s="79">
        <v>0.862903225806452</v>
      </c>
      <c r="I220" s="66">
        <v>1</v>
      </c>
      <c r="J220" s="5" t="s">
        <v>246</v>
      </c>
    </row>
    <row r="221" customHeight="1" spans="1:10">
      <c r="A221" s="81"/>
      <c r="B221" s="65"/>
      <c r="C221" s="65" t="s">
        <v>185</v>
      </c>
      <c r="D221" s="65">
        <v>31</v>
      </c>
      <c r="E221" s="65">
        <v>24</v>
      </c>
      <c r="F221" s="65">
        <v>744</v>
      </c>
      <c r="G221" s="65">
        <v>738</v>
      </c>
      <c r="H221" s="79">
        <v>0.991935483870968</v>
      </c>
      <c r="I221" s="66">
        <v>1</v>
      </c>
      <c r="J221" s="5" t="s">
        <v>246</v>
      </c>
    </row>
    <row r="222" ht="14.25" spans="1:10">
      <c r="A222" s="83"/>
      <c r="B222" s="65"/>
      <c r="C222" s="65" t="s">
        <v>186</v>
      </c>
      <c r="D222" s="65">
        <v>31</v>
      </c>
      <c r="E222" s="65">
        <v>24</v>
      </c>
      <c r="F222" s="65">
        <v>744</v>
      </c>
      <c r="G222" s="65">
        <v>738</v>
      </c>
      <c r="H222" s="79">
        <v>0.991935483870968</v>
      </c>
      <c r="I222" s="66">
        <v>1</v>
      </c>
      <c r="J222" s="5" t="s">
        <v>246</v>
      </c>
    </row>
    <row r="223" customHeight="1" spans="1:10">
      <c r="A223" s="67" t="s">
        <v>70</v>
      </c>
      <c r="B223" s="67"/>
      <c r="C223" s="15"/>
      <c r="D223" s="15"/>
      <c r="E223" s="68" t="s">
        <v>71</v>
      </c>
      <c r="F223" s="68"/>
      <c r="G223" s="69"/>
      <c r="H223" s="10" t="str">
        <f>H38</f>
        <v>制表时间：2023/2/6</v>
      </c>
      <c r="I223" s="10"/>
      <c r="J223" s="10"/>
    </row>
    <row r="224" ht="17" customHeight="1"/>
    <row r="225" ht="16" customHeight="1"/>
    <row r="226" ht="30" customHeight="1" spans="1:10">
      <c r="A226" s="57" t="s">
        <v>162</v>
      </c>
      <c r="B226" s="57"/>
      <c r="C226" s="57"/>
      <c r="D226" s="57"/>
      <c r="E226" s="57"/>
      <c r="F226" s="57"/>
      <c r="G226" s="57"/>
      <c r="H226" s="58"/>
      <c r="I226" s="57"/>
      <c r="J226" s="57"/>
    </row>
    <row r="227" ht="24" customHeight="1" spans="1:10">
      <c r="A227" s="70">
        <f>A2</f>
        <v>44927</v>
      </c>
      <c r="B227" s="70"/>
      <c r="C227" s="70"/>
      <c r="D227" s="70"/>
      <c r="E227" s="70"/>
      <c r="F227" s="70"/>
      <c r="G227" s="70"/>
      <c r="H227" s="70"/>
      <c r="I227" s="70"/>
      <c r="J227" s="70"/>
    </row>
    <row r="228" ht="21" customHeight="1" spans="1:10">
      <c r="A228" s="6" t="s">
        <v>163</v>
      </c>
      <c r="B228" s="6" t="s">
        <v>164</v>
      </c>
      <c r="C228" s="6" t="s">
        <v>165</v>
      </c>
      <c r="D228" s="6" t="s">
        <v>166</v>
      </c>
      <c r="E228" s="60" t="s">
        <v>167</v>
      </c>
      <c r="F228" s="60" t="s">
        <v>168</v>
      </c>
      <c r="G228" s="61" t="s">
        <v>169</v>
      </c>
      <c r="H228" s="62" t="s">
        <v>170</v>
      </c>
      <c r="I228" s="60" t="s">
        <v>171</v>
      </c>
      <c r="J228" s="6" t="s">
        <v>172</v>
      </c>
    </row>
    <row r="229" ht="25" customHeight="1" spans="1:10">
      <c r="A229" s="6"/>
      <c r="B229" s="6"/>
      <c r="C229" s="6"/>
      <c r="D229" s="6"/>
      <c r="E229" s="60"/>
      <c r="F229" s="60"/>
      <c r="G229" s="61"/>
      <c r="H229" s="62"/>
      <c r="I229" s="60"/>
      <c r="J229" s="6"/>
    </row>
    <row r="230" ht="24" customHeight="1" spans="1:10">
      <c r="A230" s="63"/>
      <c r="B230" s="6"/>
      <c r="C230" s="63"/>
      <c r="D230" s="6" t="s">
        <v>173</v>
      </c>
      <c r="E230" s="60" t="s">
        <v>174</v>
      </c>
      <c r="F230" s="60" t="s">
        <v>175</v>
      </c>
      <c r="G230" s="61" t="s">
        <v>175</v>
      </c>
      <c r="H230" s="62" t="s">
        <v>176</v>
      </c>
      <c r="I230" s="60" t="s">
        <v>176</v>
      </c>
      <c r="J230" s="6"/>
    </row>
    <row r="231" customHeight="1" spans="1:10">
      <c r="A231" s="64" t="s">
        <v>243</v>
      </c>
      <c r="B231" s="64" t="s">
        <v>247</v>
      </c>
      <c r="C231" s="65" t="s">
        <v>179</v>
      </c>
      <c r="D231" s="65">
        <v>31</v>
      </c>
      <c r="E231" s="65">
        <v>24</v>
      </c>
      <c r="F231" s="65">
        <v>744</v>
      </c>
      <c r="G231" s="65">
        <v>72</v>
      </c>
      <c r="H231" s="66">
        <v>0.1</v>
      </c>
      <c r="I231" s="66">
        <v>1</v>
      </c>
      <c r="J231" s="65" t="s">
        <v>246</v>
      </c>
    </row>
    <row r="232" customHeight="1" spans="1:10">
      <c r="A232" s="64"/>
      <c r="B232" s="65"/>
      <c r="C232" s="65" t="s">
        <v>180</v>
      </c>
      <c r="D232" s="65">
        <v>31</v>
      </c>
      <c r="E232" s="65">
        <v>24</v>
      </c>
      <c r="F232" s="65">
        <v>744</v>
      </c>
      <c r="G232" s="65">
        <v>72</v>
      </c>
      <c r="H232" s="66">
        <v>0.0967741935483871</v>
      </c>
      <c r="I232" s="66">
        <v>1</v>
      </c>
      <c r="J232" s="65" t="s">
        <v>246</v>
      </c>
    </row>
    <row r="233" customHeight="1" spans="1:10">
      <c r="A233" s="64"/>
      <c r="B233" s="65"/>
      <c r="C233" s="65" t="s">
        <v>185</v>
      </c>
      <c r="D233" s="65">
        <v>31</v>
      </c>
      <c r="E233" s="65">
        <v>24</v>
      </c>
      <c r="F233" s="65">
        <v>744</v>
      </c>
      <c r="G233" s="65">
        <v>72</v>
      </c>
      <c r="H233" s="66">
        <v>0.0967741935483871</v>
      </c>
      <c r="I233" s="66">
        <v>1</v>
      </c>
      <c r="J233" s="65" t="s">
        <v>246</v>
      </c>
    </row>
    <row r="234" customHeight="1" spans="1:10">
      <c r="A234" s="64"/>
      <c r="B234" s="65"/>
      <c r="C234" s="65" t="s">
        <v>186</v>
      </c>
      <c r="D234" s="65">
        <v>31</v>
      </c>
      <c r="E234" s="65">
        <v>24</v>
      </c>
      <c r="F234" s="65">
        <v>744</v>
      </c>
      <c r="G234" s="65">
        <v>72</v>
      </c>
      <c r="H234" s="66">
        <v>0.1</v>
      </c>
      <c r="I234" s="66">
        <v>1</v>
      </c>
      <c r="J234" s="65" t="s">
        <v>246</v>
      </c>
    </row>
    <row r="235" customHeight="1" spans="1:10">
      <c r="A235" s="64"/>
      <c r="B235" s="64" t="s">
        <v>248</v>
      </c>
      <c r="C235" s="65" t="s">
        <v>179</v>
      </c>
      <c r="D235" s="65">
        <v>31</v>
      </c>
      <c r="E235" s="65">
        <v>24</v>
      </c>
      <c r="F235" s="65">
        <v>744</v>
      </c>
      <c r="G235" s="65">
        <v>20</v>
      </c>
      <c r="H235" s="66">
        <v>0.0268817204301075</v>
      </c>
      <c r="I235" s="66">
        <v>1</v>
      </c>
      <c r="J235" s="65" t="s">
        <v>246</v>
      </c>
    </row>
    <row r="236" customHeight="1" spans="1:10">
      <c r="A236" s="64"/>
      <c r="B236" s="65"/>
      <c r="C236" s="65" t="s">
        <v>180</v>
      </c>
      <c r="D236" s="65">
        <v>31</v>
      </c>
      <c r="E236" s="65">
        <v>24</v>
      </c>
      <c r="F236" s="65">
        <v>744</v>
      </c>
      <c r="G236" s="65">
        <v>142</v>
      </c>
      <c r="H236" s="66">
        <v>0.190860215053763</v>
      </c>
      <c r="I236" s="66">
        <v>1</v>
      </c>
      <c r="J236" s="65" t="s">
        <v>246</v>
      </c>
    </row>
    <row r="237" customHeight="1" spans="1:10">
      <c r="A237" s="64"/>
      <c r="B237" s="65"/>
      <c r="C237" s="65" t="s">
        <v>185</v>
      </c>
      <c r="D237" s="65">
        <v>31</v>
      </c>
      <c r="E237" s="65">
        <v>24</v>
      </c>
      <c r="F237" s="65">
        <v>744</v>
      </c>
      <c r="G237" s="65">
        <v>716</v>
      </c>
      <c r="H237" s="66">
        <v>0.190860215053763</v>
      </c>
      <c r="I237" s="66">
        <v>1</v>
      </c>
      <c r="J237" s="65" t="s">
        <v>246</v>
      </c>
    </row>
    <row r="238" customHeight="1" spans="1:10">
      <c r="A238" s="64"/>
      <c r="B238" s="65"/>
      <c r="C238" s="65" t="s">
        <v>186</v>
      </c>
      <c r="D238" s="65">
        <v>31</v>
      </c>
      <c r="E238" s="65">
        <v>24</v>
      </c>
      <c r="F238" s="65">
        <v>744</v>
      </c>
      <c r="G238" s="65">
        <v>20</v>
      </c>
      <c r="H238" s="66">
        <v>0.0268817204301075</v>
      </c>
      <c r="I238" s="66">
        <v>1</v>
      </c>
      <c r="J238" s="65" t="s">
        <v>246</v>
      </c>
    </row>
    <row r="239" customHeight="1" spans="1:10">
      <c r="A239" s="64"/>
      <c r="B239" s="65"/>
      <c r="C239" s="65" t="s">
        <v>187</v>
      </c>
      <c r="D239" s="65">
        <v>31</v>
      </c>
      <c r="E239" s="65">
        <v>24</v>
      </c>
      <c r="F239" s="65">
        <v>744</v>
      </c>
      <c r="G239" s="65">
        <v>0</v>
      </c>
      <c r="H239" s="66">
        <v>0</v>
      </c>
      <c r="I239" s="66">
        <v>1</v>
      </c>
      <c r="J239" s="65" t="s">
        <v>246</v>
      </c>
    </row>
    <row r="240" customHeight="1" spans="1:10">
      <c r="A240" s="64"/>
      <c r="B240" s="65"/>
      <c r="C240" s="65" t="s">
        <v>191</v>
      </c>
      <c r="D240" s="65">
        <v>31</v>
      </c>
      <c r="E240" s="65">
        <v>24</v>
      </c>
      <c r="F240" s="65">
        <v>744</v>
      </c>
      <c r="G240" s="65">
        <v>0</v>
      </c>
      <c r="H240" s="66">
        <v>0</v>
      </c>
      <c r="I240" s="66">
        <v>1</v>
      </c>
      <c r="J240" s="65" t="s">
        <v>246</v>
      </c>
    </row>
    <row r="241" customHeight="1" spans="1:10">
      <c r="A241" s="64"/>
      <c r="B241" s="64" t="s">
        <v>249</v>
      </c>
      <c r="C241" s="65" t="s">
        <v>179</v>
      </c>
      <c r="D241" s="65">
        <v>31</v>
      </c>
      <c r="E241" s="65">
        <v>24</v>
      </c>
      <c r="F241" s="65">
        <v>744</v>
      </c>
      <c r="G241" s="65">
        <v>130</v>
      </c>
      <c r="H241" s="66">
        <v>0.174731182795699</v>
      </c>
      <c r="I241" s="66">
        <v>1</v>
      </c>
      <c r="J241" s="65" t="s">
        <v>246</v>
      </c>
    </row>
    <row r="242" customHeight="1" spans="1:10">
      <c r="A242" s="64"/>
      <c r="B242" s="65"/>
      <c r="C242" s="65" t="s">
        <v>180</v>
      </c>
      <c r="D242" s="65">
        <v>31</v>
      </c>
      <c r="E242" s="65">
        <v>24</v>
      </c>
      <c r="F242" s="65">
        <v>744</v>
      </c>
      <c r="G242" s="65">
        <v>114</v>
      </c>
      <c r="H242" s="66">
        <v>0.153225806451613</v>
      </c>
      <c r="I242" s="66">
        <v>1</v>
      </c>
      <c r="J242" s="65" t="s">
        <v>246</v>
      </c>
    </row>
    <row r="243" customHeight="1" spans="1:10">
      <c r="A243" s="64"/>
      <c r="B243" s="65"/>
      <c r="C243" s="65" t="s">
        <v>185</v>
      </c>
      <c r="D243" s="65">
        <v>31</v>
      </c>
      <c r="E243" s="65">
        <v>24</v>
      </c>
      <c r="F243" s="65">
        <v>744</v>
      </c>
      <c r="G243" s="65">
        <v>130</v>
      </c>
      <c r="H243" s="66">
        <v>0.174731182795699</v>
      </c>
      <c r="I243" s="66">
        <v>1</v>
      </c>
      <c r="J243" s="65" t="s">
        <v>246</v>
      </c>
    </row>
    <row r="244" customHeight="1" spans="1:10">
      <c r="A244" s="64"/>
      <c r="B244" s="65"/>
      <c r="C244" s="65" t="s">
        <v>186</v>
      </c>
      <c r="D244" s="65">
        <v>31</v>
      </c>
      <c r="E244" s="65">
        <v>24</v>
      </c>
      <c r="F244" s="65">
        <v>744</v>
      </c>
      <c r="G244" s="65">
        <v>130</v>
      </c>
      <c r="H244" s="66">
        <v>0.174731182795699</v>
      </c>
      <c r="I244" s="66">
        <v>1</v>
      </c>
      <c r="J244" s="65" t="s">
        <v>246</v>
      </c>
    </row>
    <row r="245" customHeight="1" spans="1:10">
      <c r="A245" s="64"/>
      <c r="B245" s="64" t="s">
        <v>250</v>
      </c>
      <c r="C245" s="65" t="s">
        <v>179</v>
      </c>
      <c r="D245" s="65">
        <v>31</v>
      </c>
      <c r="E245" s="65">
        <v>24</v>
      </c>
      <c r="F245" s="65">
        <v>744</v>
      </c>
      <c r="G245" s="65">
        <v>142</v>
      </c>
      <c r="H245" s="66">
        <v>0.190860215053763</v>
      </c>
      <c r="I245" s="66">
        <v>1</v>
      </c>
      <c r="J245" s="65"/>
    </row>
    <row r="246" customHeight="1" spans="1:10">
      <c r="A246" s="64"/>
      <c r="B246" s="65"/>
      <c r="C246" s="65" t="s">
        <v>180</v>
      </c>
      <c r="D246" s="65">
        <v>31</v>
      </c>
      <c r="E246" s="65">
        <v>24</v>
      </c>
      <c r="F246" s="65">
        <v>744</v>
      </c>
      <c r="G246" s="65">
        <v>124</v>
      </c>
      <c r="H246" s="66">
        <v>0.166666666666667</v>
      </c>
      <c r="I246" s="66">
        <v>1</v>
      </c>
      <c r="J246" s="65"/>
    </row>
    <row r="247" customHeight="1" spans="1:10">
      <c r="A247" s="64"/>
      <c r="B247" s="65"/>
      <c r="C247" s="65" t="s">
        <v>185</v>
      </c>
      <c r="D247" s="65">
        <v>31</v>
      </c>
      <c r="E247" s="65">
        <v>24</v>
      </c>
      <c r="F247" s="65">
        <v>744</v>
      </c>
      <c r="G247" s="65">
        <v>0</v>
      </c>
      <c r="H247" s="66">
        <v>0</v>
      </c>
      <c r="I247" s="66">
        <v>1</v>
      </c>
      <c r="J247" s="65"/>
    </row>
    <row r="248" customHeight="1" spans="1:10">
      <c r="A248" s="64"/>
      <c r="B248" s="65"/>
      <c r="C248" s="65" t="s">
        <v>186</v>
      </c>
      <c r="D248" s="65">
        <v>31</v>
      </c>
      <c r="E248" s="65">
        <v>24</v>
      </c>
      <c r="F248" s="65">
        <v>744</v>
      </c>
      <c r="G248" s="65">
        <v>20</v>
      </c>
      <c r="H248" s="66">
        <v>0.0268817204301075</v>
      </c>
      <c r="I248" s="66">
        <v>1</v>
      </c>
      <c r="J248" s="65"/>
    </row>
    <row r="249" customHeight="1" spans="1:10">
      <c r="A249" s="64"/>
      <c r="B249" s="65"/>
      <c r="C249" s="65" t="s">
        <v>187</v>
      </c>
      <c r="D249" s="65">
        <v>31</v>
      </c>
      <c r="E249" s="65">
        <v>24</v>
      </c>
      <c r="F249" s="65">
        <v>744</v>
      </c>
      <c r="G249" s="65">
        <v>24</v>
      </c>
      <c r="H249" s="66">
        <v>0.032258064516129</v>
      </c>
      <c r="I249" s="66">
        <v>1</v>
      </c>
      <c r="J249" s="65"/>
    </row>
    <row r="250" customHeight="1" spans="1:10">
      <c r="A250" s="64"/>
      <c r="B250" s="65"/>
      <c r="C250" s="65" t="s">
        <v>191</v>
      </c>
      <c r="D250" s="65">
        <v>31</v>
      </c>
      <c r="E250" s="65">
        <v>24</v>
      </c>
      <c r="F250" s="65">
        <v>744</v>
      </c>
      <c r="G250" s="65">
        <v>62</v>
      </c>
      <c r="H250" s="66">
        <v>0.0833333333333333</v>
      </c>
      <c r="I250" s="66">
        <v>1</v>
      </c>
      <c r="J250" s="65"/>
    </row>
    <row r="251" customHeight="1" spans="1:10">
      <c r="A251" s="64"/>
      <c r="B251" s="64" t="s">
        <v>251</v>
      </c>
      <c r="C251" s="65" t="s">
        <v>179</v>
      </c>
      <c r="D251" s="65">
        <v>31</v>
      </c>
      <c r="E251" s="65">
        <v>24</v>
      </c>
      <c r="F251" s="65">
        <v>744</v>
      </c>
      <c r="G251" s="65">
        <v>0</v>
      </c>
      <c r="H251" s="66">
        <v>0</v>
      </c>
      <c r="I251" s="66">
        <v>1</v>
      </c>
      <c r="J251" s="65"/>
    </row>
    <row r="252" customHeight="1" spans="1:10">
      <c r="A252" s="64"/>
      <c r="B252" s="65"/>
      <c r="C252" s="65" t="s">
        <v>180</v>
      </c>
      <c r="D252" s="65">
        <v>31</v>
      </c>
      <c r="E252" s="65">
        <v>24</v>
      </c>
      <c r="F252" s="65">
        <v>744</v>
      </c>
      <c r="G252" s="65">
        <v>0</v>
      </c>
      <c r="H252" s="66">
        <v>0</v>
      </c>
      <c r="I252" s="66">
        <v>1</v>
      </c>
      <c r="J252" s="65"/>
    </row>
    <row r="253" customHeight="1" spans="1:10">
      <c r="A253" s="64"/>
      <c r="B253" s="65"/>
      <c r="C253" s="65" t="s">
        <v>185</v>
      </c>
      <c r="D253" s="65">
        <v>31</v>
      </c>
      <c r="E253" s="65">
        <v>24</v>
      </c>
      <c r="F253" s="65">
        <v>744</v>
      </c>
      <c r="G253" s="65">
        <v>0</v>
      </c>
      <c r="H253" s="66">
        <v>0</v>
      </c>
      <c r="I253" s="66">
        <v>1</v>
      </c>
      <c r="J253" s="65"/>
    </row>
    <row r="254" customHeight="1" spans="1:10">
      <c r="A254" s="64"/>
      <c r="B254" s="65"/>
      <c r="C254" s="65" t="s">
        <v>186</v>
      </c>
      <c r="D254" s="65">
        <v>31</v>
      </c>
      <c r="E254" s="65">
        <v>24</v>
      </c>
      <c r="F254" s="65">
        <v>744</v>
      </c>
      <c r="G254" s="65">
        <v>0</v>
      </c>
      <c r="H254" s="66">
        <v>0</v>
      </c>
      <c r="I254" s="66">
        <v>1</v>
      </c>
      <c r="J254" s="65"/>
    </row>
    <row r="255" customHeight="1" spans="1:10">
      <c r="A255" s="64"/>
      <c r="B255" s="65"/>
      <c r="C255" s="65" t="s">
        <v>187</v>
      </c>
      <c r="D255" s="65">
        <v>31</v>
      </c>
      <c r="E255" s="65">
        <v>24</v>
      </c>
      <c r="F255" s="65">
        <v>744</v>
      </c>
      <c r="G255" s="65">
        <v>0</v>
      </c>
      <c r="H255" s="66">
        <v>0</v>
      </c>
      <c r="I255" s="66">
        <v>1</v>
      </c>
      <c r="J255" s="65"/>
    </row>
    <row r="256" customHeight="1" spans="1:10">
      <c r="A256" s="64"/>
      <c r="B256" s="65"/>
      <c r="C256" s="65" t="s">
        <v>191</v>
      </c>
      <c r="D256" s="65">
        <v>31</v>
      </c>
      <c r="E256" s="65">
        <v>24</v>
      </c>
      <c r="F256" s="65">
        <v>744</v>
      </c>
      <c r="G256" s="65">
        <v>0</v>
      </c>
      <c r="H256" s="66">
        <v>0</v>
      </c>
      <c r="I256" s="66">
        <v>1</v>
      </c>
      <c r="J256" s="65"/>
    </row>
    <row r="257" customHeight="1" spans="1:10">
      <c r="A257" s="64"/>
      <c r="B257" s="65"/>
      <c r="C257" s="65" t="s">
        <v>199</v>
      </c>
      <c r="D257" s="65">
        <v>31</v>
      </c>
      <c r="E257" s="65">
        <v>24</v>
      </c>
      <c r="F257" s="65">
        <v>744</v>
      </c>
      <c r="G257" s="65">
        <v>0</v>
      </c>
      <c r="H257" s="66">
        <v>0</v>
      </c>
      <c r="I257" s="66">
        <v>1</v>
      </c>
      <c r="J257" s="65"/>
    </row>
    <row r="258" customHeight="1" spans="1:10">
      <c r="A258" s="64"/>
      <c r="B258" s="65"/>
      <c r="C258" s="65" t="s">
        <v>200</v>
      </c>
      <c r="D258" s="65">
        <v>31</v>
      </c>
      <c r="E258" s="65">
        <v>24</v>
      </c>
      <c r="F258" s="65">
        <v>744</v>
      </c>
      <c r="G258" s="65">
        <v>0</v>
      </c>
      <c r="H258" s="66">
        <v>0</v>
      </c>
      <c r="I258" s="66">
        <v>1</v>
      </c>
      <c r="J258" s="65"/>
    </row>
    <row r="259" customHeight="1" spans="1:10">
      <c r="A259" s="64"/>
      <c r="B259" s="6" t="s">
        <v>252</v>
      </c>
      <c r="C259" s="65" t="s">
        <v>179</v>
      </c>
      <c r="D259" s="65">
        <v>31</v>
      </c>
      <c r="E259" s="65">
        <v>24</v>
      </c>
      <c r="F259" s="65">
        <v>744</v>
      </c>
      <c r="G259" s="65">
        <v>744</v>
      </c>
      <c r="H259" s="66">
        <v>1</v>
      </c>
      <c r="I259" s="66">
        <v>1</v>
      </c>
      <c r="J259" s="65" t="s">
        <v>253</v>
      </c>
    </row>
    <row r="260" customHeight="1" spans="1:10">
      <c r="A260" s="64"/>
      <c r="B260" s="5"/>
      <c r="C260" s="65" t="s">
        <v>180</v>
      </c>
      <c r="D260" s="65">
        <v>31</v>
      </c>
      <c r="E260" s="65">
        <v>24</v>
      </c>
      <c r="F260" s="65">
        <v>744</v>
      </c>
      <c r="G260" s="65">
        <v>720</v>
      </c>
      <c r="H260" s="66">
        <v>0.97</v>
      </c>
      <c r="I260" s="66">
        <v>1</v>
      </c>
      <c r="J260" s="65" t="s">
        <v>254</v>
      </c>
    </row>
    <row r="261" customHeight="1" spans="1:10">
      <c r="A261" s="64"/>
      <c r="B261" s="5"/>
      <c r="C261" s="65" t="s">
        <v>185</v>
      </c>
      <c r="D261" s="65">
        <v>31</v>
      </c>
      <c r="E261" s="65">
        <v>24</v>
      </c>
      <c r="F261" s="65">
        <v>744</v>
      </c>
      <c r="G261" s="65">
        <v>0</v>
      </c>
      <c r="H261" s="66">
        <v>0</v>
      </c>
      <c r="I261" s="66">
        <v>1</v>
      </c>
      <c r="J261" s="65" t="s">
        <v>253</v>
      </c>
    </row>
    <row r="262" customHeight="1" spans="1:10">
      <c r="A262" s="64"/>
      <c r="B262" s="6" t="s">
        <v>255</v>
      </c>
      <c r="C262" s="65" t="s">
        <v>179</v>
      </c>
      <c r="D262" s="65">
        <v>31</v>
      </c>
      <c r="E262" s="65">
        <v>24</v>
      </c>
      <c r="F262" s="65">
        <v>744</v>
      </c>
      <c r="G262" s="65">
        <v>744</v>
      </c>
      <c r="H262" s="66">
        <v>1</v>
      </c>
      <c r="I262" s="66">
        <v>1</v>
      </c>
      <c r="J262" s="65"/>
    </row>
    <row r="263" customHeight="1" spans="1:10">
      <c r="A263" s="64"/>
      <c r="B263" s="5"/>
      <c r="C263" s="65" t="s">
        <v>180</v>
      </c>
      <c r="D263" s="65">
        <v>31</v>
      </c>
      <c r="E263" s="65">
        <v>24</v>
      </c>
      <c r="F263" s="65">
        <v>744</v>
      </c>
      <c r="G263" s="65">
        <v>744</v>
      </c>
      <c r="H263" s="66">
        <v>1</v>
      </c>
      <c r="I263" s="66">
        <v>1</v>
      </c>
      <c r="J263" s="65" t="s">
        <v>256</v>
      </c>
    </row>
    <row r="264" customHeight="1" spans="1:10">
      <c r="A264" s="64"/>
      <c r="B264" s="5"/>
      <c r="C264" s="65" t="s">
        <v>185</v>
      </c>
      <c r="D264" s="65">
        <v>31</v>
      </c>
      <c r="E264" s="65">
        <v>24</v>
      </c>
      <c r="F264" s="65">
        <v>744</v>
      </c>
      <c r="G264" s="65">
        <v>744</v>
      </c>
      <c r="H264" s="66">
        <v>1</v>
      </c>
      <c r="I264" s="66">
        <v>1</v>
      </c>
      <c r="J264" s="65"/>
    </row>
    <row r="265" customHeight="1" spans="1:10">
      <c r="A265" s="64"/>
      <c r="B265" s="5"/>
      <c r="C265" s="65" t="s">
        <v>186</v>
      </c>
      <c r="D265" s="65">
        <v>31</v>
      </c>
      <c r="E265" s="65">
        <v>24</v>
      </c>
      <c r="F265" s="65">
        <v>744</v>
      </c>
      <c r="G265" s="65">
        <v>744</v>
      </c>
      <c r="H265" s="66">
        <v>1</v>
      </c>
      <c r="I265" s="66">
        <v>1</v>
      </c>
      <c r="J265" s="65"/>
    </row>
    <row r="266" customHeight="1" spans="1:10">
      <c r="A266" s="64"/>
      <c r="B266" s="5"/>
      <c r="C266" s="65" t="s">
        <v>187</v>
      </c>
      <c r="D266" s="65">
        <v>31</v>
      </c>
      <c r="E266" s="65">
        <v>24</v>
      </c>
      <c r="F266" s="65">
        <v>744</v>
      </c>
      <c r="G266" s="65">
        <v>744</v>
      </c>
      <c r="H266" s="66">
        <v>1</v>
      </c>
      <c r="I266" s="66">
        <v>1</v>
      </c>
      <c r="J266" s="65" t="s">
        <v>256</v>
      </c>
    </row>
    <row r="267" ht="19" customHeight="1" spans="1:10">
      <c r="A267" s="67" t="s">
        <v>70</v>
      </c>
      <c r="B267" s="67"/>
      <c r="C267" s="15"/>
      <c r="D267" s="15"/>
      <c r="E267" s="68" t="s">
        <v>71</v>
      </c>
      <c r="F267" s="68"/>
      <c r="G267" s="69"/>
      <c r="H267" s="10" t="str">
        <f>H38</f>
        <v>制表时间：2023/2/6</v>
      </c>
      <c r="I267" s="10"/>
      <c r="J267" s="10"/>
    </row>
    <row r="268" ht="19" customHeight="1" spans="1:10">
      <c r="A268" s="90"/>
      <c r="B268" s="90"/>
      <c r="C268" s="15"/>
      <c r="D268" s="15"/>
      <c r="E268" s="91"/>
      <c r="F268" s="91"/>
      <c r="G268" s="92"/>
      <c r="H268" s="15"/>
      <c r="I268" s="15"/>
      <c r="J268" s="15"/>
    </row>
    <row r="269" ht="17" customHeight="1" spans="1:10">
      <c r="A269" s="57" t="s">
        <v>162</v>
      </c>
      <c r="B269" s="57"/>
      <c r="C269" s="57"/>
      <c r="D269" s="57"/>
      <c r="E269" s="57"/>
      <c r="F269" s="57"/>
      <c r="G269" s="57"/>
      <c r="H269" s="58"/>
      <c r="I269" s="57"/>
      <c r="J269" s="57"/>
    </row>
    <row r="270" customHeight="1" spans="1:10">
      <c r="A270" s="59">
        <f>A2</f>
        <v>44927</v>
      </c>
      <c r="B270" s="59"/>
      <c r="C270" s="59"/>
      <c r="D270" s="59"/>
      <c r="E270" s="59"/>
      <c r="F270" s="59"/>
      <c r="G270" s="59"/>
      <c r="H270" s="59"/>
      <c r="I270" s="59"/>
      <c r="J270" s="59"/>
    </row>
    <row r="271" ht="13" customHeight="1" spans="1:10">
      <c r="A271" s="6" t="s">
        <v>163</v>
      </c>
      <c r="B271" s="6" t="s">
        <v>164</v>
      </c>
      <c r="C271" s="6" t="s">
        <v>165</v>
      </c>
      <c r="D271" s="6" t="s">
        <v>166</v>
      </c>
      <c r="E271" s="60" t="s">
        <v>167</v>
      </c>
      <c r="F271" s="60" t="s">
        <v>168</v>
      </c>
      <c r="G271" s="61" t="s">
        <v>169</v>
      </c>
      <c r="H271" s="62" t="s">
        <v>170</v>
      </c>
      <c r="I271" s="60" t="s">
        <v>171</v>
      </c>
      <c r="J271" s="6" t="s">
        <v>172</v>
      </c>
    </row>
    <row r="272" ht="12" customHeight="1" spans="1:10">
      <c r="A272" s="6"/>
      <c r="B272" s="6"/>
      <c r="C272" s="6"/>
      <c r="D272" s="6"/>
      <c r="E272" s="60"/>
      <c r="F272" s="60"/>
      <c r="G272" s="61"/>
      <c r="H272" s="62"/>
      <c r="I272" s="60"/>
      <c r="J272" s="6"/>
    </row>
    <row r="273" ht="15" customHeight="1" spans="1:10">
      <c r="A273" s="63"/>
      <c r="B273" s="6"/>
      <c r="C273" s="63"/>
      <c r="D273" s="6" t="s">
        <v>173</v>
      </c>
      <c r="E273" s="60" t="s">
        <v>174</v>
      </c>
      <c r="F273" s="60" t="s">
        <v>175</v>
      </c>
      <c r="G273" s="61" t="s">
        <v>175</v>
      </c>
      <c r="H273" s="62" t="s">
        <v>176</v>
      </c>
      <c r="I273" s="60" t="s">
        <v>176</v>
      </c>
      <c r="J273" s="6"/>
    </row>
    <row r="274" customHeight="1" spans="1:10">
      <c r="A274" s="64" t="s">
        <v>243</v>
      </c>
      <c r="B274" s="64" t="s">
        <v>255</v>
      </c>
      <c r="C274" s="65" t="s">
        <v>191</v>
      </c>
      <c r="D274" s="65">
        <v>31</v>
      </c>
      <c r="E274" s="65">
        <v>24</v>
      </c>
      <c r="F274" s="65">
        <v>744</v>
      </c>
      <c r="G274" s="65">
        <v>744</v>
      </c>
      <c r="H274" s="66">
        <v>1</v>
      </c>
      <c r="I274" s="66">
        <v>1</v>
      </c>
      <c r="J274" s="65"/>
    </row>
    <row r="275" customHeight="1" spans="1:10">
      <c r="A275" s="65"/>
      <c r="B275" s="64"/>
      <c r="C275" s="65" t="s">
        <v>199</v>
      </c>
      <c r="D275" s="65">
        <v>31</v>
      </c>
      <c r="E275" s="65">
        <v>24</v>
      </c>
      <c r="F275" s="65">
        <v>744</v>
      </c>
      <c r="G275" s="65">
        <v>744</v>
      </c>
      <c r="H275" s="66">
        <v>1</v>
      </c>
      <c r="I275" s="66">
        <v>1</v>
      </c>
      <c r="J275" s="65"/>
    </row>
    <row r="276" customHeight="1" spans="1:10">
      <c r="A276" s="65"/>
      <c r="B276" s="64"/>
      <c r="C276" s="65" t="s">
        <v>200</v>
      </c>
      <c r="D276" s="65">
        <v>31</v>
      </c>
      <c r="E276" s="65">
        <v>24</v>
      </c>
      <c r="F276" s="65">
        <v>744</v>
      </c>
      <c r="G276" s="65">
        <v>744</v>
      </c>
      <c r="H276" s="66">
        <v>1</v>
      </c>
      <c r="I276" s="66">
        <v>1</v>
      </c>
      <c r="J276" s="65"/>
    </row>
    <row r="277" customHeight="1" spans="1:10">
      <c r="A277" s="65"/>
      <c r="B277" s="64" t="s">
        <v>257</v>
      </c>
      <c r="C277" s="65" t="s">
        <v>201</v>
      </c>
      <c r="D277" s="65">
        <v>31</v>
      </c>
      <c r="E277" s="65">
        <v>24</v>
      </c>
      <c r="F277" s="65">
        <v>744</v>
      </c>
      <c r="G277" s="65">
        <v>744</v>
      </c>
      <c r="H277" s="66">
        <v>1</v>
      </c>
      <c r="I277" s="66">
        <v>1</v>
      </c>
      <c r="J277" s="65"/>
    </row>
    <row r="278" customHeight="1" spans="1:10">
      <c r="A278" s="65"/>
      <c r="B278" s="65"/>
      <c r="C278" s="65" t="s">
        <v>202</v>
      </c>
      <c r="D278" s="65">
        <v>31</v>
      </c>
      <c r="E278" s="65">
        <v>24</v>
      </c>
      <c r="F278" s="65">
        <v>744</v>
      </c>
      <c r="G278" s="65">
        <v>743</v>
      </c>
      <c r="H278" s="66">
        <v>0.99</v>
      </c>
      <c r="I278" s="66">
        <v>1</v>
      </c>
      <c r="J278" s="65" t="s">
        <v>258</v>
      </c>
    </row>
    <row r="279" ht="17" customHeight="1" spans="1:10">
      <c r="A279" s="65"/>
      <c r="B279" s="65"/>
      <c r="C279" s="65" t="s">
        <v>203</v>
      </c>
      <c r="D279" s="65">
        <v>31</v>
      </c>
      <c r="E279" s="65">
        <v>24</v>
      </c>
      <c r="F279" s="65">
        <v>744</v>
      </c>
      <c r="G279" s="65">
        <v>744</v>
      </c>
      <c r="H279" s="66">
        <v>1</v>
      </c>
      <c r="I279" s="66">
        <v>1</v>
      </c>
      <c r="J279" s="64"/>
    </row>
    <row r="280" customHeight="1" spans="1:10">
      <c r="A280" s="65"/>
      <c r="B280" s="65"/>
      <c r="C280" s="65" t="s">
        <v>204</v>
      </c>
      <c r="D280" s="65">
        <v>31</v>
      </c>
      <c r="E280" s="65">
        <v>24</v>
      </c>
      <c r="F280" s="65">
        <v>744</v>
      </c>
      <c r="G280" s="65">
        <v>744</v>
      </c>
      <c r="H280" s="66">
        <v>1</v>
      </c>
      <c r="I280" s="66">
        <v>1</v>
      </c>
      <c r="J280" s="65"/>
    </row>
    <row r="281" customHeight="1" spans="1:10">
      <c r="A281" s="65"/>
      <c r="B281" s="65"/>
      <c r="C281" s="65" t="s">
        <v>205</v>
      </c>
      <c r="D281" s="65">
        <v>31</v>
      </c>
      <c r="E281" s="65">
        <v>24</v>
      </c>
      <c r="F281" s="65">
        <v>744</v>
      </c>
      <c r="G281" s="65">
        <v>744</v>
      </c>
      <c r="H281" s="66">
        <v>1</v>
      </c>
      <c r="I281" s="66">
        <v>1</v>
      </c>
      <c r="J281" s="65"/>
    </row>
    <row r="282" customHeight="1" spans="1:10">
      <c r="A282" s="65"/>
      <c r="B282" s="65"/>
      <c r="C282" s="65" t="s">
        <v>206</v>
      </c>
      <c r="D282" s="65">
        <v>31</v>
      </c>
      <c r="E282" s="65">
        <v>24</v>
      </c>
      <c r="F282" s="65">
        <v>744</v>
      </c>
      <c r="G282" s="65">
        <v>744</v>
      </c>
      <c r="H282" s="66">
        <v>1</v>
      </c>
      <c r="I282" s="66">
        <v>1</v>
      </c>
      <c r="J282" s="65"/>
    </row>
    <row r="283" customHeight="1" spans="1:10">
      <c r="A283" s="65"/>
      <c r="B283" s="65"/>
      <c r="C283" s="65" t="s">
        <v>207</v>
      </c>
      <c r="D283" s="65">
        <v>31</v>
      </c>
      <c r="E283" s="65">
        <v>24</v>
      </c>
      <c r="F283" s="65">
        <v>744</v>
      </c>
      <c r="G283" s="65">
        <v>744</v>
      </c>
      <c r="H283" s="66">
        <v>1</v>
      </c>
      <c r="I283" s="66">
        <v>1</v>
      </c>
      <c r="J283" s="65"/>
    </row>
    <row r="284" customHeight="1" spans="1:10">
      <c r="A284" s="65"/>
      <c r="B284" s="65"/>
      <c r="C284" s="65" t="s">
        <v>208</v>
      </c>
      <c r="D284" s="65">
        <v>31</v>
      </c>
      <c r="E284" s="65">
        <v>24</v>
      </c>
      <c r="F284" s="65">
        <v>744</v>
      </c>
      <c r="G284" s="65">
        <v>744</v>
      </c>
      <c r="H284" s="66">
        <v>1</v>
      </c>
      <c r="I284" s="66">
        <v>1</v>
      </c>
      <c r="J284" s="65" t="s">
        <v>259</v>
      </c>
    </row>
    <row r="285" customHeight="1" spans="1:10">
      <c r="A285" s="65"/>
      <c r="B285" s="65" t="s">
        <v>260</v>
      </c>
      <c r="C285" s="65" t="s">
        <v>179</v>
      </c>
      <c r="D285" s="65">
        <v>31</v>
      </c>
      <c r="E285" s="65">
        <v>24</v>
      </c>
      <c r="F285" s="65">
        <v>744</v>
      </c>
      <c r="G285" s="65">
        <v>48.1</v>
      </c>
      <c r="H285" s="66">
        <v>0.0646505376344086</v>
      </c>
      <c r="I285" s="66">
        <v>1</v>
      </c>
      <c r="J285" s="65" t="s">
        <v>253</v>
      </c>
    </row>
    <row r="286" customHeight="1" spans="1:10">
      <c r="A286" s="65"/>
      <c r="B286" s="65"/>
      <c r="C286" s="65" t="s">
        <v>180</v>
      </c>
      <c r="D286" s="65">
        <v>31</v>
      </c>
      <c r="E286" s="65">
        <v>24</v>
      </c>
      <c r="F286" s="65">
        <v>744</v>
      </c>
      <c r="G286" s="65">
        <v>0</v>
      </c>
      <c r="H286" s="66">
        <v>0</v>
      </c>
      <c r="I286" s="66">
        <v>1</v>
      </c>
      <c r="J286" s="65" t="s">
        <v>253</v>
      </c>
    </row>
    <row r="287" customHeight="1" spans="1:10">
      <c r="A287" s="65"/>
      <c r="B287" s="65"/>
      <c r="C287" s="65" t="s">
        <v>185</v>
      </c>
      <c r="D287" s="65">
        <v>31</v>
      </c>
      <c r="E287" s="65">
        <v>24</v>
      </c>
      <c r="F287" s="65">
        <v>744</v>
      </c>
      <c r="G287" s="65">
        <v>46.1</v>
      </c>
      <c r="H287" s="66">
        <v>0.0619623655913979</v>
      </c>
      <c r="I287" s="66">
        <v>1</v>
      </c>
      <c r="J287" s="65" t="s">
        <v>253</v>
      </c>
    </row>
    <row r="288" customHeight="1" spans="1:10">
      <c r="A288" s="65"/>
      <c r="B288" s="65" t="s">
        <v>261</v>
      </c>
      <c r="C288" s="65" t="s">
        <v>179</v>
      </c>
      <c r="D288" s="65">
        <v>31</v>
      </c>
      <c r="E288" s="65">
        <v>24</v>
      </c>
      <c r="F288" s="65">
        <v>744</v>
      </c>
      <c r="G288" s="65">
        <v>36.5</v>
      </c>
      <c r="H288" s="66">
        <v>0.0490591397849462</v>
      </c>
      <c r="I288" s="66">
        <v>1</v>
      </c>
      <c r="J288" s="65" t="s">
        <v>253</v>
      </c>
    </row>
    <row r="289" customHeight="1" spans="1:10">
      <c r="A289" s="65"/>
      <c r="B289" s="65"/>
      <c r="C289" s="65" t="s">
        <v>180</v>
      </c>
      <c r="D289" s="65">
        <v>31</v>
      </c>
      <c r="E289" s="65">
        <v>24</v>
      </c>
      <c r="F289" s="65">
        <v>744</v>
      </c>
      <c r="G289" s="65">
        <v>34.4</v>
      </c>
      <c r="H289" s="66">
        <v>0.0462365591397849</v>
      </c>
      <c r="I289" s="66">
        <v>1</v>
      </c>
      <c r="J289" s="65" t="s">
        <v>262</v>
      </c>
    </row>
    <row r="290" customHeight="1" spans="1:10">
      <c r="A290" s="65"/>
      <c r="B290" s="65"/>
      <c r="C290" s="65" t="s">
        <v>185</v>
      </c>
      <c r="D290" s="65">
        <v>31</v>
      </c>
      <c r="E290" s="65">
        <v>24</v>
      </c>
      <c r="F290" s="65">
        <v>744</v>
      </c>
      <c r="G290" s="65">
        <v>34.6</v>
      </c>
      <c r="H290" s="66">
        <v>0.046505376344086</v>
      </c>
      <c r="I290" s="66">
        <v>1</v>
      </c>
      <c r="J290" s="65" t="s">
        <v>253</v>
      </c>
    </row>
    <row r="291" ht="17" customHeight="1" spans="1:10">
      <c r="A291" s="64" t="s">
        <v>263</v>
      </c>
      <c r="B291" s="80" t="s">
        <v>264</v>
      </c>
      <c r="C291" s="65" t="s">
        <v>179</v>
      </c>
      <c r="D291" s="65">
        <v>31</v>
      </c>
      <c r="E291" s="65">
        <v>24</v>
      </c>
      <c r="F291" s="65">
        <v>744</v>
      </c>
      <c r="G291" s="65">
        <v>734</v>
      </c>
      <c r="H291" s="66">
        <v>0.986559139784946</v>
      </c>
      <c r="I291" s="66">
        <v>1</v>
      </c>
      <c r="J291" s="65"/>
    </row>
    <row r="292" customHeight="1" spans="1:10">
      <c r="A292" s="65"/>
      <c r="B292" s="82"/>
      <c r="C292" s="65" t="s">
        <v>180</v>
      </c>
      <c r="D292" s="65">
        <v>31</v>
      </c>
      <c r="E292" s="65">
        <v>24</v>
      </c>
      <c r="F292" s="65">
        <v>744</v>
      </c>
      <c r="G292" s="65">
        <v>616</v>
      </c>
      <c r="H292" s="66">
        <v>0.827956989247312</v>
      </c>
      <c r="I292" s="66">
        <v>1</v>
      </c>
      <c r="J292" s="65"/>
    </row>
    <row r="293" customHeight="1" spans="1:10">
      <c r="A293" s="65"/>
      <c r="B293" s="82"/>
      <c r="C293" s="65" t="s">
        <v>185</v>
      </c>
      <c r="D293" s="65">
        <v>31</v>
      </c>
      <c r="E293" s="65">
        <v>24</v>
      </c>
      <c r="F293" s="65">
        <v>744</v>
      </c>
      <c r="G293" s="65">
        <v>734</v>
      </c>
      <c r="H293" s="66">
        <v>0.986559139784946</v>
      </c>
      <c r="I293" s="66">
        <v>1</v>
      </c>
      <c r="J293" s="65"/>
    </row>
    <row r="294" customHeight="1" spans="1:10">
      <c r="A294" s="65"/>
      <c r="B294" s="82"/>
      <c r="C294" s="65" t="s">
        <v>186</v>
      </c>
      <c r="D294" s="65">
        <v>31</v>
      </c>
      <c r="E294" s="65">
        <v>24</v>
      </c>
      <c r="F294" s="65">
        <v>744</v>
      </c>
      <c r="G294" s="65">
        <v>734</v>
      </c>
      <c r="H294" s="66">
        <v>0.986559139784946</v>
      </c>
      <c r="I294" s="66">
        <v>1</v>
      </c>
      <c r="J294" s="65" t="s">
        <v>265</v>
      </c>
    </row>
    <row r="295" customHeight="1" spans="1:10">
      <c r="A295" s="65"/>
      <c r="B295" s="82"/>
      <c r="C295" s="65" t="s">
        <v>187</v>
      </c>
      <c r="D295" s="65">
        <v>31</v>
      </c>
      <c r="E295" s="65">
        <v>24</v>
      </c>
      <c r="F295" s="65">
        <v>744</v>
      </c>
      <c r="G295" s="65">
        <v>734</v>
      </c>
      <c r="H295" s="66">
        <v>0.986559139784946</v>
      </c>
      <c r="I295" s="66">
        <v>1</v>
      </c>
      <c r="J295" s="65"/>
    </row>
    <row r="296" customHeight="1" spans="1:10">
      <c r="A296" s="65"/>
      <c r="B296" s="82"/>
      <c r="C296" s="65" t="s">
        <v>191</v>
      </c>
      <c r="D296" s="65">
        <v>31</v>
      </c>
      <c r="E296" s="65">
        <v>24</v>
      </c>
      <c r="F296" s="65">
        <v>744</v>
      </c>
      <c r="G296" s="65">
        <v>0</v>
      </c>
      <c r="H296" s="66">
        <v>0</v>
      </c>
      <c r="I296" s="66">
        <v>1</v>
      </c>
      <c r="J296" s="65"/>
    </row>
    <row r="297" customHeight="1" spans="1:10">
      <c r="A297" s="65"/>
      <c r="B297" s="82"/>
      <c r="C297" s="65" t="s">
        <v>199</v>
      </c>
      <c r="D297" s="65">
        <v>31</v>
      </c>
      <c r="E297" s="65">
        <v>24</v>
      </c>
      <c r="F297" s="65">
        <v>744</v>
      </c>
      <c r="G297" s="65">
        <v>198</v>
      </c>
      <c r="H297" s="66">
        <v>0.266129032258065</v>
      </c>
      <c r="I297" s="66">
        <v>1</v>
      </c>
      <c r="J297" s="65"/>
    </row>
    <row r="298" customHeight="1" spans="1:10">
      <c r="A298" s="65"/>
      <c r="B298" s="84"/>
      <c r="C298" s="65" t="s">
        <v>200</v>
      </c>
      <c r="D298" s="65">
        <v>31</v>
      </c>
      <c r="E298" s="65">
        <v>24</v>
      </c>
      <c r="F298" s="65">
        <v>744</v>
      </c>
      <c r="G298" s="65">
        <v>122</v>
      </c>
      <c r="H298" s="66">
        <v>0.163978494623656</v>
      </c>
      <c r="I298" s="66">
        <v>1</v>
      </c>
      <c r="J298" s="65"/>
    </row>
    <row r="299" customHeight="1" spans="1:10">
      <c r="A299" s="65"/>
      <c r="B299" s="80" t="s">
        <v>266</v>
      </c>
      <c r="C299" s="65" t="s">
        <v>201</v>
      </c>
      <c r="D299" s="65">
        <v>31</v>
      </c>
      <c r="E299" s="65">
        <v>24</v>
      </c>
      <c r="F299" s="65">
        <v>744</v>
      </c>
      <c r="G299" s="65">
        <v>54</v>
      </c>
      <c r="H299" s="66">
        <v>0.0725806451612903</v>
      </c>
      <c r="I299" s="66">
        <v>1</v>
      </c>
      <c r="J299" s="65"/>
    </row>
    <row r="300" customHeight="1" spans="1:10">
      <c r="A300" s="65"/>
      <c r="B300" s="82"/>
      <c r="C300" s="65" t="s">
        <v>202</v>
      </c>
      <c r="D300" s="65">
        <v>31</v>
      </c>
      <c r="E300" s="65">
        <v>24</v>
      </c>
      <c r="F300" s="65">
        <v>744</v>
      </c>
      <c r="G300" s="65">
        <v>80</v>
      </c>
      <c r="H300" s="66">
        <v>0.10752688172043</v>
      </c>
      <c r="I300" s="66">
        <v>1</v>
      </c>
      <c r="J300" s="65"/>
    </row>
    <row r="301" customHeight="1" spans="1:10">
      <c r="A301" s="65"/>
      <c r="B301" s="82"/>
      <c r="C301" s="65" t="s">
        <v>203</v>
      </c>
      <c r="D301" s="65">
        <v>31</v>
      </c>
      <c r="E301" s="65">
        <v>24</v>
      </c>
      <c r="F301" s="65">
        <v>744</v>
      </c>
      <c r="G301" s="65">
        <v>6</v>
      </c>
      <c r="H301" s="66">
        <v>0.00806451612903226</v>
      </c>
      <c r="I301" s="66">
        <v>1</v>
      </c>
      <c r="J301" s="65" t="s">
        <v>267</v>
      </c>
    </row>
    <row r="302" customHeight="1" spans="1:10">
      <c r="A302" s="65"/>
      <c r="B302" s="82"/>
      <c r="C302" s="65" t="s">
        <v>204</v>
      </c>
      <c r="D302" s="65">
        <v>31</v>
      </c>
      <c r="E302" s="65">
        <v>24</v>
      </c>
      <c r="F302" s="65">
        <v>744</v>
      </c>
      <c r="G302" s="65">
        <v>714</v>
      </c>
      <c r="H302" s="66">
        <v>0.959677419354839</v>
      </c>
      <c r="I302" s="66">
        <v>1</v>
      </c>
      <c r="J302" s="65"/>
    </row>
    <row r="303" customHeight="1" spans="1:10">
      <c r="A303" s="65"/>
      <c r="B303" s="5" t="s">
        <v>268</v>
      </c>
      <c r="C303" s="65" t="s">
        <v>179</v>
      </c>
      <c r="D303" s="65">
        <v>31</v>
      </c>
      <c r="E303" s="65">
        <v>24</v>
      </c>
      <c r="F303" s="65">
        <v>744</v>
      </c>
      <c r="G303" s="65">
        <v>306</v>
      </c>
      <c r="H303" s="66">
        <v>0.411290322580645</v>
      </c>
      <c r="I303" s="66">
        <v>1</v>
      </c>
      <c r="J303" s="65"/>
    </row>
    <row r="304" customHeight="1" spans="1:10">
      <c r="A304" s="65"/>
      <c r="B304" s="5"/>
      <c r="C304" s="65" t="s">
        <v>180</v>
      </c>
      <c r="D304" s="65">
        <v>31</v>
      </c>
      <c r="E304" s="65">
        <v>24</v>
      </c>
      <c r="F304" s="65">
        <v>744</v>
      </c>
      <c r="G304" s="65">
        <v>430</v>
      </c>
      <c r="H304" s="66">
        <v>0.577956989247312</v>
      </c>
      <c r="I304" s="66">
        <v>1</v>
      </c>
      <c r="J304" s="65"/>
    </row>
    <row r="305" customHeight="1" spans="1:10">
      <c r="A305" s="65"/>
      <c r="B305" s="5"/>
      <c r="C305" s="65" t="s">
        <v>185</v>
      </c>
      <c r="D305" s="65">
        <v>31</v>
      </c>
      <c r="E305" s="65">
        <v>24</v>
      </c>
      <c r="F305" s="65">
        <v>744</v>
      </c>
      <c r="G305" s="65">
        <v>0</v>
      </c>
      <c r="H305" s="66">
        <v>0</v>
      </c>
      <c r="I305" s="66">
        <v>1</v>
      </c>
      <c r="J305" s="65"/>
    </row>
    <row r="306" customHeight="1" spans="1:10">
      <c r="A306" s="64" t="s">
        <v>269</v>
      </c>
      <c r="B306" s="65" t="s">
        <v>270</v>
      </c>
      <c r="C306" s="65" t="s">
        <v>179</v>
      </c>
      <c r="D306" s="65">
        <v>31</v>
      </c>
      <c r="E306" s="65">
        <v>24</v>
      </c>
      <c r="F306" s="65">
        <v>744</v>
      </c>
      <c r="G306" s="65">
        <v>72</v>
      </c>
      <c r="H306" s="66">
        <v>0.0967741935483871</v>
      </c>
      <c r="I306" s="66">
        <v>1</v>
      </c>
      <c r="J306" s="65" t="s">
        <v>271</v>
      </c>
    </row>
    <row r="307" customHeight="1" spans="1:10">
      <c r="A307" s="65"/>
      <c r="B307" s="65"/>
      <c r="C307" s="65" t="s">
        <v>180</v>
      </c>
      <c r="D307" s="65">
        <v>31</v>
      </c>
      <c r="E307" s="65">
        <v>24</v>
      </c>
      <c r="F307" s="65">
        <v>744</v>
      </c>
      <c r="G307" s="65">
        <v>736</v>
      </c>
      <c r="H307" s="66">
        <v>0.989247311827957</v>
      </c>
      <c r="I307" s="66">
        <v>1</v>
      </c>
      <c r="J307" s="65"/>
    </row>
    <row r="308" customHeight="1" spans="1:10">
      <c r="A308" s="65"/>
      <c r="B308" s="65" t="s">
        <v>272</v>
      </c>
      <c r="C308" s="65" t="s">
        <v>179</v>
      </c>
      <c r="D308" s="65">
        <v>31</v>
      </c>
      <c r="E308" s="65">
        <v>24</v>
      </c>
      <c r="F308" s="65">
        <v>744</v>
      </c>
      <c r="G308" s="65">
        <v>24</v>
      </c>
      <c r="H308" s="66">
        <v>0.032258064516129</v>
      </c>
      <c r="I308" s="66">
        <v>1</v>
      </c>
      <c r="J308" s="65"/>
    </row>
    <row r="309" customHeight="1" spans="1:10">
      <c r="A309" s="65"/>
      <c r="B309" s="65"/>
      <c r="C309" s="65" t="s">
        <v>180</v>
      </c>
      <c r="D309" s="65">
        <v>31</v>
      </c>
      <c r="E309" s="65">
        <v>24</v>
      </c>
      <c r="F309" s="65">
        <v>744</v>
      </c>
      <c r="G309" s="65">
        <v>530</v>
      </c>
      <c r="H309" s="66">
        <v>0.712365591397849</v>
      </c>
      <c r="I309" s="66">
        <v>1</v>
      </c>
      <c r="J309" s="65"/>
    </row>
    <row r="310" customHeight="1" spans="1:10">
      <c r="A310" s="65"/>
      <c r="B310" s="65"/>
      <c r="C310" s="65" t="s">
        <v>185</v>
      </c>
      <c r="D310" s="65">
        <v>31</v>
      </c>
      <c r="E310" s="65">
        <v>24</v>
      </c>
      <c r="F310" s="65">
        <v>744</v>
      </c>
      <c r="G310" s="65">
        <v>0</v>
      </c>
      <c r="H310" s="66">
        <v>0</v>
      </c>
      <c r="I310" s="66">
        <v>1</v>
      </c>
      <c r="J310" s="65"/>
    </row>
    <row r="311" ht="18" customHeight="1" spans="1:10">
      <c r="A311" s="65"/>
      <c r="B311" s="65" t="s">
        <v>273</v>
      </c>
      <c r="C311" s="65" t="s">
        <v>179</v>
      </c>
      <c r="D311" s="65">
        <v>31</v>
      </c>
      <c r="E311" s="65">
        <v>24</v>
      </c>
      <c r="F311" s="65">
        <v>744</v>
      </c>
      <c r="G311" s="65">
        <v>234</v>
      </c>
      <c r="H311" s="66">
        <v>0.314516129032258</v>
      </c>
      <c r="I311" s="66">
        <v>1</v>
      </c>
      <c r="J311" s="64" t="s">
        <v>253</v>
      </c>
    </row>
    <row r="312" ht="28" customHeight="1" spans="1:10">
      <c r="A312" s="65"/>
      <c r="B312" s="65"/>
      <c r="C312" s="65" t="s">
        <v>180</v>
      </c>
      <c r="D312" s="65">
        <v>31</v>
      </c>
      <c r="E312" s="65">
        <v>24</v>
      </c>
      <c r="F312" s="65">
        <v>744</v>
      </c>
      <c r="G312" s="65">
        <v>370</v>
      </c>
      <c r="H312" s="66">
        <v>0.497311827956989</v>
      </c>
      <c r="I312" s="66">
        <v>0.9</v>
      </c>
      <c r="J312" s="64" t="s">
        <v>274</v>
      </c>
    </row>
    <row r="313" ht="24" customHeight="1" spans="1:10">
      <c r="A313" s="67" t="s">
        <v>70</v>
      </c>
      <c r="B313" s="67"/>
      <c r="C313" s="15"/>
      <c r="D313" s="15"/>
      <c r="E313" s="68" t="s">
        <v>71</v>
      </c>
      <c r="F313" s="68"/>
      <c r="G313" s="69"/>
      <c r="H313" s="10" t="str">
        <f>H38</f>
        <v>制表时间：2023/2/6</v>
      </c>
      <c r="I313" s="10"/>
      <c r="J313" s="10"/>
    </row>
    <row r="314" ht="27" customHeight="1"/>
  </sheetData>
  <mergeCells count="145">
    <mergeCell ref="A1:J1"/>
    <mergeCell ref="A2:J2"/>
    <mergeCell ref="H38:J38"/>
    <mergeCell ref="A46:J46"/>
    <mergeCell ref="A47:J47"/>
    <mergeCell ref="H87:J87"/>
    <mergeCell ref="A91:J91"/>
    <mergeCell ref="A92:J92"/>
    <mergeCell ref="H133:J133"/>
    <mergeCell ref="A136:J136"/>
    <mergeCell ref="A137:J137"/>
    <mergeCell ref="H179:J179"/>
    <mergeCell ref="A181:J181"/>
    <mergeCell ref="A182:J182"/>
    <mergeCell ref="H223:J223"/>
    <mergeCell ref="A226:J226"/>
    <mergeCell ref="A227:J227"/>
    <mergeCell ref="H267:J267"/>
    <mergeCell ref="A269:J269"/>
    <mergeCell ref="A270:J270"/>
    <mergeCell ref="H313:J313"/>
    <mergeCell ref="A3:A5"/>
    <mergeCell ref="A6:A37"/>
    <mergeCell ref="A48:A50"/>
    <mergeCell ref="A51:A86"/>
    <mergeCell ref="A93:A95"/>
    <mergeCell ref="A96:A110"/>
    <mergeCell ref="A111:A132"/>
    <mergeCell ref="A138:A140"/>
    <mergeCell ref="A141:A160"/>
    <mergeCell ref="A161:A178"/>
    <mergeCell ref="A183:A185"/>
    <mergeCell ref="A186:A214"/>
    <mergeCell ref="A215:A222"/>
    <mergeCell ref="A228:A230"/>
    <mergeCell ref="A231:A266"/>
    <mergeCell ref="A271:A273"/>
    <mergeCell ref="A274:A290"/>
    <mergeCell ref="A291:A305"/>
    <mergeCell ref="A306:A312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3:B95"/>
    <mergeCell ref="B96:B97"/>
    <mergeCell ref="B98:B103"/>
    <mergeCell ref="B104:B106"/>
    <mergeCell ref="B107:B110"/>
    <mergeCell ref="B111:B132"/>
    <mergeCell ref="B138:B140"/>
    <mergeCell ref="B141:B146"/>
    <mergeCell ref="B147:B148"/>
    <mergeCell ref="B149:B151"/>
    <mergeCell ref="B152:B154"/>
    <mergeCell ref="B155:B160"/>
    <mergeCell ref="B161:B178"/>
    <mergeCell ref="B183:B185"/>
    <mergeCell ref="B186:B203"/>
    <mergeCell ref="B204:B205"/>
    <mergeCell ref="B206:B208"/>
    <mergeCell ref="B209:B214"/>
    <mergeCell ref="B215:B218"/>
    <mergeCell ref="B219:B222"/>
    <mergeCell ref="B228:B230"/>
    <mergeCell ref="B231:B234"/>
    <mergeCell ref="B235:B240"/>
    <mergeCell ref="B241:B244"/>
    <mergeCell ref="B245:B250"/>
    <mergeCell ref="B251:B258"/>
    <mergeCell ref="B259:B261"/>
    <mergeCell ref="B262:B266"/>
    <mergeCell ref="B271:B273"/>
    <mergeCell ref="B274:B276"/>
    <mergeCell ref="B277:B284"/>
    <mergeCell ref="B285:B287"/>
    <mergeCell ref="B288:B290"/>
    <mergeCell ref="B291:B298"/>
    <mergeCell ref="B299:B302"/>
    <mergeCell ref="B303:B305"/>
    <mergeCell ref="B306:B307"/>
    <mergeCell ref="B308:B310"/>
    <mergeCell ref="B311:B312"/>
    <mergeCell ref="C3:C5"/>
    <mergeCell ref="C48:C50"/>
    <mergeCell ref="C93:C95"/>
    <mergeCell ref="C138:C140"/>
    <mergeCell ref="C183:C185"/>
    <mergeCell ref="C228:C230"/>
    <mergeCell ref="C271:C273"/>
    <mergeCell ref="D3:D4"/>
    <mergeCell ref="D48:D49"/>
    <mergeCell ref="D93:D94"/>
    <mergeCell ref="D138:D139"/>
    <mergeCell ref="D183:D184"/>
    <mergeCell ref="D228:D229"/>
    <mergeCell ref="D271:D272"/>
    <mergeCell ref="E3:E4"/>
    <mergeCell ref="E48:E49"/>
    <mergeCell ref="E93:E94"/>
    <mergeCell ref="E138:E139"/>
    <mergeCell ref="E183:E184"/>
    <mergeCell ref="E228:E229"/>
    <mergeCell ref="E271:E272"/>
    <mergeCell ref="F3:F4"/>
    <mergeCell ref="F48:F49"/>
    <mergeCell ref="F93:F94"/>
    <mergeCell ref="F138:F139"/>
    <mergeCell ref="F183:F184"/>
    <mergeCell ref="F228:F229"/>
    <mergeCell ref="F271:F272"/>
    <mergeCell ref="G3:G4"/>
    <mergeCell ref="G48:G49"/>
    <mergeCell ref="G93:G94"/>
    <mergeCell ref="G138:G139"/>
    <mergeCell ref="G183:G184"/>
    <mergeCell ref="G228:G229"/>
    <mergeCell ref="G271:G272"/>
    <mergeCell ref="H3:H4"/>
    <mergeCell ref="H48:H49"/>
    <mergeCell ref="H93:H94"/>
    <mergeCell ref="H138:H139"/>
    <mergeCell ref="H183:H184"/>
    <mergeCell ref="H228:H229"/>
    <mergeCell ref="H271:H272"/>
    <mergeCell ref="I3:I4"/>
    <mergeCell ref="I48:I49"/>
    <mergeCell ref="I93:I94"/>
    <mergeCell ref="I138:I139"/>
    <mergeCell ref="I183:I184"/>
    <mergeCell ref="I228:I229"/>
    <mergeCell ref="I271:I272"/>
    <mergeCell ref="J3:J5"/>
    <mergeCell ref="J48:J50"/>
    <mergeCell ref="J93:J95"/>
    <mergeCell ref="J138:J140"/>
    <mergeCell ref="J183:J185"/>
    <mergeCell ref="J228:J230"/>
    <mergeCell ref="J271:J273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I9" sqref="I9"/>
    </sheetView>
  </sheetViews>
  <sheetFormatPr defaultColWidth="8.75" defaultRowHeight="14.25"/>
  <cols>
    <col min="1" max="1" width="17" style="27" customWidth="1"/>
    <col min="2" max="2" width="15.75" style="27" customWidth="1"/>
    <col min="3" max="3" width="17.875" style="27" customWidth="1"/>
    <col min="4" max="4" width="19.875" style="27" customWidth="1"/>
    <col min="5" max="5" width="14.75" style="27" customWidth="1"/>
    <col min="6" max="7" width="17.875" style="27" customWidth="1"/>
    <col min="8" max="32" width="9" style="27"/>
    <col min="33" max="16384" width="8.75" style="27"/>
  </cols>
  <sheetData>
    <row r="1" ht="25.5" spans="1:9">
      <c r="A1" s="28" t="s">
        <v>75</v>
      </c>
      <c r="B1" s="29"/>
      <c r="C1" s="29"/>
      <c r="D1" s="29"/>
      <c r="E1" s="29"/>
      <c r="F1" s="29"/>
      <c r="G1" s="29"/>
      <c r="H1" s="30"/>
      <c r="I1" s="30"/>
    </row>
    <row r="2" spans="3:6">
      <c r="C2" s="31"/>
      <c r="D2" s="32">
        <v>44927</v>
      </c>
      <c r="E2" s="33"/>
      <c r="F2" s="31"/>
    </row>
    <row r="3" ht="20.25" customHeight="1" spans="1:7">
      <c r="A3" s="34" t="s">
        <v>275</v>
      </c>
      <c r="B3" s="34" t="s">
        <v>165</v>
      </c>
      <c r="C3" s="34" t="s">
        <v>276</v>
      </c>
      <c r="D3" s="34" t="s">
        <v>277</v>
      </c>
      <c r="E3" s="34" t="s">
        <v>278</v>
      </c>
      <c r="F3" s="34" t="s">
        <v>279</v>
      </c>
      <c r="G3" s="35" t="s">
        <v>130</v>
      </c>
    </row>
    <row r="4" ht="22.5" spans="1:8">
      <c r="A4" s="36" t="s">
        <v>280</v>
      </c>
      <c r="B4" s="37" t="s">
        <v>281</v>
      </c>
      <c r="C4" s="37" t="s">
        <v>282</v>
      </c>
      <c r="D4" s="34" t="s">
        <v>283</v>
      </c>
      <c r="E4" s="34" t="s">
        <v>284</v>
      </c>
      <c r="F4" s="38" t="s">
        <v>285</v>
      </c>
      <c r="G4" s="39" t="s">
        <v>286</v>
      </c>
      <c r="H4" s="40"/>
    </row>
    <row r="5" ht="22.5" spans="1:7">
      <c r="A5" s="41"/>
      <c r="B5" s="37" t="s">
        <v>287</v>
      </c>
      <c r="C5" s="37" t="s">
        <v>282</v>
      </c>
      <c r="D5" s="34" t="s">
        <v>283</v>
      </c>
      <c r="E5" s="34" t="s">
        <v>284</v>
      </c>
      <c r="F5" s="34" t="s">
        <v>285</v>
      </c>
      <c r="G5" s="39" t="str">
        <f>G4</f>
        <v>2023-01-02 2023-01-09 2023-01-16 2023-01-30</v>
      </c>
    </row>
    <row r="6" ht="22.5" spans="1:7">
      <c r="A6" s="41"/>
      <c r="B6" s="37" t="s">
        <v>288</v>
      </c>
      <c r="C6" s="37" t="s">
        <v>282</v>
      </c>
      <c r="D6" s="34" t="s">
        <v>283</v>
      </c>
      <c r="E6" s="34" t="s">
        <v>284</v>
      </c>
      <c r="F6" s="34" t="s">
        <v>285</v>
      </c>
      <c r="G6" s="39" t="str">
        <f t="shared" ref="G6:G20" si="0">G5</f>
        <v>2023-01-02 2023-01-09 2023-01-16 2023-01-30</v>
      </c>
    </row>
    <row r="7" ht="22.5" spans="1:7">
      <c r="A7" s="42"/>
      <c r="B7" s="37" t="s">
        <v>289</v>
      </c>
      <c r="C7" s="37" t="s">
        <v>282</v>
      </c>
      <c r="D7" s="34" t="s">
        <v>283</v>
      </c>
      <c r="E7" s="34" t="s">
        <v>284</v>
      </c>
      <c r="F7" s="34" t="s">
        <v>285</v>
      </c>
      <c r="G7" s="39" t="str">
        <f t="shared" si="0"/>
        <v>2023-01-02 2023-01-09 2023-01-16 2023-01-30</v>
      </c>
    </row>
    <row r="8" ht="22.5" spans="1:7">
      <c r="A8" s="36" t="s">
        <v>290</v>
      </c>
      <c r="B8" s="37" t="s">
        <v>281</v>
      </c>
      <c r="C8" s="37" t="s">
        <v>291</v>
      </c>
      <c r="D8" s="34" t="s">
        <v>283</v>
      </c>
      <c r="E8" s="34" t="s">
        <v>284</v>
      </c>
      <c r="F8" s="34" t="s">
        <v>285</v>
      </c>
      <c r="G8" s="39" t="str">
        <f t="shared" si="0"/>
        <v>2023-01-02 2023-01-09 2023-01-16 2023-01-30</v>
      </c>
    </row>
    <row r="9" ht="22.5" spans="1:7">
      <c r="A9" s="41"/>
      <c r="B9" s="37" t="s">
        <v>287</v>
      </c>
      <c r="C9" s="37" t="s">
        <v>291</v>
      </c>
      <c r="D9" s="34" t="s">
        <v>283</v>
      </c>
      <c r="E9" s="34" t="s">
        <v>284</v>
      </c>
      <c r="F9" s="34" t="s">
        <v>285</v>
      </c>
      <c r="G9" s="39" t="str">
        <f t="shared" si="0"/>
        <v>2023-01-02 2023-01-09 2023-01-16 2023-01-30</v>
      </c>
    </row>
    <row r="10" ht="22.5" spans="1:7">
      <c r="A10" s="41"/>
      <c r="B10" s="37" t="s">
        <v>288</v>
      </c>
      <c r="C10" s="37" t="s">
        <v>291</v>
      </c>
      <c r="D10" s="34" t="s">
        <v>283</v>
      </c>
      <c r="E10" s="34" t="s">
        <v>284</v>
      </c>
      <c r="F10" s="34" t="s">
        <v>285</v>
      </c>
      <c r="G10" s="39" t="str">
        <f t="shared" si="0"/>
        <v>2023-01-02 2023-01-09 2023-01-16 2023-01-30</v>
      </c>
    </row>
    <row r="11" ht="22.5" spans="1:7">
      <c r="A11" s="42"/>
      <c r="B11" s="37" t="s">
        <v>289</v>
      </c>
      <c r="C11" s="37" t="s">
        <v>291</v>
      </c>
      <c r="D11" s="34" t="s">
        <v>283</v>
      </c>
      <c r="E11" s="34" t="s">
        <v>284</v>
      </c>
      <c r="F11" s="34" t="s">
        <v>285</v>
      </c>
      <c r="G11" s="39" t="str">
        <f t="shared" si="0"/>
        <v>2023-01-02 2023-01-09 2023-01-16 2023-01-30</v>
      </c>
    </row>
    <row r="12" ht="24" customHeight="1" spans="1:7">
      <c r="A12" s="37" t="s">
        <v>292</v>
      </c>
      <c r="B12" s="37" t="s">
        <v>179</v>
      </c>
      <c r="C12" s="34" t="s">
        <v>293</v>
      </c>
      <c r="D12" s="34" t="s">
        <v>294</v>
      </c>
      <c r="E12" s="34" t="s">
        <v>284</v>
      </c>
      <c r="F12" s="34" t="s">
        <v>295</v>
      </c>
      <c r="G12" s="39" t="str">
        <f t="shared" si="0"/>
        <v>2023-01-02 2023-01-09 2023-01-16 2023-01-30</v>
      </c>
    </row>
    <row r="13" ht="22.5" spans="1:7">
      <c r="A13" s="36" t="s">
        <v>296</v>
      </c>
      <c r="B13" s="37" t="s">
        <v>281</v>
      </c>
      <c r="C13" s="34" t="s">
        <v>297</v>
      </c>
      <c r="D13" s="34" t="s">
        <v>298</v>
      </c>
      <c r="E13" s="34" t="s">
        <v>284</v>
      </c>
      <c r="F13" s="34" t="s">
        <v>285</v>
      </c>
      <c r="G13" s="39" t="str">
        <f t="shared" si="0"/>
        <v>2023-01-02 2023-01-09 2023-01-16 2023-01-30</v>
      </c>
    </row>
    <row r="14" ht="22.5" spans="1:7">
      <c r="A14" s="41"/>
      <c r="B14" s="37" t="s">
        <v>287</v>
      </c>
      <c r="C14" s="34" t="s">
        <v>297</v>
      </c>
      <c r="D14" s="34" t="s">
        <v>298</v>
      </c>
      <c r="E14" s="34" t="s">
        <v>284</v>
      </c>
      <c r="F14" s="34" t="s">
        <v>285</v>
      </c>
      <c r="G14" s="39" t="str">
        <f t="shared" si="0"/>
        <v>2023-01-02 2023-01-09 2023-01-16 2023-01-30</v>
      </c>
    </row>
    <row r="15" ht="22.5" spans="1:7">
      <c r="A15" s="41"/>
      <c r="B15" s="37" t="s">
        <v>288</v>
      </c>
      <c r="C15" s="34" t="s">
        <v>297</v>
      </c>
      <c r="D15" s="34" t="s">
        <v>298</v>
      </c>
      <c r="E15" s="34" t="s">
        <v>284</v>
      </c>
      <c r="F15" s="34" t="s">
        <v>285</v>
      </c>
      <c r="G15" s="39" t="str">
        <f t="shared" si="0"/>
        <v>2023-01-02 2023-01-09 2023-01-16 2023-01-30</v>
      </c>
    </row>
    <row r="16" ht="22.5" spans="1:7">
      <c r="A16" s="42"/>
      <c r="B16" s="37" t="s">
        <v>289</v>
      </c>
      <c r="C16" s="34" t="s">
        <v>297</v>
      </c>
      <c r="D16" s="34" t="s">
        <v>298</v>
      </c>
      <c r="E16" s="34" t="s">
        <v>284</v>
      </c>
      <c r="F16" s="34" t="s">
        <v>285</v>
      </c>
      <c r="G16" s="39" t="str">
        <f t="shared" si="0"/>
        <v>2023-01-02 2023-01-09 2023-01-16 2023-01-30</v>
      </c>
    </row>
    <row r="17" ht="22.5" spans="1:7">
      <c r="A17" s="34" t="s">
        <v>299</v>
      </c>
      <c r="B17" s="37" t="s">
        <v>281</v>
      </c>
      <c r="C17" s="34" t="s">
        <v>300</v>
      </c>
      <c r="D17" s="34" t="s">
        <v>298</v>
      </c>
      <c r="E17" s="34" t="s">
        <v>284</v>
      </c>
      <c r="F17" s="34" t="s">
        <v>285</v>
      </c>
      <c r="G17" s="39" t="str">
        <f t="shared" si="0"/>
        <v>2023-01-02 2023-01-09 2023-01-16 2023-01-30</v>
      </c>
    </row>
    <row r="18" ht="22.5" spans="1:7">
      <c r="A18" s="34"/>
      <c r="B18" s="37" t="s">
        <v>287</v>
      </c>
      <c r="C18" s="37" t="s">
        <v>291</v>
      </c>
      <c r="D18" s="34" t="s">
        <v>298</v>
      </c>
      <c r="E18" s="34" t="s">
        <v>284</v>
      </c>
      <c r="F18" s="34" t="s">
        <v>285</v>
      </c>
      <c r="G18" s="39" t="str">
        <f t="shared" si="0"/>
        <v>2023-01-02 2023-01-09 2023-01-16 2023-01-30</v>
      </c>
    </row>
    <row r="19" ht="22.5" spans="1:7">
      <c r="A19" s="34"/>
      <c r="B19" s="37" t="s">
        <v>288</v>
      </c>
      <c r="C19" s="34" t="s">
        <v>300</v>
      </c>
      <c r="D19" s="34" t="s">
        <v>298</v>
      </c>
      <c r="E19" s="34" t="s">
        <v>284</v>
      </c>
      <c r="F19" s="34" t="s">
        <v>285</v>
      </c>
      <c r="G19" s="39" t="str">
        <f t="shared" si="0"/>
        <v>2023-01-02 2023-01-09 2023-01-16 2023-01-30</v>
      </c>
    </row>
    <row r="20" ht="22.5" spans="1:7">
      <c r="A20" s="34"/>
      <c r="B20" s="37" t="s">
        <v>289</v>
      </c>
      <c r="C20" s="37" t="s">
        <v>291</v>
      </c>
      <c r="D20" s="34" t="s">
        <v>298</v>
      </c>
      <c r="E20" s="34" t="s">
        <v>284</v>
      </c>
      <c r="F20" s="34" t="s">
        <v>285</v>
      </c>
      <c r="G20" s="39" t="str">
        <f t="shared" si="0"/>
        <v>2023-01-02 2023-01-09 2023-01-16 2023-01-30</v>
      </c>
    </row>
    <row r="21" ht="20.25" customHeight="1" spans="1:7">
      <c r="A21" s="43" t="s">
        <v>70</v>
      </c>
      <c r="B21" s="43"/>
      <c r="C21" s="43"/>
      <c r="D21" s="43" t="s">
        <v>71</v>
      </c>
      <c r="E21" s="43"/>
      <c r="F21" s="43" t="s">
        <v>301</v>
      </c>
      <c r="G21" s="43"/>
    </row>
    <row r="22" ht="20.25" customHeight="1" spans="1:7">
      <c r="A22" s="44"/>
      <c r="B22" s="44"/>
      <c r="C22" s="44"/>
      <c r="D22" s="44"/>
      <c r="E22" s="44"/>
      <c r="F22" s="44"/>
      <c r="G22" s="44"/>
    </row>
    <row r="23" spans="1:7">
      <c r="A23" s="45"/>
      <c r="B23" s="46"/>
      <c r="C23" s="45"/>
      <c r="D23" s="45"/>
      <c r="E23" s="46"/>
      <c r="F23" s="45"/>
      <c r="G23" s="46"/>
    </row>
    <row r="24" spans="1:7">
      <c r="A24" s="47"/>
      <c r="B24" s="48"/>
      <c r="C24" s="47"/>
      <c r="D24" s="47"/>
      <c r="E24" s="48"/>
      <c r="F24" s="47"/>
      <c r="G24" s="48"/>
    </row>
    <row r="25" ht="21" customHeight="1" spans="1:7">
      <c r="A25" s="28" t="s">
        <v>75</v>
      </c>
      <c r="B25" s="29"/>
      <c r="C25" s="29"/>
      <c r="D25" s="29"/>
      <c r="E25" s="29"/>
      <c r="F25" s="29"/>
      <c r="G25" s="29"/>
    </row>
    <row r="26" spans="3:6">
      <c r="C26" s="31"/>
      <c r="D26" s="49">
        <f>D2</f>
        <v>44927</v>
      </c>
      <c r="E26" s="50"/>
      <c r="F26" s="31"/>
    </row>
    <row r="27" ht="18.75" customHeight="1" spans="1:7">
      <c r="A27" s="34" t="s">
        <v>275</v>
      </c>
      <c r="B27" s="34" t="s">
        <v>165</v>
      </c>
      <c r="C27" s="34" t="s">
        <v>276</v>
      </c>
      <c r="D27" s="34" t="s">
        <v>277</v>
      </c>
      <c r="E27" s="34" t="s">
        <v>278</v>
      </c>
      <c r="F27" s="34" t="s">
        <v>279</v>
      </c>
      <c r="G27" s="34" t="s">
        <v>130</v>
      </c>
    </row>
    <row r="28" ht="19.5" customHeight="1" spans="1:7">
      <c r="A28" s="34" t="s">
        <v>302</v>
      </c>
      <c r="B28" s="51" t="s">
        <v>281</v>
      </c>
      <c r="C28" s="51" t="s">
        <v>291</v>
      </c>
      <c r="D28" s="34" t="s">
        <v>283</v>
      </c>
      <c r="E28" s="37" t="s">
        <v>284</v>
      </c>
      <c r="F28" s="34" t="s">
        <v>295</v>
      </c>
      <c r="G28" s="52">
        <v>44937</v>
      </c>
    </row>
    <row r="29" ht="19.5" customHeight="1" spans="1:7">
      <c r="A29" s="34"/>
      <c r="B29" s="51" t="s">
        <v>289</v>
      </c>
      <c r="C29" s="51" t="s">
        <v>291</v>
      </c>
      <c r="D29" s="34" t="s">
        <v>283</v>
      </c>
      <c r="E29" s="37" t="s">
        <v>284</v>
      </c>
      <c r="F29" s="34" t="s">
        <v>295</v>
      </c>
      <c r="G29" s="52">
        <f>G28</f>
        <v>44937</v>
      </c>
    </row>
    <row r="30" ht="19.5" customHeight="1" spans="1:7">
      <c r="A30" s="34" t="s">
        <v>303</v>
      </c>
      <c r="B30" s="51" t="s">
        <v>281</v>
      </c>
      <c r="C30" s="37" t="s">
        <v>293</v>
      </c>
      <c r="D30" s="34" t="s">
        <v>298</v>
      </c>
      <c r="E30" s="37" t="s">
        <v>284</v>
      </c>
      <c r="F30" s="34" t="s">
        <v>295</v>
      </c>
      <c r="G30" s="52">
        <f>G29</f>
        <v>44937</v>
      </c>
    </row>
    <row r="31" ht="19.5" customHeight="1" spans="1:7">
      <c r="A31" s="34"/>
      <c r="B31" s="51" t="s">
        <v>289</v>
      </c>
      <c r="C31" s="37" t="s">
        <v>293</v>
      </c>
      <c r="D31" s="34" t="s">
        <v>298</v>
      </c>
      <c r="E31" s="37" t="s">
        <v>284</v>
      </c>
      <c r="F31" s="34" t="s">
        <v>295</v>
      </c>
      <c r="G31" s="52">
        <f>G30</f>
        <v>44937</v>
      </c>
    </row>
    <row r="32" ht="20.25" customHeight="1" spans="1:7">
      <c r="A32" s="43" t="s">
        <v>70</v>
      </c>
      <c r="B32" s="43"/>
      <c r="C32" s="43"/>
      <c r="D32" s="43" t="s">
        <v>71</v>
      </c>
      <c r="E32" s="43"/>
      <c r="F32" s="43" t="str">
        <f>F21</f>
        <v>制表日期：2023/2/6</v>
      </c>
      <c r="G32" s="43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G18" sqref="G18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15" width="10.6" style="3"/>
    <col min="16" max="32" width="9" style="3"/>
    <col min="33" max="16384" width="8.75" style="3"/>
  </cols>
  <sheetData>
    <row r="1" customHeight="1" spans="1:8">
      <c r="A1" s="4" t="s">
        <v>304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305</v>
      </c>
      <c r="B3" s="5"/>
      <c r="C3" s="5"/>
      <c r="D3" s="5"/>
      <c r="E3" s="5" t="s">
        <v>306</v>
      </c>
      <c r="F3" s="5"/>
      <c r="G3" s="5"/>
      <c r="H3" s="5"/>
      <c r="I3" s="3"/>
    </row>
    <row r="4" customHeight="1" spans="1:9">
      <c r="A4" s="5" t="s">
        <v>307</v>
      </c>
      <c r="B4" s="5"/>
      <c r="C4" s="5"/>
      <c r="D4" s="5"/>
      <c r="E4" s="5" t="s">
        <v>308</v>
      </c>
      <c r="F4" s="5"/>
      <c r="G4" s="5" t="s">
        <v>309</v>
      </c>
      <c r="H4" s="5"/>
      <c r="I4" s="25"/>
    </row>
    <row r="5" customHeight="1" spans="1:8">
      <c r="A5" s="5" t="s">
        <v>310</v>
      </c>
      <c r="B5" s="5" t="s">
        <v>311</v>
      </c>
      <c r="C5" s="5" t="s">
        <v>312</v>
      </c>
      <c r="D5" s="5" t="s">
        <v>313</v>
      </c>
      <c r="E5" s="5" t="s">
        <v>310</v>
      </c>
      <c r="F5" s="5" t="s">
        <v>311</v>
      </c>
      <c r="G5" s="5" t="s">
        <v>310</v>
      </c>
      <c r="H5" s="5" t="s">
        <v>313</v>
      </c>
    </row>
    <row r="6" customHeight="1" spans="1:15">
      <c r="A6" s="6" t="s">
        <v>314</v>
      </c>
      <c r="B6" s="7">
        <v>0.95</v>
      </c>
      <c r="C6" s="7">
        <v>7.63</v>
      </c>
      <c r="D6" s="7">
        <v>4.32</v>
      </c>
      <c r="E6" s="6" t="s">
        <v>314</v>
      </c>
      <c r="F6" s="7">
        <v>7.21</v>
      </c>
      <c r="G6" s="6" t="s">
        <v>314</v>
      </c>
      <c r="H6" s="7">
        <v>1.98</v>
      </c>
      <c r="I6" s="26"/>
      <c r="J6" s="26"/>
      <c r="K6" s="26"/>
      <c r="L6" s="26"/>
      <c r="M6" s="26"/>
      <c r="N6" s="26"/>
      <c r="O6" s="26"/>
    </row>
    <row r="7" customHeight="1" spans="1:15">
      <c r="A7" s="6" t="s">
        <v>315</v>
      </c>
      <c r="B7" s="7">
        <v>1.86</v>
      </c>
      <c r="C7" s="7">
        <v>4.98</v>
      </c>
      <c r="D7" s="7">
        <v>2.38</v>
      </c>
      <c r="E7" s="6" t="s">
        <v>315</v>
      </c>
      <c r="F7" s="7">
        <v>6.84</v>
      </c>
      <c r="G7" s="6" t="s">
        <v>316</v>
      </c>
      <c r="H7" s="7">
        <v>2.22</v>
      </c>
      <c r="I7" s="26"/>
      <c r="J7" s="26"/>
      <c r="K7" s="26"/>
      <c r="L7" s="26"/>
      <c r="M7" s="26"/>
      <c r="N7" s="26"/>
      <c r="O7" s="26"/>
    </row>
    <row r="8" customHeight="1" spans="1:15">
      <c r="A8" s="6" t="s">
        <v>316</v>
      </c>
      <c r="B8" s="7">
        <v>3.81</v>
      </c>
      <c r="C8" s="7">
        <v>3.02</v>
      </c>
      <c r="D8" s="7">
        <v>1.23</v>
      </c>
      <c r="E8" s="6" t="s">
        <v>316</v>
      </c>
      <c r="F8" s="7">
        <v>4.32</v>
      </c>
      <c r="G8" s="6" t="s">
        <v>317</v>
      </c>
      <c r="H8" s="7">
        <v>3.48</v>
      </c>
      <c r="I8" s="26"/>
      <c r="J8" s="26"/>
      <c r="K8" s="26"/>
      <c r="L8" s="26"/>
      <c r="M8" s="26"/>
      <c r="N8" s="26"/>
      <c r="O8" s="26"/>
    </row>
    <row r="9" customHeight="1" spans="1:15">
      <c r="A9" s="6" t="s">
        <v>317</v>
      </c>
      <c r="B9" s="7">
        <v>5.99</v>
      </c>
      <c r="C9" s="7">
        <v>1.11</v>
      </c>
      <c r="D9" s="7">
        <v>0.25</v>
      </c>
      <c r="E9" s="6" t="s">
        <v>318</v>
      </c>
      <c r="F9" s="7">
        <v>2.53</v>
      </c>
      <c r="G9" s="6" t="s">
        <v>319</v>
      </c>
      <c r="H9" s="7">
        <v>4.93</v>
      </c>
      <c r="I9" s="26"/>
      <c r="J9" s="26"/>
      <c r="K9" s="26"/>
      <c r="L9" s="26"/>
      <c r="M9" s="26"/>
      <c r="N9" s="26"/>
      <c r="O9" s="26"/>
    </row>
    <row r="10" customHeight="1" spans="1:15">
      <c r="A10" s="8" t="s">
        <v>320</v>
      </c>
      <c r="B10" s="9">
        <v>5284</v>
      </c>
      <c r="C10" s="10"/>
      <c r="D10" s="11"/>
      <c r="E10" s="6" t="s">
        <v>317</v>
      </c>
      <c r="F10" s="7">
        <v>1.92</v>
      </c>
      <c r="G10" s="5" t="s">
        <v>320</v>
      </c>
      <c r="H10" s="12">
        <v>4822</v>
      </c>
      <c r="M10" s="26"/>
      <c r="N10" s="26"/>
      <c r="O10" s="26"/>
    </row>
    <row r="11" customHeight="1" spans="1:15">
      <c r="A11" s="13"/>
      <c r="B11" s="14"/>
      <c r="C11" s="15"/>
      <c r="D11" s="16"/>
      <c r="E11" s="6" t="s">
        <v>319</v>
      </c>
      <c r="F11" s="7">
        <v>1.12</v>
      </c>
      <c r="G11" s="5"/>
      <c r="H11" s="17"/>
      <c r="M11" s="26"/>
      <c r="N11" s="26"/>
      <c r="O11" s="26"/>
    </row>
    <row r="12" customHeight="1" spans="1:13">
      <c r="A12" s="18"/>
      <c r="B12" s="19"/>
      <c r="C12" s="20"/>
      <c r="D12" s="21"/>
      <c r="E12" s="6" t="s">
        <v>320</v>
      </c>
      <c r="F12" s="5">
        <v>5482</v>
      </c>
      <c r="G12" s="5"/>
      <c r="H12" s="22"/>
      <c r="M12" s="26"/>
    </row>
    <row r="13" s="1" customFormat="1" customHeight="1" spans="1:14">
      <c r="A13" s="23" t="s">
        <v>70</v>
      </c>
      <c r="B13" s="23"/>
      <c r="C13" s="23"/>
      <c r="D13" s="23" t="s">
        <v>71</v>
      </c>
      <c r="E13" s="24"/>
      <c r="F13" s="24"/>
      <c r="G13" s="23" t="s">
        <v>301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revision>1</cp:revision>
  <dcterms:created xsi:type="dcterms:W3CDTF">1996-12-17T01:32:00Z</dcterms:created>
  <cp:lastPrinted>2018-05-07T02:15:00Z</cp:lastPrinted>
  <dcterms:modified xsi:type="dcterms:W3CDTF">2023-02-09T02:14:05Z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  <property fmtid="{D5CDD505-2E9C-101B-9397-08002B2CF9AE}" pid="3" name="ICV">
    <vt:lpwstr>AC0587F76FD54565A1D1EFF08F6CA2B5</vt:lpwstr>
  </property>
</Properties>
</file>