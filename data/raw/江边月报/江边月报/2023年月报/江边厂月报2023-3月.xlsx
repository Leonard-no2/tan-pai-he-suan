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<sst xmlns="http://schemas.openxmlformats.org/spreadsheetml/2006/main" count="1048" uniqueCount="330">
  <si>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</si>
  <si>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</si>
  <si>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</si>
  <si>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</si>
  <si>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</si>
  <si>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</si>
  <si>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</si>
  <si>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</si>
  <si>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</si>
  <si>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</si>
  <si>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</si>
  <si>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</si>
  <si>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</si>
  <si>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</si>
  <si>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</si>
  <si>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</si>
  <si>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</si>
  <si>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</si>
  <si>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</si>
  <si>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</si>
  <si>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</si>
  <si>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</si>
  <si>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</si>
  <si>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</si>
  <si>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</si>
  <si>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</si>
  <si>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</si>
  <si>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</si>
  <si>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</si>
  <si>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</si>
  <si>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</si>
  <si>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</si>
  <si>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</si>
  <si>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</si>
  <si>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</si>
  <si>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</si>
  <si>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</si>
  <si>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</si>
  <si>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</si>
  <si>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</si>
  <si>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</si>
  <si>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</si>
  <si>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</si>
  <si>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</si>
  <si>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</si>
  <si>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</si>
  <si>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</si>
  <si>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</si>
  <si>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</si>
  <si>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</si>
  <si>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</si>
  <si>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</si>
  <si>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</si>
  <si>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</si>
  <si>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</si>
  <si>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</si>
  <si>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</si>
  <si>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雨</t>
  </si>
  <si>
    <t>总运费</t>
  </si>
  <si>
    <t>总单价</t>
  </si>
  <si>
    <t>核对</t>
  </si>
  <si>
    <t>阴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</si>
  <si>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</si>
  <si>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</si>
  <si>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</si>
  <si>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</si>
  <si>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</si>
  <si>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</si>
  <si>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</si>
  <si>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</si>
  <si>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</si>
  <si>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</si>
  <si>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</si>
  <si>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</si>
  <si>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</si>
  <si>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</si>
  <si>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</si>
  <si>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</si>
  <si>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</si>
  <si>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</si>
  <si>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</si>
  <si>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</si>
  <si>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</si>
  <si>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</si>
  <si>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</si>
  <si>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</si>
  <si>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</si>
  <si>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</si>
  <si>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</si>
  <si>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</si>
  <si>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</si>
  <si>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</si>
  <si>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</si>
  <si>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</si>
  <si>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</si>
  <si>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</si>
  <si>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</si>
  <si>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</si>
  <si>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</si>
  <si>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</si>
  <si>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</si>
  <si>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</si>
  <si>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</si>
  <si>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</si>
  <si>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</si>
  <si>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</si>
  <si>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</si>
  <si>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</si>
  <si>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</si>
  <si>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</si>
  <si>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</si>
  <si>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</si>
  <si>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</si>
  <si>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</si>
  <si>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</si>
  <si>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</si>
  <si>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</si>
  <si>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</si>
  <si>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</si>
  <si>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</si>
  <si>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</si>
  <si>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</si>
  <si>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</si>
  <si>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</si>
  <si>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</si>
  <si>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</si>
  <si>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</si>
  <si>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</si>
  <si>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</si>
  <si>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</si>
  <si>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</si>
  <si>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3504.42吨，其中运往常州市英科环境科技有限公司855.82吨，国电常州发电有限公司2578.20吨，外运接种70.40吨，其中常州千红生化制药股份有限公司15吨、常州市昊杰纸业有限公司5吨、江苏盈天化学有限公司50.40吨。</t>
  </si>
  <si>
    <t>审核：                                               制表：                               制表日期：2023/4/3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</si>
  <si>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</si>
  <si>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</si>
  <si>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</si>
  <si>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</si>
  <si>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</si>
  <si>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</si>
  <si>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</si>
  <si>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</si>
  <si>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</si>
  <si>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</si>
  <si>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</si>
  <si>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COD(mg/L)</t>
  </si>
  <si>
    <t>BOD(mg/L)</t>
  </si>
  <si>
    <t>SS(mg/L)</t>
  </si>
  <si>
    <r>
      <rPr>
        <sz val="10"/>
        <rFont val="Times New Roman"/>
        <charset val="0"/>
      </rPr>
      <t>NH</t>
    </r>
    <r>
      <rPr>
        <vertAlign val="subscript"/>
        <sz val="10"/>
        <rFont val="Times New Roman"/>
        <charset val="0"/>
      </rPr>
      <t>3</t>
    </r>
    <r>
      <rPr>
        <sz val="10"/>
        <rFont val="Times New Roman"/>
        <charset val="0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</si>
  <si>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</si>
  <si>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</si>
  <si>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</si>
  <si>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二沉</t>
  </si>
  <si>
    <t>制表时间：2023/4/3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</si>
  <si>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</si>
  <si>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</si>
  <si>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</si>
  <si>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</si>
  <si>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</si>
  <si>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</si>
  <si>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</si>
  <si>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</si>
  <si>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</si>
  <si>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</si>
  <si>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</si>
  <si>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</si>
  <si>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</si>
  <si>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</si>
  <si>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</si>
  <si>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</si>
  <si>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</si>
  <si>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</si>
  <si>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</si>
  <si>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</si>
  <si>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</si>
  <si>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</si>
  <si>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</si>
  <si>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</si>
  <si>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</si>
  <si>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</si>
  <si>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</si>
  <si>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</si>
  <si>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</si>
  <si>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</si>
  <si>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</si>
  <si>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</si>
  <si>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</si>
  <si>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</si>
  <si>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</si>
  <si>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17日保养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</si>
  <si>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</si>
  <si>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</si>
  <si>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</si>
  <si>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</si>
  <si>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</si>
  <si>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</si>
  <si>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</si>
  <si>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</si>
  <si>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20日保养</t>
  </si>
  <si>
    <t>5日电机发外维修、20日保养</t>
  </si>
  <si>
    <t>10日更换进风滤网、20日保养</t>
  </si>
  <si>
    <t>制表时间：2023/4/6</t>
  </si>
  <si>
    <t>水
解
酸
化
池</t>
  </si>
  <si>
    <t>水解酸化池
搅拌器
（南）</t>
  </si>
  <si>
    <t>27日保养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</si>
  <si>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</si>
  <si>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</si>
  <si>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</si>
  <si>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</si>
  <si>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</si>
  <si>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</si>
  <si>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</si>
  <si>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</si>
  <si>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</si>
  <si>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</si>
  <si>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</si>
  <si>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</si>
  <si>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</si>
  <si>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</si>
  <si>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</si>
  <si>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</si>
  <si>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</si>
  <si>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</si>
  <si>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</si>
  <si>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</si>
  <si>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</si>
  <si>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</si>
  <si>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</si>
  <si>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</si>
  <si>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</si>
  <si>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</si>
  <si>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</si>
  <si>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</si>
  <si>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</si>
  <si>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</si>
  <si>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</si>
  <si>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</si>
  <si>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</si>
  <si>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</si>
  <si>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</si>
  <si>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22日更换备用泵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</si>
  <si>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</si>
  <si>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</si>
  <si>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</si>
  <si>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</si>
  <si>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</si>
  <si>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17日一期东二沉池1-2#轮子维修。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</si>
  <si>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</si>
  <si>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</si>
  <si>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</si>
  <si>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</si>
  <si>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</si>
  <si>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</si>
  <si>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</si>
  <si>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</si>
  <si>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</si>
  <si>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</si>
  <si>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</si>
  <si>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</si>
  <si>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10日保养</t>
  </si>
  <si>
    <t>PAM
投加泵</t>
  </si>
  <si>
    <t>提标
空压机</t>
  </si>
  <si>
    <t>14日保养</t>
  </si>
  <si>
    <t>V型滤池
（南）</t>
  </si>
  <si>
    <t>28日更换清水阀气缸</t>
  </si>
  <si>
    <t>24日清水阀更换气缸</t>
  </si>
  <si>
    <t>1日更换清水阀气缸</t>
  </si>
  <si>
    <t>27日更换进水阀气缸</t>
  </si>
  <si>
    <t>13日进水阀更换电磁阀、气压调节阀</t>
  </si>
  <si>
    <t>V型滤池
（北）</t>
  </si>
  <si>
    <t>3日更换电磁阀</t>
  </si>
  <si>
    <t>反冲洗泵</t>
  </si>
  <si>
    <t>反冲洗风机</t>
  </si>
  <si>
    <t>二
氧
化
氯
发
生
器
房</t>
  </si>
  <si>
    <t>欧泰华
二氧化氯
发生器</t>
  </si>
  <si>
    <t>14日配合厂家保养</t>
  </si>
  <si>
    <t>山大华特
二氧化氯
发生器</t>
  </si>
  <si>
    <t>增压水泵</t>
  </si>
  <si>
    <t>脱
水
机
房</t>
  </si>
  <si>
    <t>浓缩池刮泥机</t>
  </si>
  <si>
    <t>进泥泵</t>
  </si>
  <si>
    <t>15-16日更换定转子</t>
  </si>
  <si>
    <t>脱水离心机</t>
  </si>
  <si>
    <t>6-8日更换转鼓、脱水机加油保养</t>
  </si>
  <si>
    <t>31日加油保养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</si>
  <si>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</si>
  <si>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</si>
  <si>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</si>
  <si>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</si>
  <si>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</si>
  <si>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</si>
  <si>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</si>
  <si>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</si>
  <si>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</si>
  <si>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</si>
  <si>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</si>
  <si>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2023-03-02 2023-03-09 2023-03-16 2023-03-30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</si>
  <si>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</si>
  <si>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</si>
  <si>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</si>
  <si>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</si>
  <si>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</si>
  <si>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</si>
  <si>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</si>
  <si>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</si>
  <si>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</si>
  <si>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</si>
  <si>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</si>
  <si>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</si>
  <si>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</si>
  <si>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</si>
  <si>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制表日期：2023/4/4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</si>
  <si>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</si>
  <si>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</si>
  <si>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</si>
  <si>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</si>
  <si>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采样时间：2023-3-29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</si>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</sst>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;@"/>
    <numFmt numFmtId="178" formatCode="0_ "/>
    <numFmt numFmtId="179" formatCode="0.000;_鰀"/>
    <numFmt numFmtId="180" formatCode="0.00;_ﰀ"/>
    <numFmt numFmtId="181" formatCode="0_);[Red]\(0\)"/>
    <numFmt numFmtId="182" formatCode="0.0000_);[Red]\(0.0000\)"/>
    <numFmt numFmtId="183" formatCode="0.00;[Red]0.00"/>
    <numFmt numFmtId="184" formatCode="0.00_);[Red]\(0.00\)"/>
    <numFmt numFmtId="185" formatCode="0.0;_ﰀ"/>
    <numFmt numFmtId="186" formatCode="0;_ﰀ"/>
    <numFmt numFmtId="187" formatCode="0.0%"/>
    <numFmt numFmtId="188" formatCode="#,##0.00_ "/>
    <numFmt numFmtId="189" formatCode="0.000_ "/>
    <numFmt numFmtId="190" formatCode="0.0_ "/>
    <numFmt numFmtId="191" formatCode="0;[Red]0"/>
    <numFmt numFmtId="192" formatCode="0.000_);[Red]\(0.000\)"/>
    <numFmt numFmtId="193" formatCode="0.0_);[Red]\(0.0\)"/>
    <numFmt numFmtId="194" formatCode="0;_䠀"/>
    <numFmt numFmtId="195" formatCode="0.0;[Red]0.0"/>
    <numFmt numFmtId="196" formatCode="0.00;_鰀"/>
    <numFmt numFmtId="197" formatCode="0;_鰀"/>
    <numFmt numFmtId="198" formatCode="0.00_ 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0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9"/>
      <name val="宋体"/>
      <charset val="134"/>
    </font>
    <font>
      <b/>
      <sz val="11"/>
      <color indexed="56"/>
      <name val="宋体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bscript"/>
      <sz val="10"/>
      <name val="Times New Roman"/>
      <charset val="0"/>
    </font>
    <font>
      <vertAlign val="superscript"/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7" fillId="7" borderId="0" applyNumberFormat="0" applyBorder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6" fillId="15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7" fillId="1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7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9" fillId="10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39" fillId="0" borderId="0">
      <alignment vertical="center"/>
    </xf>
    <xf numFmtId="0" fontId="39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6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39" fillId="0" borderId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0" fillId="0" borderId="0"/>
    <xf numFmtId="0" fontId="39" fillId="20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>
      <alignment vertical="top"/>
      <protection locked="0"/>
    </xf>
    <xf numFmtId="0" fontId="39" fillId="20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>
      <alignment vertical="top"/>
      <protection locked="0"/>
    </xf>
    <xf numFmtId="0" fontId="37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9" fontId="3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9" fillId="0" borderId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46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8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52" fillId="25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0" fillId="9" borderId="21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/>
    <xf numFmtId="0" fontId="34" fillId="0" borderId="19" applyNumberFormat="0" applyFill="0" applyAlignment="0" applyProtection="0">
      <alignment vertical="center"/>
    </xf>
    <xf numFmtId="0" fontId="0" fillId="0" borderId="0"/>
    <xf numFmtId="0" fontId="37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0" borderId="0">
      <alignment vertical="center"/>
    </xf>
    <xf numFmtId="0" fontId="3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7" fillId="18" borderId="2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7" fillId="18" borderId="24" applyNumberFormat="0" applyAlignment="0" applyProtection="0">
      <alignment vertical="center"/>
    </xf>
    <xf numFmtId="0" fontId="0" fillId="0" borderId="0"/>
    <xf numFmtId="0" fontId="47" fillId="18" borderId="24" applyNumberFormat="0" applyAlignment="0" applyProtection="0">
      <alignment vertical="center"/>
    </xf>
    <xf numFmtId="0" fontId="0" fillId="0" borderId="0"/>
    <xf numFmtId="0" fontId="0" fillId="0" borderId="0"/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42" fillId="11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5" fillId="12" borderId="25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47" fillId="18" borderId="24" applyNumberForma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0" fillId="0" borderId="0">
      <alignment vertical="center"/>
    </xf>
    <xf numFmtId="0" fontId="39" fillId="15" borderId="0" applyNumberFormat="0" applyBorder="0" applyAlignment="0" applyProtection="0">
      <alignment vertical="center"/>
    </xf>
  </cellStyleXfs>
  <cellXfs count="33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188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77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93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95" fontId="1" fillId="0" borderId="1" xfId="0" applyNumberFormat="1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91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98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91" fontId="17" fillId="0" borderId="0" xfId="0" applyNumberFormat="1" applyFont="1" applyBorder="1" applyAlignment="1">
      <alignment vertical="center"/>
    </xf>
    <xf numFmtId="191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98" fontId="17" fillId="0" borderId="0" xfId="0" applyNumberFormat="1" applyFont="1" applyAlignment="1">
      <alignment vertical="center"/>
    </xf>
    <xf numFmtId="195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90" fontId="19" fillId="0" borderId="4" xfId="0" applyNumberFormat="1" applyFont="1" applyFill="1" applyBorder="1" applyAlignment="1">
      <alignment horizontal="center" vertical="center"/>
    </xf>
    <xf numFmtId="190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90" fontId="19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90" fontId="20" fillId="0" borderId="0" xfId="0" applyNumberFormat="1" applyFont="1" applyFill="1" applyAlignment="1">
      <alignment horizontal="center" vertical="center"/>
    </xf>
    <xf numFmtId="198" fontId="19" fillId="0" borderId="0" xfId="0" applyNumberFormat="1" applyFont="1" applyFill="1" applyAlignment="1">
      <alignment horizontal="center" vertical="center"/>
    </xf>
    <xf numFmtId="198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90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8" fontId="19" fillId="0" borderId="11" xfId="0" applyNumberFormat="1" applyFont="1" applyFill="1" applyBorder="1" applyAlignment="1">
      <alignment horizontal="center" vertical="center"/>
    </xf>
    <xf numFmtId="198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91" fontId="1" fillId="2" borderId="1" xfId="0" applyNumberFormat="1" applyFont="1" applyFill="1" applyBorder="1" applyAlignment="1">
      <alignment horizontal="center" vertical="center" wrapText="1"/>
    </xf>
    <xf numFmtId="198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7" fontId="20" fillId="0" borderId="5" xfId="20" applyNumberFormat="1" applyFont="1" applyFill="1" applyBorder="1" applyAlignment="1">
      <alignment horizontal="center" vertical="center"/>
    </xf>
    <xf numFmtId="189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87" fontId="20" fillId="0" borderId="8" xfId="20" applyNumberFormat="1" applyFont="1" applyFill="1" applyBorder="1" applyAlignment="1">
      <alignment horizontal="center" vertical="center"/>
    </xf>
    <xf numFmtId="198" fontId="20" fillId="0" borderId="8" xfId="0" applyNumberFormat="1" applyFont="1" applyFill="1" applyBorder="1" applyAlignment="1">
      <alignment horizontal="center" vertical="center"/>
    </xf>
    <xf numFmtId="190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7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91" fontId="9" fillId="3" borderId="1" xfId="0" applyNumberFormat="1" applyFont="1" applyFill="1" applyBorder="1" applyAlignment="1">
      <alignment horizontal="center" vertical="center"/>
    </xf>
    <xf numFmtId="191" fontId="0" fillId="0" borderId="0" xfId="0" applyNumberFormat="1"/>
    <xf numFmtId="187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90" fontId="0" fillId="0" borderId="0" xfId="0" applyNumberFormat="1"/>
    <xf numFmtId="0" fontId="1" fillId="0" borderId="0" xfId="0" applyFont="1" applyAlignment="1">
      <alignment horizontal="center" vertical="center" wrapText="1"/>
    </xf>
    <xf numFmtId="0" fontId="24" fillId="3" borderId="13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83" fontId="9" fillId="3" borderId="1" xfId="0" applyNumberFormat="1" applyFont="1" applyFill="1" applyBorder="1" applyAlignment="1">
      <alignment horizontal="center"/>
    </xf>
    <xf numFmtId="195" fontId="9" fillId="3" borderId="1" xfId="0" applyNumberFormat="1" applyFont="1" applyFill="1" applyBorder="1" applyAlignment="1">
      <alignment horizontal="center"/>
    </xf>
    <xf numFmtId="190" fontId="26" fillId="3" borderId="1" xfId="0" applyNumberFormat="1" applyFont="1" applyFill="1" applyBorder="1" applyAlignment="1">
      <alignment horizontal="center" vertical="center"/>
    </xf>
    <xf numFmtId="193" fontId="9" fillId="3" borderId="1" xfId="0" applyNumberFormat="1" applyFont="1" applyFill="1" applyBorder="1" applyAlignment="1">
      <alignment horizontal="center"/>
    </xf>
    <xf numFmtId="184" fontId="9" fillId="3" borderId="1" xfId="0" applyNumberFormat="1" applyFont="1" applyFill="1" applyBorder="1" applyAlignment="1">
      <alignment horizontal="center"/>
    </xf>
    <xf numFmtId="198" fontId="9" fillId="3" borderId="1" xfId="0" applyNumberFormat="1" applyFont="1" applyFill="1" applyBorder="1" applyAlignment="1">
      <alignment horizontal="center"/>
    </xf>
    <xf numFmtId="190" fontId="9" fillId="3" borderId="1" xfId="0" applyNumberFormat="1" applyFont="1" applyFill="1" applyBorder="1" applyAlignment="1">
      <alignment horizontal="center"/>
    </xf>
    <xf numFmtId="198" fontId="26" fillId="3" borderId="1" xfId="0" applyNumberFormat="1" applyFont="1" applyFill="1" applyBorder="1" applyAlignment="1">
      <alignment horizontal="center" vertical="center"/>
    </xf>
    <xf numFmtId="183" fontId="26" fillId="3" borderId="1" xfId="0" applyNumberFormat="1" applyFont="1" applyFill="1" applyBorder="1" applyAlignment="1">
      <alignment horizontal="center" vertical="center"/>
    </xf>
    <xf numFmtId="190" fontId="26" fillId="3" borderId="0" xfId="0" applyNumberFormat="1" applyFont="1" applyFill="1" applyBorder="1" applyAlignment="1">
      <alignment horizontal="center"/>
    </xf>
    <xf numFmtId="198" fontId="26" fillId="4" borderId="1" xfId="0" applyNumberFormat="1" applyFont="1" applyFill="1" applyBorder="1" applyAlignment="1">
      <alignment horizontal="center" vertical="center"/>
    </xf>
    <xf numFmtId="190" fontId="26" fillId="3" borderId="1" xfId="0" applyNumberFormat="1" applyFont="1" applyFill="1" applyBorder="1" applyAlignment="1">
      <alignment horizontal="center"/>
    </xf>
    <xf numFmtId="198" fontId="26" fillId="3" borderId="1" xfId="0" applyNumberFormat="1" applyFont="1" applyFill="1" applyBorder="1" applyAlignment="1">
      <alignment horizontal="center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4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98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90" fontId="9" fillId="0" borderId="9" xfId="0" applyNumberFormat="1" applyFont="1" applyBorder="1" applyAlignment="1">
      <alignment horizontal="center" vertical="center" wrapText="1"/>
    </xf>
    <xf numFmtId="197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8" fontId="9" fillId="0" borderId="1" xfId="491" applyNumberFormat="1" applyFont="1" applyBorder="1" applyAlignment="1">
      <alignment horizontal="center" vertical="center" wrapText="1"/>
    </xf>
    <xf numFmtId="198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90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90" fontId="9" fillId="0" borderId="13" xfId="0" applyNumberFormat="1" applyFont="1" applyBorder="1" applyAlignment="1">
      <alignment horizontal="center" vertical="center" wrapText="1"/>
    </xf>
    <xf numFmtId="190" fontId="9" fillId="0" borderId="14" xfId="0" applyNumberFormat="1" applyFont="1" applyBorder="1" applyAlignment="1">
      <alignment horizontal="center" vertical="center" wrapText="1"/>
    </xf>
    <xf numFmtId="198" fontId="9" fillId="0" borderId="13" xfId="0" applyNumberFormat="1" applyFont="1" applyBorder="1" applyAlignment="1">
      <alignment horizontal="center" vertical="center" wrapText="1"/>
    </xf>
    <xf numFmtId="198" fontId="9" fillId="0" borderId="14" xfId="0" applyNumberFormat="1" applyFont="1" applyBorder="1" applyAlignment="1">
      <alignment horizontal="center" vertical="center" wrapText="1"/>
    </xf>
    <xf numFmtId="190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89" fontId="9" fillId="0" borderId="1" xfId="491" applyNumberFormat="1" applyFont="1" applyBorder="1" applyAlignment="1">
      <alignment horizontal="center" vertical="center" wrapText="1"/>
    </xf>
    <xf numFmtId="198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8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4" fontId="9" fillId="0" borderId="1" xfId="491" applyNumberFormat="1" applyFont="1" applyFill="1" applyBorder="1" applyAlignment="1">
      <alignment horizontal="center" vertical="center" wrapText="1"/>
    </xf>
    <xf numFmtId="188" fontId="9" fillId="0" borderId="0" xfId="0" applyNumberFormat="1" applyFont="1"/>
    <xf numFmtId="198" fontId="9" fillId="0" borderId="1" xfId="0" applyNumberFormat="1" applyFont="1" applyBorder="1" applyAlignment="1">
      <alignment horizontal="center" vertical="center"/>
    </xf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4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7" fontId="1" fillId="0" borderId="1" xfId="341" applyNumberFormat="1" applyFont="1" applyFill="1" applyBorder="1" applyAlignment="1">
      <alignment horizontal="center" vertical="center" wrapText="1"/>
    </xf>
    <xf numFmtId="196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97" fontId="1" fillId="0" borderId="1" xfId="481" applyNumberFormat="1" applyFont="1" applyFill="1" applyBorder="1" applyAlignment="1">
      <alignment horizontal="center" vertical="center" wrapText="1"/>
    </xf>
    <xf numFmtId="196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78" fontId="12" fillId="0" borderId="1" xfId="341" applyNumberFormat="1" applyFont="1" applyFill="1" applyBorder="1" applyAlignment="1">
      <alignment horizontal="center" vertical="center" wrapText="1"/>
    </xf>
    <xf numFmtId="190" fontId="12" fillId="0" borderId="1" xfId="341" applyNumberFormat="1" applyFont="1" applyFill="1" applyBorder="1" applyAlignment="1">
      <alignment horizontal="center" vertical="center" wrapText="1"/>
    </xf>
    <xf numFmtId="184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7" fontId="12" fillId="0" borderId="1" xfId="341" applyNumberFormat="1" applyFont="1" applyFill="1" applyBorder="1" applyAlignment="1">
      <alignment horizontal="center" vertical="center" wrapText="1"/>
    </xf>
    <xf numFmtId="197" fontId="12" fillId="0" borderId="1" xfId="508" applyNumberFormat="1" applyFont="1" applyFill="1" applyBorder="1" applyAlignment="1">
      <alignment horizontal="center" vertical="center" wrapText="1"/>
    </xf>
    <xf numFmtId="196" fontId="2" fillId="0" borderId="0" xfId="0" applyNumberFormat="1" applyFont="1" applyAlignment="1">
      <alignment horizontal="center" vertical="center"/>
    </xf>
    <xf numFmtId="197" fontId="2" fillId="0" borderId="0" xfId="0" applyNumberFormat="1" applyFont="1" applyAlignment="1">
      <alignment horizontal="center" vertical="center"/>
    </xf>
    <xf numFmtId="184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7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82" fontId="2" fillId="0" borderId="0" xfId="485" applyNumberFormat="1" applyFont="1" applyBorder="1" applyAlignment="1">
      <alignment horizontal="center" vertical="center"/>
    </xf>
    <xf numFmtId="197" fontId="2" fillId="0" borderId="1" xfId="0" applyNumberFormat="1" applyFont="1" applyBorder="1" applyAlignment="1">
      <alignment horizontal="center" vertical="center"/>
    </xf>
    <xf numFmtId="198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8" fontId="2" fillId="0" borderId="1" xfId="0" applyNumberFormat="1" applyFont="1" applyFill="1" applyBorder="1" applyAlignment="1">
      <alignment horizontal="center" vertical="center"/>
    </xf>
    <xf numFmtId="0" fontId="32" fillId="5" borderId="1" xfId="485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4" fontId="2" fillId="5" borderId="1" xfId="0" applyNumberFormat="1" applyFont="1" applyFill="1" applyBorder="1" applyAlignment="1">
      <alignment horizontal="center" vertical="center"/>
    </xf>
    <xf numFmtId="190" fontId="2" fillId="5" borderId="1" xfId="0" applyNumberFormat="1" applyFont="1" applyFill="1" applyBorder="1" applyAlignment="1">
      <alignment horizontal="center" vertical="center"/>
    </xf>
    <xf numFmtId="198" fontId="2" fillId="5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97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6" fontId="29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79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98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20% - 强调文字颜色 2 2 3 3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千位分隔 2" xfId="368"/>
    <cellStyle name="强调文字颜色 4 2 5" xfId="369"/>
    <cellStyle name="百分比 2 11" xfId="370"/>
    <cellStyle name="标题 4 2" xfId="371"/>
    <cellStyle name="60% - 强调文字颜色 5 2 5" xfId="372"/>
    <cellStyle name="标题 4 3" xfId="373"/>
    <cellStyle name="60% - 强调文字颜色 5 2 6" xfId="374"/>
    <cellStyle name="汇总 2 2" xfId="375"/>
    <cellStyle name="60% - 强调文字颜色 5 3 2" xfId="376"/>
    <cellStyle name="60% - 强调文字颜色 5 4" xfId="377"/>
    <cellStyle name="60% - 强调文字颜色 5 5" xfId="378"/>
    <cellStyle name="输入 2 3" xfId="379"/>
    <cellStyle name="60% - 强调文字颜色 5 5 2" xfId="380"/>
    <cellStyle name="60% - 强调文字颜色 6 2" xfId="381"/>
    <cellStyle name="好_汇总二 3" xfId="382"/>
    <cellStyle name="标题 4 2 6" xfId="383"/>
    <cellStyle name="60% - 强调文字颜色 6 2 2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AA28" sqref="AA28"/>
    </sheetView>
  </sheetViews>
  <sheetFormatPr defaultColWidth="8.75" defaultRowHeight="14.25"/>
  <cols>
    <col min="1" max="1" width="3.75" style="3" customWidth="1"/>
    <col min="2" max="3" width="4.25" style="266" customWidth="1"/>
    <col min="4" max="4" width="7.8" style="266" customWidth="1"/>
    <col min="5" max="5" width="7.5" style="266" customWidth="1"/>
    <col min="6" max="6" width="7.16666666666667" style="266" customWidth="1"/>
    <col min="7" max="7" width="6.94166666666667" style="267" customWidth="1"/>
    <col min="8" max="8" width="5.625" style="267" customWidth="1"/>
    <col min="9" max="9" width="6" style="266" customWidth="1"/>
    <col min="10" max="10" width="6.46666666666667" style="266" customWidth="1"/>
    <col min="11" max="11" width="6.5" style="266" customWidth="1"/>
    <col min="12" max="12" width="6.375" style="266" customWidth="1"/>
    <col min="13" max="13" width="6.11666666666667" style="266" customWidth="1"/>
    <col min="14" max="14" width="6.125" style="266" customWidth="1"/>
    <col min="15" max="15" width="6.60833333333333" style="266" customWidth="1"/>
    <col min="16" max="16" width="6.46666666666667" style="266" customWidth="1"/>
    <col min="17" max="17" width="7.5" style="266" customWidth="1"/>
    <col min="18" max="18" width="10.125" style="266" customWidth="1"/>
    <col min="19" max="19" width="10" style="268" customWidth="1"/>
    <col min="20" max="20" width="15.875" style="268" customWidth="1"/>
    <col min="21" max="21" width="12.875" style="268" customWidth="1"/>
    <col min="22" max="22" width="12.25" style="268" customWidth="1"/>
    <col min="23" max="25" width="12.625" style="268"/>
    <col min="26" max="26" width="15" style="268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</row>
    <row r="2" ht="14" customHeight="1" spans="1:18">
      <c r="A2" s="270">
        <v>44986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</row>
    <row r="3" ht="20.25" customHeight="1" spans="1:38">
      <c r="A3" s="272" t="s">
        <v>1</v>
      </c>
      <c r="B3" s="273" t="s">
        <v>2</v>
      </c>
      <c r="C3" s="273" t="s">
        <v>3</v>
      </c>
      <c r="D3" s="8" t="s">
        <v>4</v>
      </c>
      <c r="E3" s="5" t="s">
        <v>5</v>
      </c>
      <c r="F3" s="5"/>
      <c r="G3" s="5"/>
      <c r="H3" s="273" t="s">
        <v>6</v>
      </c>
      <c r="I3" s="273" t="s">
        <v>7</v>
      </c>
      <c r="J3" s="273" t="s">
        <v>8</v>
      </c>
      <c r="K3" s="273" t="s">
        <v>9</v>
      </c>
      <c r="L3" s="8" t="s">
        <v>10</v>
      </c>
      <c r="M3" s="273" t="s">
        <v>11</v>
      </c>
      <c r="N3" s="273" t="s">
        <v>12</v>
      </c>
      <c r="O3" s="5" t="s">
        <v>13</v>
      </c>
      <c r="P3" s="5"/>
      <c r="Q3" s="8" t="s">
        <v>14</v>
      </c>
      <c r="R3" s="8" t="s">
        <v>15</v>
      </c>
      <c r="T3" s="268" t="s">
        <v>16</v>
      </c>
      <c r="U3" s="268" t="s">
        <v>17</v>
      </c>
      <c r="W3" s="296" t="s">
        <v>18</v>
      </c>
      <c r="X3" s="296" t="s">
        <v>19</v>
      </c>
      <c r="Y3" s="296"/>
      <c r="Z3" s="296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26</v>
      </c>
      <c r="AK3" s="3" t="s">
        <v>27</v>
      </c>
      <c r="AL3" s="3" t="s">
        <v>19</v>
      </c>
    </row>
    <row r="4" ht="21" customHeight="1" spans="1:28">
      <c r="A4" s="274"/>
      <c r="B4" s="275" t="s">
        <v>28</v>
      </c>
      <c r="C4" s="275" t="s">
        <v>29</v>
      </c>
      <c r="D4" s="275"/>
      <c r="E4" s="275" t="s">
        <v>30</v>
      </c>
      <c r="F4" s="275" t="s">
        <v>31</v>
      </c>
      <c r="G4" s="275" t="s">
        <v>32</v>
      </c>
      <c r="H4" s="275" t="s">
        <v>33</v>
      </c>
      <c r="I4" s="275" t="s">
        <v>34</v>
      </c>
      <c r="J4" s="275" t="s">
        <v>35</v>
      </c>
      <c r="K4" s="275" t="s">
        <v>33</v>
      </c>
      <c r="L4" s="275"/>
      <c r="M4" s="275" t="s">
        <v>33</v>
      </c>
      <c r="N4" s="275" t="s">
        <v>33</v>
      </c>
      <c r="O4" s="275" t="s">
        <v>36</v>
      </c>
      <c r="P4" s="275" t="s">
        <v>37</v>
      </c>
      <c r="Q4" s="275"/>
      <c r="R4" s="275"/>
      <c r="T4" s="57" t="s">
        <v>38</v>
      </c>
      <c r="U4" s="297">
        <f>ROUND(J37*W4,2)</f>
        <v>1127726.65</v>
      </c>
      <c r="V4" s="297"/>
      <c r="W4" s="298">
        <v>0.685256514084507</v>
      </c>
      <c r="X4" s="299">
        <f>J36/R36</f>
        <v>0.305793293618792</v>
      </c>
      <c r="Y4" s="296"/>
      <c r="Z4" s="331">
        <v>44960</v>
      </c>
      <c r="AA4" s="332"/>
      <c r="AB4" s="3" t="s">
        <v>39</v>
      </c>
    </row>
    <row r="5" ht="18.6" customHeight="1" spans="1:38">
      <c r="A5" s="6">
        <v>1</v>
      </c>
      <c r="B5" s="276">
        <v>16.9</v>
      </c>
      <c r="C5" s="277" t="s">
        <v>40</v>
      </c>
      <c r="D5" s="278">
        <v>184263</v>
      </c>
      <c r="E5" s="279">
        <v>137.74</v>
      </c>
      <c r="F5" s="279">
        <v>0</v>
      </c>
      <c r="G5" s="279">
        <v>15</v>
      </c>
      <c r="H5" s="280">
        <v>125</v>
      </c>
      <c r="I5" s="6">
        <v>5078</v>
      </c>
      <c r="J5" s="287">
        <v>53899.9999999942</v>
      </c>
      <c r="K5" s="288">
        <v>0</v>
      </c>
      <c r="L5" s="289">
        <v>0</v>
      </c>
      <c r="M5" s="288">
        <v>3621</v>
      </c>
      <c r="N5" s="288">
        <v>1272</v>
      </c>
      <c r="O5" s="290">
        <v>0</v>
      </c>
      <c r="P5" s="290">
        <v>0</v>
      </c>
      <c r="Q5" s="300">
        <v>5467</v>
      </c>
      <c r="R5" s="301">
        <f>D5-Q5</f>
        <v>178796</v>
      </c>
      <c r="S5" s="302"/>
      <c r="T5" s="303" t="s">
        <v>41</v>
      </c>
      <c r="U5" s="304">
        <f>H37*W5/1000</f>
        <v>147000</v>
      </c>
      <c r="V5" s="297"/>
      <c r="W5" s="305">
        <v>28000</v>
      </c>
      <c r="X5" s="297">
        <f>H36/R36*1000</f>
        <v>0.975520928175646</v>
      </c>
      <c r="Y5" s="296"/>
      <c r="Z5" s="333">
        <v>44287</v>
      </c>
      <c r="AB5" s="334">
        <f>E5+F5+G5</f>
        <v>152.74</v>
      </c>
      <c r="AD5" s="3">
        <f>$W$9*K5/1000/R5</f>
        <v>0</v>
      </c>
      <c r="AE5" s="3">
        <f>$W$5*H5/1000/R5</f>
        <v>0.0195753819995973</v>
      </c>
      <c r="AF5" s="3">
        <f>$W$6*L5/1000/R5</f>
        <v>0</v>
      </c>
      <c r="AG5" s="3">
        <f>$W$7*M5/1000/R5</f>
        <v>0.00947799727063245</v>
      </c>
      <c r="AH5" s="3">
        <f>$W$8*N5/1000/R5</f>
        <v>0.039626389852122</v>
      </c>
      <c r="AI5" s="3">
        <f>AD5+AE5+AF5+AG5+AH5</f>
        <v>0.0686797691223517</v>
      </c>
      <c r="AK5" s="3">
        <f>AB5*(100-进出水!T7)/100</f>
        <v>32.22814</v>
      </c>
      <c r="AL5" s="3">
        <f>H5/AK5</f>
        <v>3.87859802023946</v>
      </c>
    </row>
    <row r="6" ht="18.6" customHeight="1" spans="1:38">
      <c r="A6" s="6">
        <v>2</v>
      </c>
      <c r="B6" s="276">
        <v>17.2</v>
      </c>
      <c r="C6" s="277" t="s">
        <v>40</v>
      </c>
      <c r="D6" s="278">
        <v>172323</v>
      </c>
      <c r="E6" s="279">
        <v>88.08</v>
      </c>
      <c r="F6" s="279">
        <v>0</v>
      </c>
      <c r="G6" s="279">
        <v>0</v>
      </c>
      <c r="H6" s="280">
        <v>150</v>
      </c>
      <c r="I6" s="6">
        <v>4318</v>
      </c>
      <c r="J6" s="287">
        <v>52700.0000000044</v>
      </c>
      <c r="K6" s="288">
        <v>14520</v>
      </c>
      <c r="L6" s="289">
        <v>0.2</v>
      </c>
      <c r="M6" s="288">
        <v>2130</v>
      </c>
      <c r="N6" s="288">
        <v>768</v>
      </c>
      <c r="O6" s="290">
        <v>0</v>
      </c>
      <c r="P6" s="290">
        <v>0</v>
      </c>
      <c r="Q6" s="300">
        <v>5447</v>
      </c>
      <c r="R6" s="301">
        <f t="shared" ref="R6:R36" si="0">D6-Q6</f>
        <v>166876</v>
      </c>
      <c r="S6" s="302"/>
      <c r="T6" s="303" t="s">
        <v>42</v>
      </c>
      <c r="U6" s="304">
        <f>L37*W6/1000</f>
        <v>29.12</v>
      </c>
      <c r="V6" s="297">
        <f>U5+U6</f>
        <v>147029.12</v>
      </c>
      <c r="W6" s="57">
        <v>10400</v>
      </c>
      <c r="X6" s="297">
        <f>L36/R36*1000</f>
        <v>0.000520277828360344</v>
      </c>
      <c r="Y6" s="296"/>
      <c r="Z6" s="333">
        <v>44256</v>
      </c>
      <c r="AB6" s="334">
        <f t="shared" ref="AB6:AB35" si="1">E6+F6+G6</f>
        <v>88.08</v>
      </c>
      <c r="AD6" s="3">
        <f t="shared" ref="AD6:AD35" si="2">$W$9*K6/1000/R6</f>
        <v>0.0361964572496944</v>
      </c>
      <c r="AE6" s="3">
        <f t="shared" ref="AE6:AE35" si="3">$W$5*H6/1000/R6</f>
        <v>0.0251683885040389</v>
      </c>
      <c r="AF6" s="3">
        <f t="shared" ref="AF6:AF35" si="4">$W$6*L6/1000/R6</f>
        <v>1.24643447829526e-5</v>
      </c>
      <c r="AG6" s="3">
        <f t="shared" ref="AG6:AG35" si="5">$W$7*M6/1000/R6</f>
        <v>0.00597353723723004</v>
      </c>
      <c r="AH6" s="3">
        <f t="shared" ref="AH6:AH35" si="6">$W$8*N6/1000/R6</f>
        <v>0.0256343632397708</v>
      </c>
      <c r="AI6" s="3">
        <f t="shared" ref="AI6:AI35" si="7">AD6+AE6+AF6+AG6+AH6</f>
        <v>0.0929852105755172</v>
      </c>
      <c r="AK6" s="3">
        <f>AB6*(100-进出水!T8)/100</f>
        <v>19.02528</v>
      </c>
      <c r="AL6" s="3">
        <f t="shared" ref="AL6:AL35" si="8">H6/AK6</f>
        <v>7.88424664446463</v>
      </c>
    </row>
    <row r="7" ht="18.6" customHeight="1" spans="1:38">
      <c r="A7" s="6">
        <v>3</v>
      </c>
      <c r="B7" s="276">
        <v>17.4</v>
      </c>
      <c r="C7" s="277" t="s">
        <v>40</v>
      </c>
      <c r="D7" s="278">
        <v>177692</v>
      </c>
      <c r="E7" s="279">
        <v>105.06</v>
      </c>
      <c r="F7" s="279">
        <v>0</v>
      </c>
      <c r="G7" s="279">
        <v>0</v>
      </c>
      <c r="H7" s="280">
        <v>150</v>
      </c>
      <c r="I7" s="6">
        <v>4548</v>
      </c>
      <c r="J7" s="287">
        <v>50900.0000000015</v>
      </c>
      <c r="K7" s="288">
        <v>0</v>
      </c>
      <c r="L7" s="289">
        <v>0</v>
      </c>
      <c r="M7" s="288">
        <v>1633</v>
      </c>
      <c r="N7" s="288">
        <v>600</v>
      </c>
      <c r="O7" s="290">
        <v>0</v>
      </c>
      <c r="P7" s="290">
        <v>0</v>
      </c>
      <c r="Q7" s="300">
        <v>5452</v>
      </c>
      <c r="R7" s="301">
        <f t="shared" si="0"/>
        <v>172240</v>
      </c>
      <c r="S7" s="302"/>
      <c r="T7" s="303" t="s">
        <v>43</v>
      </c>
      <c r="U7" s="304">
        <f>M37*W7/1000</f>
        <v>54826.2</v>
      </c>
      <c r="V7" s="297"/>
      <c r="W7" s="57">
        <v>468</v>
      </c>
      <c r="X7" s="297">
        <f>M36/R36*1000</f>
        <v>21.7680527115766</v>
      </c>
      <c r="Y7" s="296"/>
      <c r="Z7" s="333">
        <v>44228</v>
      </c>
      <c r="AB7" s="334">
        <f t="shared" si="1"/>
        <v>105.06</v>
      </c>
      <c r="AD7" s="3">
        <f t="shared" si="2"/>
        <v>0</v>
      </c>
      <c r="AE7" s="3">
        <f t="shared" si="3"/>
        <v>0.0243845796562935</v>
      </c>
      <c r="AF7" s="3">
        <f t="shared" si="4"/>
        <v>0</v>
      </c>
      <c r="AG7" s="3">
        <f t="shared" si="5"/>
        <v>0.00443708778448676</v>
      </c>
      <c r="AH7" s="3">
        <f t="shared" si="6"/>
        <v>0.0194031583836507</v>
      </c>
      <c r="AI7" s="3">
        <f t="shared" si="7"/>
        <v>0.048224825824431</v>
      </c>
      <c r="AK7" s="3">
        <f>AB7*(100-进出水!T9)/100</f>
        <v>22.5879</v>
      </c>
      <c r="AL7" s="3">
        <f t="shared" si="8"/>
        <v>6.64072357324054</v>
      </c>
    </row>
    <row r="8" ht="18.6" customHeight="1" spans="1:38">
      <c r="A8" s="6">
        <v>4</v>
      </c>
      <c r="B8" s="276">
        <v>16.8</v>
      </c>
      <c r="C8" s="277" t="s">
        <v>40</v>
      </c>
      <c r="D8" s="278">
        <v>173127</v>
      </c>
      <c r="E8" s="279">
        <v>125.7</v>
      </c>
      <c r="F8" s="279">
        <v>0</v>
      </c>
      <c r="G8" s="279">
        <v>0</v>
      </c>
      <c r="H8" s="280">
        <v>125</v>
      </c>
      <c r="I8" s="6">
        <v>4364</v>
      </c>
      <c r="J8" s="287">
        <v>53199.9999999971</v>
      </c>
      <c r="K8" s="288">
        <v>0</v>
      </c>
      <c r="L8" s="289">
        <v>0.2</v>
      </c>
      <c r="M8" s="288">
        <v>1633</v>
      </c>
      <c r="N8" s="288">
        <v>600</v>
      </c>
      <c r="O8" s="290">
        <v>0</v>
      </c>
      <c r="P8" s="290">
        <v>0</v>
      </c>
      <c r="Q8" s="300">
        <v>5442</v>
      </c>
      <c r="R8" s="301">
        <f t="shared" si="0"/>
        <v>167685</v>
      </c>
      <c r="S8" s="302"/>
      <c r="T8" s="303" t="s">
        <v>44</v>
      </c>
      <c r="U8" s="304">
        <f>N37*W8/1000</f>
        <v>219903.6</v>
      </c>
      <c r="V8" s="297">
        <f>U7+U8</f>
        <v>274729.8</v>
      </c>
      <c r="W8" s="57">
        <v>5570</v>
      </c>
      <c r="X8" s="297">
        <f>N36/R36*1000</f>
        <v>7.33591737988086</v>
      </c>
      <c r="Y8" s="57"/>
      <c r="Z8" s="333">
        <v>44929</v>
      </c>
      <c r="AB8" s="334">
        <f t="shared" si="1"/>
        <v>125.7</v>
      </c>
      <c r="AD8" s="3">
        <f t="shared" si="2"/>
        <v>0</v>
      </c>
      <c r="AE8" s="3">
        <f t="shared" si="3"/>
        <v>0.0208724692131079</v>
      </c>
      <c r="AF8" s="3">
        <f t="shared" si="4"/>
        <v>1.24042102752184e-5</v>
      </c>
      <c r="AG8" s="3">
        <f t="shared" si="5"/>
        <v>0.00455761696037213</v>
      </c>
      <c r="AH8" s="3">
        <f t="shared" si="6"/>
        <v>0.0199302263172019</v>
      </c>
      <c r="AI8" s="3">
        <f t="shared" si="7"/>
        <v>0.0453727167009571</v>
      </c>
      <c r="AK8" s="3">
        <f>AB8*(100-进出水!T10)/100</f>
        <v>26.5227</v>
      </c>
      <c r="AL8" s="3">
        <f t="shared" si="8"/>
        <v>4.71294400645485</v>
      </c>
    </row>
    <row r="9" ht="18.6" customHeight="1" spans="1:38">
      <c r="A9" s="6">
        <v>5</v>
      </c>
      <c r="B9" s="276">
        <v>17</v>
      </c>
      <c r="C9" s="277" t="s">
        <v>40</v>
      </c>
      <c r="D9" s="278">
        <v>163061</v>
      </c>
      <c r="E9" s="279">
        <v>125.66</v>
      </c>
      <c r="F9" s="279">
        <v>0</v>
      </c>
      <c r="G9" s="279">
        <v>0</v>
      </c>
      <c r="H9" s="280">
        <v>125</v>
      </c>
      <c r="I9" s="6">
        <v>4870</v>
      </c>
      <c r="J9" s="291">
        <v>51499.9999999782</v>
      </c>
      <c r="K9" s="288">
        <v>0</v>
      </c>
      <c r="L9" s="289">
        <v>0</v>
      </c>
      <c r="M9" s="288">
        <v>3195</v>
      </c>
      <c r="N9" s="288">
        <v>1104</v>
      </c>
      <c r="O9" s="290">
        <v>0</v>
      </c>
      <c r="P9" s="290">
        <v>0</v>
      </c>
      <c r="Q9" s="300">
        <v>5475</v>
      </c>
      <c r="R9" s="301">
        <f t="shared" si="0"/>
        <v>157586</v>
      </c>
      <c r="S9" s="302"/>
      <c r="T9" s="303" t="s">
        <v>45</v>
      </c>
      <c r="U9" s="304">
        <f>K37*W9/1000</f>
        <v>26208</v>
      </c>
      <c r="V9" s="297"/>
      <c r="W9" s="57">
        <v>416</v>
      </c>
      <c r="X9" s="297">
        <f>K36/R36*1000</f>
        <v>11.7062511381077</v>
      </c>
      <c r="Y9" s="296"/>
      <c r="Z9" s="333">
        <v>44228</v>
      </c>
      <c r="AB9" s="334">
        <f t="shared" si="1"/>
        <v>125.66</v>
      </c>
      <c r="AD9" s="3">
        <f t="shared" si="2"/>
        <v>0</v>
      </c>
      <c r="AE9" s="3">
        <f t="shared" si="3"/>
        <v>0.0222100948053761</v>
      </c>
      <c r="AF9" s="3">
        <f t="shared" si="4"/>
        <v>0</v>
      </c>
      <c r="AG9" s="3">
        <f t="shared" si="5"/>
        <v>0.00948853324533905</v>
      </c>
      <c r="AH9" s="3">
        <f t="shared" si="6"/>
        <v>0.0390217405099438</v>
      </c>
      <c r="AI9" s="3">
        <f t="shared" si="7"/>
        <v>0.0707203685606589</v>
      </c>
      <c r="AK9" s="3">
        <f>AB9*(100-进出水!T11)/100</f>
        <v>26.76558</v>
      </c>
      <c r="AL9" s="3">
        <f t="shared" si="8"/>
        <v>4.67017714542334</v>
      </c>
    </row>
    <row r="10" ht="18.6" customHeight="1" spans="1:38">
      <c r="A10" s="6">
        <v>6</v>
      </c>
      <c r="B10" s="276">
        <v>17.5</v>
      </c>
      <c r="C10" s="277" t="s">
        <v>40</v>
      </c>
      <c r="D10" s="278">
        <v>167578</v>
      </c>
      <c r="E10" s="279">
        <v>144.32</v>
      </c>
      <c r="F10" s="279">
        <v>0</v>
      </c>
      <c r="G10" s="279">
        <v>5</v>
      </c>
      <c r="H10" s="280">
        <v>150</v>
      </c>
      <c r="I10" s="6">
        <v>4992</v>
      </c>
      <c r="J10" s="287">
        <v>53400.0000000015</v>
      </c>
      <c r="K10" s="288">
        <v>18000</v>
      </c>
      <c r="L10" s="289">
        <v>0</v>
      </c>
      <c r="M10" s="288">
        <v>5325</v>
      </c>
      <c r="N10" s="288">
        <v>1776</v>
      </c>
      <c r="O10" s="290">
        <v>0</v>
      </c>
      <c r="P10" s="290">
        <v>0</v>
      </c>
      <c r="Q10" s="300">
        <v>5437</v>
      </c>
      <c r="R10" s="301">
        <f t="shared" si="0"/>
        <v>162141</v>
      </c>
      <c r="S10" s="302"/>
      <c r="T10" s="303" t="s">
        <v>46</v>
      </c>
      <c r="U10" s="304">
        <f>T18</f>
        <v>32966.59</v>
      </c>
      <c r="V10" s="297" t="s">
        <v>47</v>
      </c>
      <c r="W10" s="306"/>
      <c r="X10" s="306"/>
      <c r="Y10" s="335"/>
      <c r="Z10" s="335"/>
      <c r="AB10" s="334">
        <f t="shared" si="1"/>
        <v>149.32</v>
      </c>
      <c r="AD10" s="3">
        <f t="shared" si="2"/>
        <v>0.0461820267544915</v>
      </c>
      <c r="AE10" s="3">
        <f t="shared" si="3"/>
        <v>0.025903380391141</v>
      </c>
      <c r="AF10" s="3">
        <f t="shared" si="4"/>
        <v>0</v>
      </c>
      <c r="AG10" s="3">
        <f t="shared" si="5"/>
        <v>0.0153699557792292</v>
      </c>
      <c r="AH10" s="3">
        <f t="shared" si="6"/>
        <v>0.0610106018835458</v>
      </c>
      <c r="AI10" s="3">
        <f t="shared" si="7"/>
        <v>0.148465964808408</v>
      </c>
      <c r="AK10" s="3">
        <f>AB10*(100-进出水!T12)/100</f>
        <v>32.25312</v>
      </c>
      <c r="AL10" s="3">
        <f t="shared" si="8"/>
        <v>4.65071286126738</v>
      </c>
    </row>
    <row r="11" ht="18.6" customHeight="1" spans="1:38">
      <c r="A11" s="6">
        <v>7</v>
      </c>
      <c r="B11" s="276">
        <v>18.3</v>
      </c>
      <c r="C11" s="277" t="s">
        <v>40</v>
      </c>
      <c r="D11" s="278">
        <v>177885</v>
      </c>
      <c r="E11" s="279">
        <v>107.24</v>
      </c>
      <c r="F11" s="279">
        <v>0</v>
      </c>
      <c r="G11" s="279">
        <v>0</v>
      </c>
      <c r="H11" s="280">
        <v>100</v>
      </c>
      <c r="I11" s="13">
        <v>5240</v>
      </c>
      <c r="J11" s="291">
        <v>52200.0000000116</v>
      </c>
      <c r="K11" s="288">
        <v>0</v>
      </c>
      <c r="L11" s="289">
        <v>0.2</v>
      </c>
      <c r="M11" s="288">
        <v>4970</v>
      </c>
      <c r="N11" s="288">
        <v>1704</v>
      </c>
      <c r="O11" s="290">
        <v>0</v>
      </c>
      <c r="P11" s="290">
        <v>0</v>
      </c>
      <c r="Q11" s="300">
        <v>5430</v>
      </c>
      <c r="R11" s="301">
        <f t="shared" si="0"/>
        <v>172455</v>
      </c>
      <c r="S11" s="302"/>
      <c r="T11" s="303" t="s">
        <v>48</v>
      </c>
      <c r="U11" s="304">
        <f>汇总!J5*W11</f>
        <v>19404</v>
      </c>
      <c r="V11" s="297"/>
      <c r="W11" s="57">
        <v>4.2</v>
      </c>
      <c r="X11" s="57"/>
      <c r="Y11" s="57"/>
      <c r="Z11" s="296"/>
      <c r="AB11" s="334">
        <f t="shared" si="1"/>
        <v>107.24</v>
      </c>
      <c r="AD11" s="3">
        <f t="shared" si="2"/>
        <v>0</v>
      </c>
      <c r="AE11" s="3">
        <f t="shared" si="3"/>
        <v>0.0162361195674234</v>
      </c>
      <c r="AF11" s="3">
        <f t="shared" si="4"/>
        <v>1.20611173929431e-5</v>
      </c>
      <c r="AG11" s="3">
        <f t="shared" si="5"/>
        <v>0.0134873445246586</v>
      </c>
      <c r="AH11" s="3">
        <f t="shared" si="6"/>
        <v>0.0550362703313908</v>
      </c>
      <c r="AI11" s="3">
        <f t="shared" si="7"/>
        <v>0.0847717955408657</v>
      </c>
      <c r="AK11" s="3">
        <f>AB11*(100-进出水!T13)/100</f>
        <v>22.94936</v>
      </c>
      <c r="AL11" s="3">
        <f t="shared" si="8"/>
        <v>4.35741998905416</v>
      </c>
    </row>
    <row r="12" ht="18.6" customHeight="1" spans="1:38">
      <c r="A12" s="6">
        <v>8</v>
      </c>
      <c r="B12" s="276">
        <v>18.8</v>
      </c>
      <c r="C12" s="277" t="s">
        <v>40</v>
      </c>
      <c r="D12" s="280">
        <v>171036</v>
      </c>
      <c r="E12" s="279">
        <v>70.36</v>
      </c>
      <c r="F12" s="279">
        <v>0</v>
      </c>
      <c r="G12" s="279">
        <v>0</v>
      </c>
      <c r="H12" s="280">
        <v>225</v>
      </c>
      <c r="I12" s="6">
        <v>5146</v>
      </c>
      <c r="J12" s="287">
        <v>51700.0000000189</v>
      </c>
      <c r="K12" s="288">
        <v>0</v>
      </c>
      <c r="L12" s="289">
        <v>0</v>
      </c>
      <c r="M12" s="288">
        <v>3479</v>
      </c>
      <c r="N12" s="288">
        <v>1200</v>
      </c>
      <c r="O12" s="290">
        <v>0</v>
      </c>
      <c r="P12" s="290">
        <v>0</v>
      </c>
      <c r="Q12" s="300">
        <v>5435</v>
      </c>
      <c r="R12" s="301">
        <f t="shared" si="0"/>
        <v>165601</v>
      </c>
      <c r="S12" s="302"/>
      <c r="T12" s="307"/>
      <c r="U12" s="308"/>
      <c r="V12" s="306"/>
      <c r="W12" s="306"/>
      <c r="X12" s="306"/>
      <c r="AB12" s="334">
        <f t="shared" si="1"/>
        <v>70.36</v>
      </c>
      <c r="AD12" s="3">
        <f t="shared" si="2"/>
        <v>0</v>
      </c>
      <c r="AE12" s="3">
        <f t="shared" si="3"/>
        <v>0.0380432485311079</v>
      </c>
      <c r="AF12" s="3">
        <f t="shared" si="4"/>
        <v>0</v>
      </c>
      <c r="AG12" s="3">
        <f t="shared" si="5"/>
        <v>0.00983189715037953</v>
      </c>
      <c r="AH12" s="3">
        <f t="shared" si="6"/>
        <v>0.0403620751082421</v>
      </c>
      <c r="AI12" s="3">
        <f t="shared" si="7"/>
        <v>0.0882372207897295</v>
      </c>
      <c r="AK12" s="3">
        <f>AB12*(100-进出水!T14)/100</f>
        <v>14.98668</v>
      </c>
      <c r="AL12" s="3">
        <f t="shared" si="8"/>
        <v>15.0133318386727</v>
      </c>
    </row>
    <row r="13" ht="18.6" customHeight="1" spans="1:38">
      <c r="A13" s="6">
        <v>9</v>
      </c>
      <c r="B13" s="276">
        <v>19.1</v>
      </c>
      <c r="C13" s="277" t="s">
        <v>40</v>
      </c>
      <c r="D13" s="278">
        <v>166569</v>
      </c>
      <c r="E13" s="279">
        <v>139.58</v>
      </c>
      <c r="F13" s="279">
        <v>0</v>
      </c>
      <c r="G13" s="279">
        <v>0</v>
      </c>
      <c r="H13" s="280">
        <v>250</v>
      </c>
      <c r="I13" s="6">
        <v>5058</v>
      </c>
      <c r="J13" s="287">
        <v>53899.9999999942</v>
      </c>
      <c r="K13" s="288">
        <v>0</v>
      </c>
      <c r="L13" s="289">
        <v>0.2</v>
      </c>
      <c r="M13" s="288">
        <v>3550</v>
      </c>
      <c r="N13" s="288">
        <v>1176</v>
      </c>
      <c r="O13" s="290">
        <v>0</v>
      </c>
      <c r="P13" s="290">
        <v>0</v>
      </c>
      <c r="Q13" s="300">
        <v>5449</v>
      </c>
      <c r="R13" s="301">
        <f t="shared" si="0"/>
        <v>161120</v>
      </c>
      <c r="S13" s="302"/>
      <c r="T13" s="303"/>
      <c r="U13" s="309">
        <f>U14/R37</f>
        <v>0.0832383058267401</v>
      </c>
      <c r="V13" s="57"/>
      <c r="W13" s="57"/>
      <c r="X13" s="306"/>
      <c r="AB13" s="334">
        <f t="shared" si="1"/>
        <v>139.58</v>
      </c>
      <c r="AD13" s="3">
        <f t="shared" si="2"/>
        <v>0</v>
      </c>
      <c r="AE13" s="3">
        <f t="shared" si="3"/>
        <v>0.0434458788480636</v>
      </c>
      <c r="AF13" s="3">
        <f t="shared" si="4"/>
        <v>1.2909632571996e-5</v>
      </c>
      <c r="AG13" s="3">
        <f t="shared" si="5"/>
        <v>0.0103115690168818</v>
      </c>
      <c r="AH13" s="3">
        <f t="shared" si="6"/>
        <v>0.0406549155908639</v>
      </c>
      <c r="AI13" s="3">
        <f t="shared" si="7"/>
        <v>0.0944252730883813</v>
      </c>
      <c r="AK13" s="3">
        <f>AB13*(100-进出水!T15)/100</f>
        <v>30.14928</v>
      </c>
      <c r="AL13" s="3">
        <f t="shared" si="8"/>
        <v>8.2920719831452</v>
      </c>
    </row>
    <row r="14" ht="18.6" customHeight="1" spans="1:38">
      <c r="A14" s="6">
        <v>10</v>
      </c>
      <c r="B14" s="276">
        <v>19.8</v>
      </c>
      <c r="C14" s="277" t="s">
        <v>40</v>
      </c>
      <c r="D14" s="278">
        <v>168835</v>
      </c>
      <c r="E14" s="279">
        <v>114.54</v>
      </c>
      <c r="F14" s="279">
        <v>0</v>
      </c>
      <c r="G14" s="279">
        <v>0</v>
      </c>
      <c r="H14" s="280">
        <v>275</v>
      </c>
      <c r="I14" s="6">
        <v>5524</v>
      </c>
      <c r="J14" s="287">
        <v>52199.9999999753</v>
      </c>
      <c r="K14" s="288">
        <v>0</v>
      </c>
      <c r="L14" s="289">
        <v>0</v>
      </c>
      <c r="M14" s="288">
        <v>3692</v>
      </c>
      <c r="N14" s="288">
        <v>1200</v>
      </c>
      <c r="O14" s="290">
        <v>0</v>
      </c>
      <c r="P14" s="290">
        <v>0</v>
      </c>
      <c r="Q14" s="300">
        <v>5440</v>
      </c>
      <c r="R14" s="301">
        <f t="shared" si="0"/>
        <v>163395</v>
      </c>
      <c r="S14" s="302"/>
      <c r="T14" s="310" t="s">
        <v>49</v>
      </c>
      <c r="U14" s="311">
        <f>U5+U6+U7+U8+U9</f>
        <v>447966.92</v>
      </c>
      <c r="V14" s="312" t="s">
        <v>50</v>
      </c>
      <c r="W14" s="313">
        <f>U6+U9</f>
        <v>26237.12</v>
      </c>
      <c r="X14" s="306"/>
      <c r="AB14" s="334">
        <f t="shared" si="1"/>
        <v>114.54</v>
      </c>
      <c r="AD14" s="3">
        <f t="shared" si="2"/>
        <v>0</v>
      </c>
      <c r="AE14" s="3">
        <f t="shared" si="3"/>
        <v>0.0471250650264696</v>
      </c>
      <c r="AF14" s="3">
        <f t="shared" si="4"/>
        <v>0</v>
      </c>
      <c r="AG14" s="3">
        <f t="shared" si="5"/>
        <v>0.0105747177086202</v>
      </c>
      <c r="AH14" s="3">
        <f t="shared" si="6"/>
        <v>0.0409070044983017</v>
      </c>
      <c r="AI14" s="3">
        <f t="shared" si="7"/>
        <v>0.0986067872333915</v>
      </c>
      <c r="AK14" s="3">
        <f>AB14*(100-进出水!T16)/100</f>
        <v>24.6261</v>
      </c>
      <c r="AL14" s="3">
        <f t="shared" si="8"/>
        <v>11.1670138592794</v>
      </c>
    </row>
    <row r="15" ht="18.6" customHeight="1" spans="1:38">
      <c r="A15" s="6">
        <v>11</v>
      </c>
      <c r="B15" s="276">
        <v>19.5</v>
      </c>
      <c r="C15" s="277" t="s">
        <v>40</v>
      </c>
      <c r="D15" s="278">
        <v>174633</v>
      </c>
      <c r="E15" s="279">
        <v>113.56</v>
      </c>
      <c r="F15" s="279">
        <v>0</v>
      </c>
      <c r="G15" s="279">
        <v>0</v>
      </c>
      <c r="H15" s="280">
        <v>200</v>
      </c>
      <c r="I15" s="6">
        <v>5036</v>
      </c>
      <c r="J15" s="291">
        <v>54500.0000000073</v>
      </c>
      <c r="K15" s="288">
        <v>7440</v>
      </c>
      <c r="L15" s="289">
        <v>0</v>
      </c>
      <c r="M15" s="288">
        <v>3550</v>
      </c>
      <c r="N15" s="288">
        <v>1248</v>
      </c>
      <c r="O15" s="290">
        <v>0</v>
      </c>
      <c r="P15" s="290">
        <v>0</v>
      </c>
      <c r="Q15" s="300">
        <v>5453</v>
      </c>
      <c r="R15" s="301">
        <f t="shared" si="0"/>
        <v>169180</v>
      </c>
      <c r="S15" s="302"/>
      <c r="T15" s="310" t="s">
        <v>51</v>
      </c>
      <c r="U15" s="314" t="s">
        <v>52</v>
      </c>
      <c r="V15" s="314" t="s">
        <v>53</v>
      </c>
      <c r="W15" s="315" t="s">
        <v>54</v>
      </c>
      <c r="X15" s="306"/>
      <c r="AB15" s="334">
        <f t="shared" si="1"/>
        <v>113.56</v>
      </c>
      <c r="AD15" s="3">
        <f t="shared" si="2"/>
        <v>0.0182943610355834</v>
      </c>
      <c r="AE15" s="3">
        <f t="shared" si="3"/>
        <v>0.0331008393427119</v>
      </c>
      <c r="AF15" s="3">
        <f t="shared" si="4"/>
        <v>0</v>
      </c>
      <c r="AG15" s="3">
        <f t="shared" si="5"/>
        <v>0.00982030972928242</v>
      </c>
      <c r="AH15" s="3">
        <f t="shared" si="6"/>
        <v>0.0410885447452418</v>
      </c>
      <c r="AI15" s="3">
        <f t="shared" si="7"/>
        <v>0.102304054852819</v>
      </c>
      <c r="AK15" s="3">
        <f>AB15*(100-进出水!T17)/100</f>
        <v>24.64252</v>
      </c>
      <c r="AL15" s="3">
        <f t="shared" si="8"/>
        <v>8.11605306600137</v>
      </c>
    </row>
    <row r="16" ht="18.6" customHeight="1" spans="1:38">
      <c r="A16" s="6">
        <v>12</v>
      </c>
      <c r="B16" s="276">
        <v>18.8</v>
      </c>
      <c r="C16" s="277" t="s">
        <v>40</v>
      </c>
      <c r="D16" s="278">
        <v>169643</v>
      </c>
      <c r="E16" s="279">
        <v>17.28</v>
      </c>
      <c r="F16" s="279">
        <v>29.84</v>
      </c>
      <c r="G16" s="279">
        <v>0</v>
      </c>
      <c r="H16" s="280">
        <v>225</v>
      </c>
      <c r="I16" s="6">
        <v>4892</v>
      </c>
      <c r="J16" s="292">
        <v>59200.0000000189</v>
      </c>
      <c r="K16" s="288">
        <v>11880</v>
      </c>
      <c r="L16" s="289">
        <v>0.2</v>
      </c>
      <c r="M16" s="288">
        <v>5325</v>
      </c>
      <c r="N16" s="288">
        <v>1824</v>
      </c>
      <c r="O16" s="290">
        <v>0</v>
      </c>
      <c r="P16" s="290">
        <v>0</v>
      </c>
      <c r="Q16" s="300">
        <v>5399</v>
      </c>
      <c r="R16" s="301">
        <f t="shared" si="0"/>
        <v>164244</v>
      </c>
      <c r="S16" s="302"/>
      <c r="T16" s="316">
        <f>U16+V16+W16</f>
        <v>3504.42</v>
      </c>
      <c r="U16" s="313">
        <f>F37</f>
        <v>855.82</v>
      </c>
      <c r="V16" s="313">
        <f>E37</f>
        <v>2578.2</v>
      </c>
      <c r="W16" s="313">
        <f>G37</f>
        <v>70.4</v>
      </c>
      <c r="X16" s="306"/>
      <c r="AB16" s="334">
        <f t="shared" si="1"/>
        <v>47.12</v>
      </c>
      <c r="AD16" s="3">
        <f t="shared" si="2"/>
        <v>0.0300898662964857</v>
      </c>
      <c r="AE16" s="3">
        <f t="shared" si="3"/>
        <v>0.0383575655731716</v>
      </c>
      <c r="AF16" s="3">
        <f t="shared" si="4"/>
        <v>1.26640851416186e-5</v>
      </c>
      <c r="AG16" s="3">
        <f t="shared" si="5"/>
        <v>0.0151731570103017</v>
      </c>
      <c r="AH16" s="3">
        <f t="shared" si="6"/>
        <v>0.0618572367940381</v>
      </c>
      <c r="AI16" s="3">
        <f t="shared" si="7"/>
        <v>0.145490489759139</v>
      </c>
      <c r="AK16" s="3">
        <f>AB16*(100-进出水!T18)/100</f>
        <v>9.98944</v>
      </c>
      <c r="AL16" s="3">
        <f t="shared" si="8"/>
        <v>22.5237851170836</v>
      </c>
    </row>
    <row r="17" ht="18.6" customHeight="1" spans="1:38">
      <c r="A17" s="6">
        <v>13</v>
      </c>
      <c r="B17" s="276">
        <v>18.2</v>
      </c>
      <c r="C17" s="277" t="s">
        <v>40</v>
      </c>
      <c r="D17" s="278">
        <v>170008</v>
      </c>
      <c r="E17" s="279">
        <v>104.88</v>
      </c>
      <c r="F17" s="279">
        <v>34.82</v>
      </c>
      <c r="G17" s="279">
        <v>0</v>
      </c>
      <c r="H17" s="280">
        <v>150</v>
      </c>
      <c r="I17" s="6">
        <v>4592</v>
      </c>
      <c r="J17" s="292">
        <v>55399.9999999724</v>
      </c>
      <c r="K17" s="288">
        <v>8040</v>
      </c>
      <c r="L17" s="289">
        <v>0</v>
      </c>
      <c r="M17" s="288">
        <v>5254</v>
      </c>
      <c r="N17" s="288">
        <v>1800</v>
      </c>
      <c r="O17" s="290">
        <v>0</v>
      </c>
      <c r="P17" s="290">
        <v>0</v>
      </c>
      <c r="Q17" s="300">
        <v>5259</v>
      </c>
      <c r="R17" s="301">
        <f t="shared" si="0"/>
        <v>164749</v>
      </c>
      <c r="S17" s="302"/>
      <c r="T17" s="310" t="s">
        <v>55</v>
      </c>
      <c r="U17" s="317">
        <v>9.6</v>
      </c>
      <c r="V17" s="317">
        <v>9.6</v>
      </c>
      <c r="W17" s="312"/>
      <c r="X17" s="306"/>
      <c r="AB17" s="334">
        <f t="shared" si="1"/>
        <v>139.7</v>
      </c>
      <c r="AD17" s="3">
        <f t="shared" si="2"/>
        <v>0.0203014282332518</v>
      </c>
      <c r="AE17" s="3">
        <f t="shared" si="3"/>
        <v>0.0254933262113882</v>
      </c>
      <c r="AF17" s="3">
        <f t="shared" si="4"/>
        <v>0</v>
      </c>
      <c r="AG17" s="3">
        <f t="shared" si="5"/>
        <v>0.0149249585733449</v>
      </c>
      <c r="AH17" s="3">
        <f t="shared" si="6"/>
        <v>0.0608562115703282</v>
      </c>
      <c r="AI17" s="3">
        <f t="shared" si="7"/>
        <v>0.121575924588313</v>
      </c>
      <c r="AK17" s="3">
        <f>AB17*(100-进出水!T19)/100</f>
        <v>30.1752</v>
      </c>
      <c r="AL17" s="3">
        <f t="shared" si="8"/>
        <v>4.97096953789867</v>
      </c>
    </row>
    <row r="18" ht="18.6" customHeight="1" spans="1:38">
      <c r="A18" s="6">
        <v>14</v>
      </c>
      <c r="B18" s="276">
        <v>18.5</v>
      </c>
      <c r="C18" s="277" t="s">
        <v>40</v>
      </c>
      <c r="D18" s="278">
        <v>169948</v>
      </c>
      <c r="E18" s="279">
        <v>50.32</v>
      </c>
      <c r="F18" s="279">
        <v>66.94</v>
      </c>
      <c r="G18" s="279">
        <v>0</v>
      </c>
      <c r="H18" s="280">
        <v>150</v>
      </c>
      <c r="I18" s="6">
        <v>4550</v>
      </c>
      <c r="J18" s="292">
        <v>51100.0000000058</v>
      </c>
      <c r="K18" s="288">
        <v>0</v>
      </c>
      <c r="L18" s="289">
        <v>0.2</v>
      </c>
      <c r="M18" s="288">
        <v>5325</v>
      </c>
      <c r="N18" s="288">
        <v>1752</v>
      </c>
      <c r="O18" s="290">
        <v>0</v>
      </c>
      <c r="P18" s="290">
        <v>0</v>
      </c>
      <c r="Q18" s="300">
        <v>4992</v>
      </c>
      <c r="R18" s="301">
        <f t="shared" si="0"/>
        <v>164956</v>
      </c>
      <c r="S18" s="302"/>
      <c r="T18" s="316">
        <f>U18+V18</f>
        <v>32966.59</v>
      </c>
      <c r="U18" s="318">
        <f>ROUND(U16*U17,2)</f>
        <v>8215.87</v>
      </c>
      <c r="V18" s="315">
        <f>ROUND(V16*V17,2)</f>
        <v>24750.72</v>
      </c>
      <c r="W18" s="312"/>
      <c r="X18" s="306"/>
      <c r="AB18" s="334">
        <f t="shared" si="1"/>
        <v>117.26</v>
      </c>
      <c r="AD18" s="3">
        <f t="shared" si="2"/>
        <v>0</v>
      </c>
      <c r="AE18" s="3">
        <f t="shared" si="3"/>
        <v>0.0254613351439172</v>
      </c>
      <c r="AF18" s="3">
        <f t="shared" si="4"/>
        <v>1.26094231188923e-5</v>
      </c>
      <c r="AG18" s="3">
        <f t="shared" si="5"/>
        <v>0.0151076650743228</v>
      </c>
      <c r="AH18" s="3">
        <f t="shared" si="6"/>
        <v>0.0591590484735323</v>
      </c>
      <c r="AI18" s="3">
        <f t="shared" si="7"/>
        <v>0.0997406581148912</v>
      </c>
      <c r="AK18" s="3">
        <f>AB18*(100-进出水!T20)/100</f>
        <v>24.97638</v>
      </c>
      <c r="AL18" s="3">
        <f t="shared" si="8"/>
        <v>6.00567416094726</v>
      </c>
    </row>
    <row r="19" ht="18.6" customHeight="1" spans="1:38">
      <c r="A19" s="6">
        <v>15</v>
      </c>
      <c r="B19" s="276">
        <v>20</v>
      </c>
      <c r="C19" s="277" t="s">
        <v>40</v>
      </c>
      <c r="D19" s="278">
        <v>172519</v>
      </c>
      <c r="E19" s="279">
        <v>33.76</v>
      </c>
      <c r="F19" s="279">
        <v>84.36</v>
      </c>
      <c r="G19" s="279">
        <v>0</v>
      </c>
      <c r="H19" s="280">
        <v>125</v>
      </c>
      <c r="I19" s="6">
        <v>4992</v>
      </c>
      <c r="J19" s="292">
        <v>53100.0000000131</v>
      </c>
      <c r="K19" s="288">
        <v>120</v>
      </c>
      <c r="L19" s="289">
        <v>0</v>
      </c>
      <c r="M19" s="288">
        <v>4970</v>
      </c>
      <c r="N19" s="288">
        <v>1632</v>
      </c>
      <c r="O19" s="290">
        <v>0</v>
      </c>
      <c r="P19" s="290">
        <v>0</v>
      </c>
      <c r="Q19" s="300">
        <v>5479</v>
      </c>
      <c r="R19" s="301">
        <f t="shared" si="0"/>
        <v>167040</v>
      </c>
      <c r="S19" s="302"/>
      <c r="T19" s="310" t="s">
        <v>56</v>
      </c>
      <c r="U19" s="314"/>
      <c r="V19" s="317">
        <v>0</v>
      </c>
      <c r="W19" s="312"/>
      <c r="X19" s="306"/>
      <c r="AB19" s="334">
        <f t="shared" si="1"/>
        <v>118.12</v>
      </c>
      <c r="AD19" s="3">
        <f t="shared" si="2"/>
        <v>0.000298850574712644</v>
      </c>
      <c r="AE19" s="3">
        <f t="shared" si="3"/>
        <v>0.0209530651340996</v>
      </c>
      <c r="AF19" s="3">
        <f t="shared" si="4"/>
        <v>0</v>
      </c>
      <c r="AG19" s="3">
        <f t="shared" si="5"/>
        <v>0.0139245689655172</v>
      </c>
      <c r="AH19" s="3">
        <f t="shared" si="6"/>
        <v>0.0544195402298851</v>
      </c>
      <c r="AI19" s="3">
        <f t="shared" si="7"/>
        <v>0.0895960249042146</v>
      </c>
      <c r="AK19" s="3">
        <f>AB19*(100-进出水!T21)/100</f>
        <v>25.27768</v>
      </c>
      <c r="AL19" s="3">
        <f t="shared" si="8"/>
        <v>4.94507407325356</v>
      </c>
    </row>
    <row r="20" ht="18.6" customHeight="1" spans="1:38">
      <c r="A20" s="6">
        <v>16</v>
      </c>
      <c r="B20" s="276">
        <v>19.2</v>
      </c>
      <c r="C20" s="277" t="s">
        <v>40</v>
      </c>
      <c r="D20" s="278">
        <v>176768</v>
      </c>
      <c r="E20" s="279">
        <v>85.02</v>
      </c>
      <c r="F20" s="279">
        <v>33.64</v>
      </c>
      <c r="G20" s="279">
        <v>0</v>
      </c>
      <c r="H20" s="280">
        <v>150</v>
      </c>
      <c r="I20" s="6">
        <v>5090</v>
      </c>
      <c r="J20" s="292">
        <v>51100.0000000058</v>
      </c>
      <c r="K20" s="288">
        <v>0</v>
      </c>
      <c r="L20" s="289">
        <v>0.2</v>
      </c>
      <c r="M20" s="288">
        <v>4828</v>
      </c>
      <c r="N20" s="288">
        <v>1608</v>
      </c>
      <c r="O20" s="290">
        <v>0</v>
      </c>
      <c r="P20" s="290">
        <v>0</v>
      </c>
      <c r="Q20" s="300">
        <v>5495</v>
      </c>
      <c r="R20" s="301">
        <f t="shared" si="0"/>
        <v>171273</v>
      </c>
      <c r="S20" s="302"/>
      <c r="T20" s="316">
        <f>U20+V20</f>
        <v>0</v>
      </c>
      <c r="U20" s="314"/>
      <c r="V20" s="315">
        <f>ROUND(V16*V19,2)</f>
        <v>0</v>
      </c>
      <c r="W20" s="312"/>
      <c r="X20" s="306"/>
      <c r="AB20" s="334">
        <f t="shared" si="1"/>
        <v>118.66</v>
      </c>
      <c r="AD20" s="3">
        <f t="shared" si="2"/>
        <v>0</v>
      </c>
      <c r="AE20" s="3">
        <f t="shared" si="3"/>
        <v>0.0245222539454555</v>
      </c>
      <c r="AF20" s="3">
        <f t="shared" si="4"/>
        <v>1.21443543348922e-5</v>
      </c>
      <c r="AG20" s="3">
        <f t="shared" si="5"/>
        <v>0.0131924121139934</v>
      </c>
      <c r="AH20" s="3">
        <f t="shared" si="6"/>
        <v>0.0522940568565974</v>
      </c>
      <c r="AI20" s="3">
        <f t="shared" si="7"/>
        <v>0.0900208672703812</v>
      </c>
      <c r="AK20" s="3">
        <f>AB20*(100-进出水!T22)/100</f>
        <v>25.27458</v>
      </c>
      <c r="AL20" s="3">
        <f t="shared" si="8"/>
        <v>5.93481672099002</v>
      </c>
    </row>
    <row r="21" ht="18.6" customHeight="1" spans="1:38">
      <c r="A21" s="6">
        <v>17</v>
      </c>
      <c r="B21" s="276">
        <v>19.1</v>
      </c>
      <c r="C21" s="277" t="s">
        <v>57</v>
      </c>
      <c r="D21" s="278">
        <v>183300</v>
      </c>
      <c r="E21" s="279">
        <v>34.78</v>
      </c>
      <c r="F21" s="279">
        <v>86.92</v>
      </c>
      <c r="G21" s="279">
        <v>0</v>
      </c>
      <c r="H21" s="280">
        <v>150</v>
      </c>
      <c r="I21" s="6">
        <v>5502</v>
      </c>
      <c r="J21" s="292">
        <v>50699.9999999971</v>
      </c>
      <c r="K21" s="288">
        <v>0</v>
      </c>
      <c r="L21" s="289">
        <v>0</v>
      </c>
      <c r="M21" s="288">
        <v>3479</v>
      </c>
      <c r="N21" s="288">
        <v>1128</v>
      </c>
      <c r="O21" s="290">
        <v>0</v>
      </c>
      <c r="P21" s="290">
        <v>0</v>
      </c>
      <c r="Q21" s="300">
        <v>5450</v>
      </c>
      <c r="R21" s="301">
        <f t="shared" si="0"/>
        <v>177850</v>
      </c>
      <c r="S21" s="302"/>
      <c r="T21" s="310" t="s">
        <v>58</v>
      </c>
      <c r="U21" s="319" t="s">
        <v>59</v>
      </c>
      <c r="V21" s="298">
        <f>V17+V19</f>
        <v>9.6</v>
      </c>
      <c r="W21" s="57" t="s">
        <v>60</v>
      </c>
      <c r="X21" s="306"/>
      <c r="AB21" s="334">
        <f t="shared" si="1"/>
        <v>121.7</v>
      </c>
      <c r="AD21" s="3">
        <f t="shared" si="2"/>
        <v>0</v>
      </c>
      <c r="AE21" s="3">
        <f t="shared" si="3"/>
        <v>0.0236154062412145</v>
      </c>
      <c r="AF21" s="3">
        <f t="shared" si="4"/>
        <v>0</v>
      </c>
      <c r="AG21" s="3">
        <f t="shared" si="5"/>
        <v>0.00915474838346922</v>
      </c>
      <c r="AH21" s="3">
        <f t="shared" si="6"/>
        <v>0.0353272982850717</v>
      </c>
      <c r="AI21" s="3">
        <f t="shared" si="7"/>
        <v>0.0680974529097554</v>
      </c>
      <c r="AK21" s="3">
        <f>AB21*(100-进出水!T23)/100</f>
        <v>26.2872</v>
      </c>
      <c r="AL21" s="3">
        <f t="shared" si="8"/>
        <v>5.70619921482699</v>
      </c>
    </row>
    <row r="22" ht="18.6" customHeight="1" spans="1:38">
      <c r="A22" s="6">
        <v>18</v>
      </c>
      <c r="B22" s="276">
        <v>19</v>
      </c>
      <c r="C22" s="277" t="s">
        <v>40</v>
      </c>
      <c r="D22" s="278">
        <v>188768</v>
      </c>
      <c r="E22" s="279">
        <v>68.98</v>
      </c>
      <c r="F22" s="279">
        <v>50.1</v>
      </c>
      <c r="G22" s="279">
        <v>0</v>
      </c>
      <c r="H22" s="280">
        <v>150</v>
      </c>
      <c r="I22" s="6">
        <v>5202</v>
      </c>
      <c r="J22" s="64">
        <v>49500.0000000073</v>
      </c>
      <c r="K22" s="288">
        <v>0</v>
      </c>
      <c r="L22" s="289">
        <v>0.2</v>
      </c>
      <c r="M22" s="288">
        <v>2343</v>
      </c>
      <c r="N22" s="288">
        <v>720</v>
      </c>
      <c r="O22" s="290">
        <v>0</v>
      </c>
      <c r="P22" s="290">
        <v>0</v>
      </c>
      <c r="Q22" s="300">
        <v>5456</v>
      </c>
      <c r="R22" s="301">
        <f t="shared" si="0"/>
        <v>183312</v>
      </c>
      <c r="S22" s="302"/>
      <c r="T22" s="316">
        <f>T18+T20</f>
        <v>32966.59</v>
      </c>
      <c r="U22" s="319"/>
      <c r="V22" s="57"/>
      <c r="W22" s="320">
        <f>T16-E37-F37-G37</f>
        <v>3.12638803734444e-13</v>
      </c>
      <c r="X22" s="306"/>
      <c r="AB22" s="334">
        <f t="shared" si="1"/>
        <v>119.08</v>
      </c>
      <c r="AD22" s="3">
        <f t="shared" si="2"/>
        <v>0</v>
      </c>
      <c r="AE22" s="3">
        <f t="shared" si="3"/>
        <v>0.0229117570044514</v>
      </c>
      <c r="AF22" s="3">
        <f t="shared" si="4"/>
        <v>1.13467748974426e-5</v>
      </c>
      <c r="AG22" s="3">
        <f t="shared" si="5"/>
        <v>0.00598173605655931</v>
      </c>
      <c r="AH22" s="3">
        <f t="shared" si="6"/>
        <v>0.0218774548311076</v>
      </c>
      <c r="AI22" s="3">
        <f t="shared" si="7"/>
        <v>0.0507822946670158</v>
      </c>
      <c r="AK22" s="3">
        <f>AB22*(100-进出水!T24)/100</f>
        <v>25.95944</v>
      </c>
      <c r="AL22" s="3">
        <f t="shared" si="8"/>
        <v>5.77824483116739</v>
      </c>
    </row>
    <row r="23" ht="18.6" customHeight="1" spans="1:38">
      <c r="A23" s="6">
        <v>19</v>
      </c>
      <c r="B23" s="276">
        <v>19.2</v>
      </c>
      <c r="C23" s="277" t="s">
        <v>40</v>
      </c>
      <c r="D23" s="278">
        <v>173575</v>
      </c>
      <c r="E23" s="279">
        <v>66.62</v>
      </c>
      <c r="F23" s="279">
        <v>51.04</v>
      </c>
      <c r="G23" s="279">
        <v>50.4</v>
      </c>
      <c r="H23" s="280">
        <v>225</v>
      </c>
      <c r="I23" s="6">
        <v>4762</v>
      </c>
      <c r="J23" s="64">
        <v>53999.9999999782</v>
      </c>
      <c r="K23" s="288">
        <v>0</v>
      </c>
      <c r="L23" s="289">
        <v>0</v>
      </c>
      <c r="M23" s="288">
        <v>2485</v>
      </c>
      <c r="N23" s="288">
        <v>792</v>
      </c>
      <c r="O23" s="290">
        <v>0</v>
      </c>
      <c r="P23" s="290">
        <v>0</v>
      </c>
      <c r="Q23" s="300">
        <v>5452</v>
      </c>
      <c r="R23" s="301">
        <f t="shared" si="0"/>
        <v>168123</v>
      </c>
      <c r="S23" s="302"/>
      <c r="T23" s="303"/>
      <c r="U23" s="321"/>
      <c r="V23" s="57"/>
      <c r="W23" s="57"/>
      <c r="X23" s="57"/>
      <c r="AB23" s="334">
        <f t="shared" si="1"/>
        <v>168.06</v>
      </c>
      <c r="AD23" s="3">
        <f t="shared" si="2"/>
        <v>0</v>
      </c>
      <c r="AE23" s="3">
        <f t="shared" si="3"/>
        <v>0.0374725647293946</v>
      </c>
      <c r="AF23" s="3">
        <f t="shared" si="4"/>
        <v>0</v>
      </c>
      <c r="AG23" s="3">
        <f t="shared" si="5"/>
        <v>0.00691743544904623</v>
      </c>
      <c r="AH23" s="3">
        <f t="shared" si="6"/>
        <v>0.0262393604682286</v>
      </c>
      <c r="AI23" s="3">
        <f t="shared" si="7"/>
        <v>0.0706293606466694</v>
      </c>
      <c r="AK23" s="3">
        <f>AB23*(100-进出水!T25)/100</f>
        <v>36.63708</v>
      </c>
      <c r="AL23" s="3">
        <f t="shared" si="8"/>
        <v>6.14131912259383</v>
      </c>
    </row>
    <row r="24" ht="18.6" customHeight="1" spans="1:38">
      <c r="A24" s="6">
        <v>20</v>
      </c>
      <c r="B24" s="276">
        <v>18.6</v>
      </c>
      <c r="C24" s="277" t="s">
        <v>61</v>
      </c>
      <c r="D24" s="278">
        <v>182136</v>
      </c>
      <c r="E24" s="279">
        <v>84.48</v>
      </c>
      <c r="F24" s="279">
        <v>67.68</v>
      </c>
      <c r="G24" s="279">
        <v>0</v>
      </c>
      <c r="H24" s="280">
        <v>225</v>
      </c>
      <c r="I24" s="6">
        <v>5238</v>
      </c>
      <c r="J24" s="64">
        <v>53500.0000000218</v>
      </c>
      <c r="K24" s="288">
        <v>0</v>
      </c>
      <c r="L24" s="289">
        <v>0</v>
      </c>
      <c r="M24" s="288">
        <v>4260</v>
      </c>
      <c r="N24" s="288">
        <v>1488</v>
      </c>
      <c r="O24" s="290">
        <v>0</v>
      </c>
      <c r="P24" s="290">
        <v>0</v>
      </c>
      <c r="Q24" s="300">
        <v>5458</v>
      </c>
      <c r="R24" s="301">
        <f t="shared" si="0"/>
        <v>176678</v>
      </c>
      <c r="S24" s="302"/>
      <c r="T24" s="303" t="s">
        <v>62</v>
      </c>
      <c r="U24" s="321" t="s">
        <v>63</v>
      </c>
      <c r="V24" s="322">
        <f>H37</f>
        <v>5250</v>
      </c>
      <c r="W24" s="57">
        <f>L37</f>
        <v>2.8</v>
      </c>
      <c r="X24" s="57"/>
      <c r="AB24" s="334">
        <f t="shared" si="1"/>
        <v>152.16</v>
      </c>
      <c r="AD24" s="3">
        <f t="shared" si="2"/>
        <v>0</v>
      </c>
      <c r="AE24" s="3">
        <f t="shared" si="3"/>
        <v>0.0356580898583864</v>
      </c>
      <c r="AF24" s="3">
        <f t="shared" si="4"/>
        <v>0</v>
      </c>
      <c r="AG24" s="3">
        <f t="shared" si="5"/>
        <v>0.0112842572363282</v>
      </c>
      <c r="AH24" s="3">
        <f t="shared" si="6"/>
        <v>0.0469111038159816</v>
      </c>
      <c r="AI24" s="3">
        <f t="shared" si="7"/>
        <v>0.0938534509106963</v>
      </c>
      <c r="AK24" s="3">
        <f>AB24*(100-进出水!T26)/100</f>
        <v>33.01872</v>
      </c>
      <c r="AL24" s="3">
        <f t="shared" si="8"/>
        <v>6.81431624242248</v>
      </c>
    </row>
    <row r="25" ht="18.6" customHeight="1" spans="1:38">
      <c r="A25" s="6">
        <v>21</v>
      </c>
      <c r="B25" s="276">
        <v>18.7</v>
      </c>
      <c r="C25" s="277" t="s">
        <v>57</v>
      </c>
      <c r="D25" s="278">
        <v>187391</v>
      </c>
      <c r="E25" s="279">
        <v>51.96</v>
      </c>
      <c r="F25" s="279">
        <v>84.42</v>
      </c>
      <c r="G25" s="279">
        <v>0</v>
      </c>
      <c r="H25" s="280">
        <v>225</v>
      </c>
      <c r="I25" s="6">
        <v>4956</v>
      </c>
      <c r="J25" s="292">
        <v>51299.9999999738</v>
      </c>
      <c r="K25" s="288">
        <v>0</v>
      </c>
      <c r="L25" s="289">
        <v>0.2</v>
      </c>
      <c r="M25" s="288">
        <v>6035</v>
      </c>
      <c r="N25" s="288">
        <v>1920</v>
      </c>
      <c r="O25" s="290">
        <v>0</v>
      </c>
      <c r="P25" s="290">
        <v>0</v>
      </c>
      <c r="Q25" s="300">
        <v>5477</v>
      </c>
      <c r="R25" s="301">
        <f t="shared" si="0"/>
        <v>181914</v>
      </c>
      <c r="S25" s="302"/>
      <c r="T25" s="303"/>
      <c r="U25" s="321" t="s">
        <v>64</v>
      </c>
      <c r="V25" s="297">
        <f>汇总!F6</f>
        <v>6.98093244865213</v>
      </c>
      <c r="W25" s="297">
        <f>W24/R37*1000</f>
        <v>0.000520277828360344</v>
      </c>
      <c r="X25" s="57"/>
      <c r="AB25" s="334">
        <f t="shared" si="1"/>
        <v>136.38</v>
      </c>
      <c r="AD25" s="3">
        <f t="shared" si="2"/>
        <v>0</v>
      </c>
      <c r="AE25" s="3">
        <f t="shared" si="3"/>
        <v>0.034631749068241</v>
      </c>
      <c r="AF25" s="3">
        <f t="shared" si="4"/>
        <v>1.14339742955462e-5</v>
      </c>
      <c r="AG25" s="3">
        <f t="shared" si="5"/>
        <v>0.0155259078465649</v>
      </c>
      <c r="AH25" s="3">
        <f t="shared" si="6"/>
        <v>0.0587882186087932</v>
      </c>
      <c r="AI25" s="3">
        <f t="shared" si="7"/>
        <v>0.108957309497895</v>
      </c>
      <c r="AK25" s="3">
        <f>AB25*(100-进出水!T27)/100</f>
        <v>29.3217</v>
      </c>
      <c r="AL25" s="3">
        <f t="shared" si="8"/>
        <v>7.67349778491697</v>
      </c>
    </row>
    <row r="26" ht="18.6" customHeight="1" spans="1:38">
      <c r="A26" s="6">
        <v>22</v>
      </c>
      <c r="B26" s="276">
        <v>18.9</v>
      </c>
      <c r="C26" s="277" t="s">
        <v>61</v>
      </c>
      <c r="D26" s="278">
        <v>190154</v>
      </c>
      <c r="E26" s="279">
        <v>102.5</v>
      </c>
      <c r="F26" s="279">
        <v>17.1</v>
      </c>
      <c r="G26" s="279">
        <v>0</v>
      </c>
      <c r="H26" s="280">
        <v>175</v>
      </c>
      <c r="I26" s="6">
        <v>4254</v>
      </c>
      <c r="J26" s="64">
        <v>50900.0000000015</v>
      </c>
      <c r="K26" s="288">
        <v>2880</v>
      </c>
      <c r="L26" s="289">
        <v>0</v>
      </c>
      <c r="M26" s="288">
        <v>4473</v>
      </c>
      <c r="N26" s="288">
        <v>1560</v>
      </c>
      <c r="O26" s="290">
        <v>0</v>
      </c>
      <c r="P26" s="290">
        <v>0</v>
      </c>
      <c r="Q26" s="300">
        <v>5461</v>
      </c>
      <c r="R26" s="301">
        <f t="shared" si="0"/>
        <v>184693</v>
      </c>
      <c r="S26" s="302"/>
      <c r="T26" s="303" t="s">
        <v>9</v>
      </c>
      <c r="U26" s="321" t="s">
        <v>63</v>
      </c>
      <c r="V26" s="322">
        <f>K37</f>
        <v>63000</v>
      </c>
      <c r="W26" s="57"/>
      <c r="X26" s="57"/>
      <c r="AB26" s="334">
        <f t="shared" si="1"/>
        <v>119.6</v>
      </c>
      <c r="AD26" s="3">
        <f t="shared" si="2"/>
        <v>0.0064868728105559</v>
      </c>
      <c r="AE26" s="3">
        <f t="shared" si="3"/>
        <v>0.0265305127969116</v>
      </c>
      <c r="AF26" s="3">
        <f t="shared" si="4"/>
        <v>0</v>
      </c>
      <c r="AG26" s="3">
        <f t="shared" si="5"/>
        <v>0.0113342898756315</v>
      </c>
      <c r="AH26" s="3">
        <f t="shared" si="6"/>
        <v>0.0470467207744744</v>
      </c>
      <c r="AI26" s="3">
        <f t="shared" si="7"/>
        <v>0.0913983962575734</v>
      </c>
      <c r="AK26" s="3">
        <f>AB26*(100-进出水!T28)/100</f>
        <v>25.5944</v>
      </c>
      <c r="AL26" s="3">
        <f t="shared" si="8"/>
        <v>6.83743318850998</v>
      </c>
    </row>
    <row r="27" ht="18.6" customHeight="1" spans="1:38">
      <c r="A27" s="6">
        <v>23</v>
      </c>
      <c r="B27" s="276">
        <v>18.7</v>
      </c>
      <c r="C27" s="277" t="s">
        <v>57</v>
      </c>
      <c r="D27" s="278">
        <v>193060</v>
      </c>
      <c r="E27" s="279">
        <v>116.86</v>
      </c>
      <c r="F27" s="279">
        <v>34.62</v>
      </c>
      <c r="G27" s="279">
        <v>0</v>
      </c>
      <c r="H27" s="280">
        <v>150</v>
      </c>
      <c r="I27" s="6">
        <v>4768</v>
      </c>
      <c r="J27" s="64">
        <v>49700.0000000116</v>
      </c>
      <c r="K27" s="288">
        <v>0</v>
      </c>
      <c r="L27" s="289">
        <v>0.2</v>
      </c>
      <c r="M27" s="288">
        <v>4970</v>
      </c>
      <c r="N27" s="288">
        <v>1632</v>
      </c>
      <c r="O27" s="290">
        <v>0</v>
      </c>
      <c r="P27" s="290">
        <v>0</v>
      </c>
      <c r="Q27" s="300">
        <v>5466</v>
      </c>
      <c r="R27" s="301">
        <f t="shared" si="0"/>
        <v>187594</v>
      </c>
      <c r="S27" s="302"/>
      <c r="T27" s="303"/>
      <c r="U27" s="321" t="s">
        <v>65</v>
      </c>
      <c r="V27" s="320">
        <f>ROUND(K37/R37*1000,1)</f>
        <v>11.7</v>
      </c>
      <c r="W27" s="57"/>
      <c r="X27" s="57"/>
      <c r="AB27" s="334">
        <f t="shared" si="1"/>
        <v>151.48</v>
      </c>
      <c r="AD27" s="3">
        <f t="shared" si="2"/>
        <v>0</v>
      </c>
      <c r="AE27" s="3">
        <f t="shared" si="3"/>
        <v>0.0223887757604188</v>
      </c>
      <c r="AF27" s="3">
        <f t="shared" si="4"/>
        <v>1.10877746623026e-5</v>
      </c>
      <c r="AG27" s="3">
        <f t="shared" si="5"/>
        <v>0.0123989040161199</v>
      </c>
      <c r="AH27" s="3">
        <f t="shared" si="6"/>
        <v>0.0484569868972355</v>
      </c>
      <c r="AI27" s="3">
        <f t="shared" si="7"/>
        <v>0.0832557544484365</v>
      </c>
      <c r="AK27" s="3">
        <f>AB27*(100-进出水!T29)/100</f>
        <v>32.26524</v>
      </c>
      <c r="AL27" s="3">
        <f t="shared" si="8"/>
        <v>4.64896588402876</v>
      </c>
    </row>
    <row r="28" ht="18.6" customHeight="1" spans="1:38">
      <c r="A28" s="6">
        <v>24</v>
      </c>
      <c r="B28" s="276">
        <v>18.3</v>
      </c>
      <c r="C28" s="277" t="s">
        <v>61</v>
      </c>
      <c r="D28" s="278">
        <v>189758</v>
      </c>
      <c r="E28" s="279">
        <v>17.68</v>
      </c>
      <c r="F28" s="279">
        <v>34.24</v>
      </c>
      <c r="G28" s="279">
        <v>0</v>
      </c>
      <c r="H28" s="280">
        <v>150</v>
      </c>
      <c r="I28" s="6">
        <v>5086</v>
      </c>
      <c r="J28" s="64">
        <v>52400.000000016</v>
      </c>
      <c r="K28" s="288">
        <v>0</v>
      </c>
      <c r="L28" s="289">
        <v>0</v>
      </c>
      <c r="M28" s="288">
        <v>2343</v>
      </c>
      <c r="N28" s="288">
        <v>720</v>
      </c>
      <c r="O28" s="290">
        <v>0</v>
      </c>
      <c r="P28" s="290">
        <v>0</v>
      </c>
      <c r="Q28" s="300">
        <v>5455</v>
      </c>
      <c r="R28" s="301">
        <f t="shared" si="0"/>
        <v>184303</v>
      </c>
      <c r="S28" s="302"/>
      <c r="T28" s="303" t="s">
        <v>11</v>
      </c>
      <c r="U28" s="321" t="s">
        <v>63</v>
      </c>
      <c r="V28" s="322">
        <f>M37</f>
        <v>117150</v>
      </c>
      <c r="W28" s="57"/>
      <c r="X28" s="57"/>
      <c r="AB28" s="334">
        <f t="shared" si="1"/>
        <v>51.92</v>
      </c>
      <c r="AD28" s="3">
        <f t="shared" si="2"/>
        <v>0</v>
      </c>
      <c r="AE28" s="3">
        <f t="shared" si="3"/>
        <v>0.0227885601428083</v>
      </c>
      <c r="AF28" s="3">
        <f t="shared" si="4"/>
        <v>0</v>
      </c>
      <c r="AG28" s="3">
        <f t="shared" si="5"/>
        <v>0.00594957217191256</v>
      </c>
      <c r="AH28" s="3">
        <f t="shared" si="6"/>
        <v>0.0217598194277901</v>
      </c>
      <c r="AI28" s="3">
        <f t="shared" si="7"/>
        <v>0.050497951742511</v>
      </c>
      <c r="AK28" s="3">
        <f>AB28*(100-进出水!T30)/100</f>
        <v>11.11088</v>
      </c>
      <c r="AL28" s="3">
        <f t="shared" si="8"/>
        <v>13.5002808058408</v>
      </c>
    </row>
    <row r="29" ht="18.6" customHeight="1" spans="1:38">
      <c r="A29" s="6">
        <v>25</v>
      </c>
      <c r="B29" s="276">
        <v>18.5</v>
      </c>
      <c r="C29" s="277" t="s">
        <v>61</v>
      </c>
      <c r="D29" s="278">
        <v>190657</v>
      </c>
      <c r="E29" s="279">
        <v>51.42</v>
      </c>
      <c r="F29" s="279">
        <v>51.68</v>
      </c>
      <c r="G29" s="279">
        <v>0</v>
      </c>
      <c r="H29" s="280">
        <v>200</v>
      </c>
      <c r="I29" s="6">
        <v>5184</v>
      </c>
      <c r="J29" s="64">
        <v>52500</v>
      </c>
      <c r="K29" s="288">
        <v>0</v>
      </c>
      <c r="L29" s="289">
        <v>0.2</v>
      </c>
      <c r="M29" s="288">
        <v>1065</v>
      </c>
      <c r="N29" s="288">
        <v>384</v>
      </c>
      <c r="O29" s="290">
        <v>0</v>
      </c>
      <c r="P29" s="290">
        <v>0</v>
      </c>
      <c r="Q29" s="300">
        <v>5526</v>
      </c>
      <c r="R29" s="301">
        <f t="shared" si="0"/>
        <v>185131</v>
      </c>
      <c r="S29" s="302"/>
      <c r="T29" s="303"/>
      <c r="U29" s="321" t="s">
        <v>65</v>
      </c>
      <c r="V29" s="323">
        <f>ROUND(M37/R37*1000,1)</f>
        <v>21.8</v>
      </c>
      <c r="W29" s="57"/>
      <c r="X29" s="57"/>
      <c r="AB29" s="334">
        <f t="shared" si="1"/>
        <v>103.1</v>
      </c>
      <c r="AD29" s="3">
        <f t="shared" si="2"/>
        <v>0</v>
      </c>
      <c r="AE29" s="3">
        <f t="shared" si="3"/>
        <v>0.0302488508137481</v>
      </c>
      <c r="AF29" s="3">
        <f t="shared" si="4"/>
        <v>1.12352874451064e-5</v>
      </c>
      <c r="AG29" s="3">
        <f t="shared" si="5"/>
        <v>0.00269225575403363</v>
      </c>
      <c r="AH29" s="3">
        <f t="shared" si="6"/>
        <v>0.011553332505091</v>
      </c>
      <c r="AI29" s="3">
        <f t="shared" si="7"/>
        <v>0.0445056743603178</v>
      </c>
      <c r="AK29" s="3">
        <f>AB29*(100-进出水!T31)/100</f>
        <v>21.8572</v>
      </c>
      <c r="AL29" s="3">
        <f t="shared" si="8"/>
        <v>9.15030287502516</v>
      </c>
    </row>
    <row r="30" ht="18.6" customHeight="1" spans="1:38">
      <c r="A30" s="6">
        <v>26</v>
      </c>
      <c r="B30" s="276">
        <v>18.4</v>
      </c>
      <c r="C30" s="277" t="s">
        <v>40</v>
      </c>
      <c r="D30" s="278">
        <v>190377</v>
      </c>
      <c r="E30" s="279">
        <v>87.68</v>
      </c>
      <c r="F30" s="279">
        <v>81.24</v>
      </c>
      <c r="G30" s="279">
        <v>0</v>
      </c>
      <c r="H30" s="280">
        <v>150</v>
      </c>
      <c r="I30" s="6">
        <v>4616</v>
      </c>
      <c r="J30" s="64">
        <v>52999.9999999927</v>
      </c>
      <c r="K30" s="288">
        <v>0</v>
      </c>
      <c r="L30" s="289">
        <v>0</v>
      </c>
      <c r="M30" s="288">
        <v>3550</v>
      </c>
      <c r="N30" s="288">
        <v>1248</v>
      </c>
      <c r="O30" s="290">
        <v>0</v>
      </c>
      <c r="P30" s="290">
        <v>0</v>
      </c>
      <c r="Q30" s="300">
        <v>5442</v>
      </c>
      <c r="R30" s="301">
        <f t="shared" si="0"/>
        <v>184935</v>
      </c>
      <c r="S30" s="302"/>
      <c r="T30" s="303" t="s">
        <v>12</v>
      </c>
      <c r="U30" s="321" t="s">
        <v>63</v>
      </c>
      <c r="V30" s="322">
        <f>处理量!N37</f>
        <v>39480</v>
      </c>
      <c r="W30" s="57"/>
      <c r="X30" s="57"/>
      <c r="AB30" s="334">
        <f t="shared" si="1"/>
        <v>168.92</v>
      </c>
      <c r="AD30" s="3">
        <f t="shared" si="2"/>
        <v>0</v>
      </c>
      <c r="AE30" s="3">
        <f t="shared" si="3"/>
        <v>0.0227106821315597</v>
      </c>
      <c r="AF30" s="3">
        <f t="shared" si="4"/>
        <v>0</v>
      </c>
      <c r="AG30" s="3">
        <f t="shared" si="5"/>
        <v>0.0089836969746127</v>
      </c>
      <c r="AH30" s="3">
        <f t="shared" si="6"/>
        <v>0.0375881255576284</v>
      </c>
      <c r="AI30" s="3">
        <f t="shared" si="7"/>
        <v>0.0692825046638008</v>
      </c>
      <c r="AK30" s="3">
        <f>AB30*(100-进出水!T32)/100</f>
        <v>36.14888</v>
      </c>
      <c r="AL30" s="3">
        <f t="shared" si="8"/>
        <v>4.14950615344099</v>
      </c>
    </row>
    <row r="31" ht="18.6" customHeight="1" spans="1:38">
      <c r="A31" s="6">
        <v>27</v>
      </c>
      <c r="B31" s="276">
        <v>18.8</v>
      </c>
      <c r="C31" s="277" t="s">
        <v>40</v>
      </c>
      <c r="D31" s="278">
        <v>192100</v>
      </c>
      <c r="E31" s="279">
        <v>50.46</v>
      </c>
      <c r="F31" s="279">
        <v>47.18</v>
      </c>
      <c r="G31" s="279">
        <v>0</v>
      </c>
      <c r="H31" s="280">
        <v>150</v>
      </c>
      <c r="I31" s="6">
        <v>5368</v>
      </c>
      <c r="J31" s="64">
        <v>56399.9999999942</v>
      </c>
      <c r="K31" s="288">
        <v>0</v>
      </c>
      <c r="L31" s="289">
        <v>0.2</v>
      </c>
      <c r="M31" s="288">
        <v>5680</v>
      </c>
      <c r="N31" s="288">
        <v>1872</v>
      </c>
      <c r="O31" s="290">
        <v>0</v>
      </c>
      <c r="P31" s="290">
        <v>0</v>
      </c>
      <c r="Q31" s="300">
        <v>5501</v>
      </c>
      <c r="R31" s="301">
        <f t="shared" si="0"/>
        <v>186599</v>
      </c>
      <c r="S31" s="302"/>
      <c r="T31" s="303"/>
      <c r="U31" s="321" t="s">
        <v>65</v>
      </c>
      <c r="V31" s="320">
        <f>ROUND(N37/R37*1000,2)</f>
        <v>7.34</v>
      </c>
      <c r="W31" s="57"/>
      <c r="X31" s="57"/>
      <c r="AB31" s="334">
        <f t="shared" si="1"/>
        <v>97.64</v>
      </c>
      <c r="AD31" s="3">
        <f t="shared" si="2"/>
        <v>0</v>
      </c>
      <c r="AE31" s="3">
        <f t="shared" si="3"/>
        <v>0.0225081592077128</v>
      </c>
      <c r="AF31" s="3">
        <f t="shared" si="4"/>
        <v>1.11468978933435e-5</v>
      </c>
      <c r="AG31" s="3">
        <f t="shared" si="5"/>
        <v>0.014245735507693</v>
      </c>
      <c r="AH31" s="3">
        <f t="shared" si="6"/>
        <v>0.0558793991393309</v>
      </c>
      <c r="AI31" s="3">
        <f t="shared" si="7"/>
        <v>0.09264444075263</v>
      </c>
      <c r="AK31" s="3">
        <f>AB31*(100-进出水!T33)/100</f>
        <v>20.9926</v>
      </c>
      <c r="AL31" s="3">
        <f t="shared" si="8"/>
        <v>7.14537503691777</v>
      </c>
    </row>
    <row r="32" ht="18.6" customHeight="1" spans="1:38">
      <c r="A32" s="6">
        <v>28</v>
      </c>
      <c r="B32" s="276">
        <v>19</v>
      </c>
      <c r="C32" s="277" t="s">
        <v>40</v>
      </c>
      <c r="D32" s="278">
        <v>185003</v>
      </c>
      <c r="E32" s="279">
        <v>31.64</v>
      </c>
      <c r="F32" s="279">
        <v>0</v>
      </c>
      <c r="G32" s="279">
        <v>0</v>
      </c>
      <c r="H32" s="280">
        <v>150</v>
      </c>
      <c r="I32" s="6">
        <v>5468</v>
      </c>
      <c r="J32" s="64">
        <v>54199.9999999825</v>
      </c>
      <c r="K32" s="288">
        <v>0</v>
      </c>
      <c r="L32" s="289">
        <v>0</v>
      </c>
      <c r="M32" s="288">
        <v>5325</v>
      </c>
      <c r="N32" s="288">
        <v>1752</v>
      </c>
      <c r="O32" s="290">
        <v>0</v>
      </c>
      <c r="P32" s="290">
        <v>0</v>
      </c>
      <c r="Q32" s="300">
        <v>5525</v>
      </c>
      <c r="R32" s="301">
        <f t="shared" si="0"/>
        <v>179478</v>
      </c>
      <c r="S32" s="302"/>
      <c r="T32" s="303" t="s">
        <v>66</v>
      </c>
      <c r="U32" s="321" t="s">
        <v>67</v>
      </c>
      <c r="V32" s="57">
        <f>O37</f>
        <v>0</v>
      </c>
      <c r="W32" s="57"/>
      <c r="X32" s="57"/>
      <c r="AB32" s="334">
        <f t="shared" si="1"/>
        <v>31.64</v>
      </c>
      <c r="AD32" s="3">
        <f t="shared" si="2"/>
        <v>0</v>
      </c>
      <c r="AE32" s="3">
        <f t="shared" si="3"/>
        <v>0.0234011968040651</v>
      </c>
      <c r="AF32" s="3">
        <f t="shared" si="4"/>
        <v>0</v>
      </c>
      <c r="AG32" s="3">
        <f t="shared" si="5"/>
        <v>0.0138852672750978</v>
      </c>
      <c r="AH32" s="3">
        <f t="shared" si="6"/>
        <v>0.0543723464714338</v>
      </c>
      <c r="AI32" s="3">
        <f t="shared" si="7"/>
        <v>0.0916588105505967</v>
      </c>
      <c r="AK32" s="3">
        <f>AB32*(100-进出水!T34)/100</f>
        <v>6.89752</v>
      </c>
      <c r="AL32" s="3">
        <f t="shared" si="8"/>
        <v>21.7469467286793</v>
      </c>
    </row>
    <row r="33" ht="18.6" customHeight="1" spans="1:38">
      <c r="A33" s="6">
        <v>29</v>
      </c>
      <c r="B33" s="276">
        <v>19.3</v>
      </c>
      <c r="C33" s="277" t="s">
        <v>40</v>
      </c>
      <c r="D33" s="278">
        <v>187275</v>
      </c>
      <c r="E33" s="279">
        <v>82.22</v>
      </c>
      <c r="F33" s="279">
        <v>0</v>
      </c>
      <c r="G33" s="279">
        <v>0</v>
      </c>
      <c r="H33" s="280">
        <v>200</v>
      </c>
      <c r="I33" s="6">
        <v>4298</v>
      </c>
      <c r="J33" s="64">
        <v>58600.0000000058</v>
      </c>
      <c r="K33" s="288">
        <v>120</v>
      </c>
      <c r="L33" s="289">
        <v>0.2</v>
      </c>
      <c r="M33" s="288">
        <v>3905</v>
      </c>
      <c r="N33" s="288">
        <v>1296</v>
      </c>
      <c r="O33" s="290">
        <v>0</v>
      </c>
      <c r="P33" s="290">
        <v>0</v>
      </c>
      <c r="Q33" s="300">
        <v>5441</v>
      </c>
      <c r="R33" s="301">
        <f t="shared" si="0"/>
        <v>181834</v>
      </c>
      <c r="S33" s="302"/>
      <c r="T33" s="303"/>
      <c r="U33" s="321" t="s">
        <v>65</v>
      </c>
      <c r="V33" s="320">
        <f>ROUND(V32/R37*1000000,2)</f>
        <v>0</v>
      </c>
      <c r="W33" s="57"/>
      <c r="X33" s="57"/>
      <c r="AB33" s="334">
        <f t="shared" si="1"/>
        <v>82.22</v>
      </c>
      <c r="AD33" s="3">
        <f t="shared" si="2"/>
        <v>0.000274536115357964</v>
      </c>
      <c r="AE33" s="3">
        <f t="shared" si="3"/>
        <v>0.0307973206331049</v>
      </c>
      <c r="AF33" s="3">
        <f t="shared" si="4"/>
        <v>1.14390048065818e-5</v>
      </c>
      <c r="AG33" s="3">
        <f t="shared" si="5"/>
        <v>0.010050595598183</v>
      </c>
      <c r="AH33" s="3">
        <f t="shared" si="6"/>
        <v>0.0396995061429656</v>
      </c>
      <c r="AI33" s="3">
        <f t="shared" si="7"/>
        <v>0.080833397494418</v>
      </c>
      <c r="AK33" s="3">
        <f>AB33*(100-进出水!T35)/100</f>
        <v>17.75952</v>
      </c>
      <c r="AL33" s="3">
        <f t="shared" si="8"/>
        <v>11.2615656278999</v>
      </c>
    </row>
    <row r="34" ht="18.6" customHeight="1" spans="1:38">
      <c r="A34" s="6">
        <v>30</v>
      </c>
      <c r="B34" s="276">
        <v>19.1</v>
      </c>
      <c r="C34" s="277" t="s">
        <v>61</v>
      </c>
      <c r="D34" s="278">
        <v>182177</v>
      </c>
      <c r="E34" s="279">
        <v>83.12</v>
      </c>
      <c r="F34" s="279">
        <v>0</v>
      </c>
      <c r="G34" s="279">
        <v>0</v>
      </c>
      <c r="H34" s="280">
        <v>150</v>
      </c>
      <c r="I34" s="6">
        <v>5900</v>
      </c>
      <c r="J34" s="64">
        <v>55900.0000000015</v>
      </c>
      <c r="K34" s="288">
        <v>0</v>
      </c>
      <c r="L34" s="289">
        <v>0</v>
      </c>
      <c r="M34" s="288">
        <v>2982</v>
      </c>
      <c r="N34" s="288">
        <v>1056</v>
      </c>
      <c r="O34" s="290">
        <v>0</v>
      </c>
      <c r="P34" s="290">
        <v>0</v>
      </c>
      <c r="Q34" s="300">
        <v>5451</v>
      </c>
      <c r="R34" s="301">
        <f t="shared" si="0"/>
        <v>176726</v>
      </c>
      <c r="S34" s="302"/>
      <c r="T34" s="303"/>
      <c r="U34" s="321"/>
      <c r="V34" s="320"/>
      <c r="W34" s="57"/>
      <c r="X34" s="57"/>
      <c r="AB34" s="334">
        <f t="shared" si="1"/>
        <v>83.12</v>
      </c>
      <c r="AD34" s="3">
        <f t="shared" si="2"/>
        <v>0</v>
      </c>
      <c r="AE34" s="3">
        <f t="shared" si="3"/>
        <v>0.0237656032502292</v>
      </c>
      <c r="AF34" s="3">
        <f t="shared" si="4"/>
        <v>0</v>
      </c>
      <c r="AG34" s="3">
        <f t="shared" si="5"/>
        <v>0.00789683464798615</v>
      </c>
      <c r="AH34" s="3">
        <f t="shared" si="6"/>
        <v>0.0332827088260924</v>
      </c>
      <c r="AI34" s="3">
        <f t="shared" si="7"/>
        <v>0.0649451467243077</v>
      </c>
      <c r="AK34" s="3">
        <f>AB34*(100-进出水!T36)/100</f>
        <v>17.70456</v>
      </c>
      <c r="AL34" s="3">
        <f t="shared" si="8"/>
        <v>8.4723935528474</v>
      </c>
    </row>
    <row r="35" ht="18.6" customHeight="1" spans="1:38">
      <c r="A35" s="6">
        <v>31</v>
      </c>
      <c r="B35" s="276">
        <v>18</v>
      </c>
      <c r="C35" s="277" t="s">
        <v>40</v>
      </c>
      <c r="D35" s="278">
        <v>178734</v>
      </c>
      <c r="E35" s="279">
        <v>84.7</v>
      </c>
      <c r="F35" s="279">
        <v>0</v>
      </c>
      <c r="G35" s="279">
        <v>0</v>
      </c>
      <c r="H35" s="280">
        <v>125</v>
      </c>
      <c r="I35" s="6">
        <v>6014</v>
      </c>
      <c r="J35" s="64">
        <v>53100.0000000131</v>
      </c>
      <c r="K35" s="288">
        <v>0</v>
      </c>
      <c r="L35" s="289">
        <v>0.2</v>
      </c>
      <c r="M35" s="288">
        <v>1775</v>
      </c>
      <c r="N35" s="288">
        <v>648</v>
      </c>
      <c r="O35" s="290">
        <v>0</v>
      </c>
      <c r="P35" s="290">
        <v>0</v>
      </c>
      <c r="Q35" s="300">
        <v>5501</v>
      </c>
      <c r="R35" s="301">
        <f t="shared" si="0"/>
        <v>173233</v>
      </c>
      <c r="S35" s="302"/>
      <c r="T35" s="303"/>
      <c r="U35" s="321"/>
      <c r="V35" s="57"/>
      <c r="W35" s="57"/>
      <c r="X35" s="57"/>
      <c r="AB35" s="334">
        <f t="shared" si="1"/>
        <v>84.7</v>
      </c>
      <c r="AD35" s="3">
        <f t="shared" si="2"/>
        <v>0</v>
      </c>
      <c r="AE35" s="3">
        <f t="shared" si="3"/>
        <v>0.0202040027015638</v>
      </c>
      <c r="AF35" s="3">
        <f t="shared" si="4"/>
        <v>1.20069501769293e-5</v>
      </c>
      <c r="AG35" s="3">
        <f t="shared" si="5"/>
        <v>0.00479527572691115</v>
      </c>
      <c r="AH35" s="3">
        <f t="shared" si="6"/>
        <v>0.0208352911974047</v>
      </c>
      <c r="AI35" s="3">
        <f t="shared" si="7"/>
        <v>0.0458465765760565</v>
      </c>
      <c r="AK35" s="3">
        <f>AB35*(100-进出水!T37)/100</f>
        <v>18.2105</v>
      </c>
      <c r="AL35" s="3">
        <f t="shared" si="8"/>
        <v>6.86417176903435</v>
      </c>
    </row>
    <row r="36" ht="19" customHeight="1" spans="1:20">
      <c r="A36" s="5" t="s">
        <v>68</v>
      </c>
      <c r="B36" s="61">
        <f>AVERAGE(B5:B35)</f>
        <v>18.5354838709677</v>
      </c>
      <c r="C36" s="8" t="s">
        <v>69</v>
      </c>
      <c r="D36" s="281">
        <f>AVERAGE(D5:D35)</f>
        <v>179043.64516129</v>
      </c>
      <c r="E36" s="282">
        <f>AVERAGE(E5:E35)</f>
        <v>83.1677419354838</v>
      </c>
      <c r="F36" s="282">
        <f>AVERAGE(F5:F35)</f>
        <v>27.6070967741935</v>
      </c>
      <c r="G36" s="282">
        <f>AVERAGE(G5:G35)</f>
        <v>2.27096774193548</v>
      </c>
      <c r="H36" s="281">
        <f t="shared" ref="H36:Q36" si="9">AVERAGE(H5:H35)</f>
        <v>169.354838709677</v>
      </c>
      <c r="I36" s="281">
        <f t="shared" si="9"/>
        <v>4996.96774193548</v>
      </c>
      <c r="J36" s="281">
        <f t="shared" si="9"/>
        <v>53087.0967741935</v>
      </c>
      <c r="K36" s="281">
        <f t="shared" si="9"/>
        <v>2032.25806451613</v>
      </c>
      <c r="L36" s="281">
        <f t="shared" si="9"/>
        <v>0.0903225806451613</v>
      </c>
      <c r="M36" s="281">
        <f t="shared" si="9"/>
        <v>3779.03225806452</v>
      </c>
      <c r="N36" s="281">
        <f t="shared" si="9"/>
        <v>1273.54838709677</v>
      </c>
      <c r="O36" s="293">
        <f t="shared" si="9"/>
        <v>0</v>
      </c>
      <c r="P36" s="282">
        <f t="shared" si="9"/>
        <v>0</v>
      </c>
      <c r="Q36" s="281">
        <f t="shared" si="9"/>
        <v>5439.12903225806</v>
      </c>
      <c r="R36" s="324">
        <f t="shared" si="0"/>
        <v>173604.516129032</v>
      </c>
      <c r="S36" s="325"/>
      <c r="T36" s="326"/>
    </row>
    <row r="37" ht="17" customHeight="1" spans="1:28">
      <c r="A37" s="5" t="s">
        <v>26</v>
      </c>
      <c r="B37" s="6" t="s">
        <v>69</v>
      </c>
      <c r="C37" s="6" t="s">
        <v>69</v>
      </c>
      <c r="D37" s="283">
        <f>SUM(D5:D35)</f>
        <v>5550353</v>
      </c>
      <c r="E37" s="284">
        <f>SUM(E5:E35)</f>
        <v>2578.2</v>
      </c>
      <c r="F37" s="284">
        <f>SUM(F5:F35)</f>
        <v>855.82</v>
      </c>
      <c r="G37" s="284">
        <f>SUM(G5:G35)</f>
        <v>70.4</v>
      </c>
      <c r="H37" s="283">
        <f>SUM(H5:H35)</f>
        <v>5250</v>
      </c>
      <c r="I37" s="6" t="s">
        <v>69</v>
      </c>
      <c r="J37" s="281">
        <f t="shared" ref="J37:R37" si="10">SUM(J5:J35)</f>
        <v>1645700</v>
      </c>
      <c r="K37" s="281">
        <f t="shared" si="10"/>
        <v>63000</v>
      </c>
      <c r="L37" s="294">
        <f t="shared" si="10"/>
        <v>2.8</v>
      </c>
      <c r="M37" s="281">
        <f t="shared" si="10"/>
        <v>117150</v>
      </c>
      <c r="N37" s="281">
        <f t="shared" si="10"/>
        <v>39480</v>
      </c>
      <c r="O37" s="282">
        <f t="shared" si="10"/>
        <v>0</v>
      </c>
      <c r="P37" s="282">
        <f t="shared" si="10"/>
        <v>0</v>
      </c>
      <c r="Q37" s="281">
        <f t="shared" si="10"/>
        <v>168613</v>
      </c>
      <c r="R37" s="281">
        <f t="shared" si="10"/>
        <v>5381740</v>
      </c>
      <c r="S37" s="327"/>
      <c r="T37" s="328"/>
      <c r="AB37" s="3">
        <f>SUM(AB5:AB36)</f>
        <v>3504.42</v>
      </c>
    </row>
    <row r="38" ht="18.6" customHeight="1" spans="1:18">
      <c r="A38" s="285" t="s">
        <v>70</v>
      </c>
      <c r="B38" s="285"/>
      <c r="C38" s="285"/>
      <c r="D38" s="285"/>
      <c r="E38" s="286"/>
      <c r="F38" s="286"/>
      <c r="I38" s="295" t="s">
        <v>71</v>
      </c>
      <c r="Q38" s="329" t="s">
        <v>72</v>
      </c>
      <c r="R38" s="330">
        <v>45019</v>
      </c>
    </row>
    <row r="39" ht="18.6" customHeight="1" spans="13:13">
      <c r="M39" s="266">
        <f>M37*0.31</f>
        <v>36316.5</v>
      </c>
    </row>
    <row r="40" spans="7:28">
      <c r="G40" s="266"/>
      <c r="H40" s="266"/>
      <c r="Q40" s="266" t="s">
        <v>73</v>
      </c>
      <c r="R40" s="266">
        <f>MAX(R5:R35)</f>
        <v>187594</v>
      </c>
      <c r="AB40" s="3">
        <f>(100-进出水!T38)*AB37/100</f>
        <v>752.048532</v>
      </c>
    </row>
    <row r="41" spans="7:18">
      <c r="G41" s="266"/>
      <c r="H41" s="266"/>
      <c r="O41" s="266">
        <f>O37*1000</f>
        <v>0</v>
      </c>
      <c r="Q41" s="266" t="s">
        <v>74</v>
      </c>
      <c r="R41" s="266">
        <f>MIN(R5:R35)</f>
        <v>157586</v>
      </c>
    </row>
    <row r="42" spans="12:12">
      <c r="L42" s="266">
        <f>L37*1000/R37</f>
        <v>0.000520277828360344</v>
      </c>
    </row>
    <row r="43" spans="18:18">
      <c r="R43" s="266">
        <f>O37*1000</f>
        <v>0</v>
      </c>
    </row>
    <row r="44" spans="18:18">
      <c r="R44" s="266">
        <f>L37/R37*1000</f>
        <v>0.000520277828360344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P12" sqref="P12:P17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10" t="s">
        <v>75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2" s="189" customFormat="1" ht="20.1" customHeight="1" spans="1:13">
      <c r="A2" s="211">
        <v>44986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="189" customFormat="1" ht="24" customHeight="1" spans="1:22">
      <c r="A3" s="212" t="s">
        <v>76</v>
      </c>
      <c r="B3" s="213" t="s">
        <v>77</v>
      </c>
      <c r="C3" s="214">
        <f>处理量!R37</f>
        <v>5381740</v>
      </c>
      <c r="D3" s="215" t="s">
        <v>78</v>
      </c>
      <c r="E3" s="213" t="s">
        <v>79</v>
      </c>
      <c r="F3" s="216">
        <f>处理量!E37+处理量!F37+处理量!G37</f>
        <v>3504.42</v>
      </c>
      <c r="G3" s="212" t="s">
        <v>80</v>
      </c>
      <c r="H3" s="213" t="s">
        <v>81</v>
      </c>
      <c r="I3" s="213"/>
      <c r="J3" s="37">
        <f>处理量!J37</f>
        <v>1645700</v>
      </c>
      <c r="K3" s="215" t="s">
        <v>82</v>
      </c>
      <c r="L3" s="213" t="s">
        <v>83</v>
      </c>
      <c r="M3" s="250">
        <f>J3/C3</f>
        <v>0.305793293618792</v>
      </c>
      <c r="P3" s="189" t="s">
        <v>84</v>
      </c>
      <c r="Q3" s="264">
        <v>1773.2</v>
      </c>
      <c r="R3" s="189">
        <f>J5-Q3</f>
        <v>2846.8</v>
      </c>
      <c r="V3" s="189">
        <v>188314</v>
      </c>
    </row>
    <row r="4" s="189" customFormat="1" ht="24" customHeight="1" spans="1:22">
      <c r="A4" s="212"/>
      <c r="B4" s="213" t="s">
        <v>85</v>
      </c>
      <c r="C4" s="217">
        <f>处理量!R36</f>
        <v>173604.516129032</v>
      </c>
      <c r="D4" s="218"/>
      <c r="E4" s="213" t="s">
        <v>86</v>
      </c>
      <c r="F4" s="219">
        <f>处理量!H37</f>
        <v>5250</v>
      </c>
      <c r="G4" s="212"/>
      <c r="H4" s="213" t="s">
        <v>87</v>
      </c>
      <c r="I4" s="213"/>
      <c r="J4" s="219">
        <f>J3/M15</f>
        <v>53087.0967741935</v>
      </c>
      <c r="K4" s="218"/>
      <c r="L4" s="213" t="s">
        <v>88</v>
      </c>
      <c r="M4" s="251">
        <f>J3/I12</f>
        <v>1.08283744199289</v>
      </c>
      <c r="P4" s="189" t="s">
        <v>89</v>
      </c>
      <c r="Q4" s="264">
        <v>50535.9999999999</v>
      </c>
      <c r="V4" s="189">
        <v>193894</v>
      </c>
    </row>
    <row r="5" s="189" customFormat="1" ht="24" customHeight="1" spans="1:22">
      <c r="A5" s="212"/>
      <c r="B5" s="213"/>
      <c r="C5" s="220"/>
      <c r="D5" s="218"/>
      <c r="E5" s="213" t="s">
        <v>90</v>
      </c>
      <c r="F5" s="221">
        <f>进出水!T38</f>
        <v>78.54</v>
      </c>
      <c r="G5" s="212"/>
      <c r="H5" s="213" t="s">
        <v>91</v>
      </c>
      <c r="I5" s="213"/>
      <c r="J5" s="252">
        <v>4620</v>
      </c>
      <c r="K5" s="218"/>
      <c r="L5" s="213"/>
      <c r="M5" s="253"/>
      <c r="V5" s="189">
        <f>V4-V3</f>
        <v>5580</v>
      </c>
    </row>
    <row r="6" s="189" customFormat="1" ht="24" customHeight="1" spans="1:13">
      <c r="A6" s="212"/>
      <c r="B6" s="213" t="s">
        <v>92</v>
      </c>
      <c r="C6" s="222">
        <f>处理量!R40</f>
        <v>187594</v>
      </c>
      <c r="D6" s="218"/>
      <c r="E6" s="212" t="s">
        <v>93</v>
      </c>
      <c r="F6" s="216">
        <f>F4/(F3*(100-F5)/100)</f>
        <v>6.98093244865213</v>
      </c>
      <c r="G6" s="215" t="s">
        <v>94</v>
      </c>
      <c r="H6" s="213" t="s">
        <v>95</v>
      </c>
      <c r="I6" s="213"/>
      <c r="J6" s="225">
        <f>处理量!M37/1000</f>
        <v>117.15</v>
      </c>
      <c r="K6" s="218"/>
      <c r="L6" s="213" t="s">
        <v>96</v>
      </c>
      <c r="M6" s="225">
        <f>J3/I13</f>
        <v>2.19395389308934</v>
      </c>
    </row>
    <row r="7" s="189" customFormat="1" ht="24" customHeight="1" spans="1:13">
      <c r="A7" s="212"/>
      <c r="B7" s="213" t="s">
        <v>97</v>
      </c>
      <c r="C7" s="37">
        <f>处理量!R41</f>
        <v>157586</v>
      </c>
      <c r="D7" s="223"/>
      <c r="E7" s="212" t="s">
        <v>98</v>
      </c>
      <c r="F7" s="224">
        <f>F3*(100-F5)/100*1000/(C3/1000)</f>
        <v>139.740777518052</v>
      </c>
      <c r="G7" s="218"/>
      <c r="H7" s="213" t="s">
        <v>99</v>
      </c>
      <c r="I7" s="213"/>
      <c r="J7" s="239">
        <f>J6*1000/(C3/1000)</f>
        <v>21.7680527115766</v>
      </c>
      <c r="K7" s="218"/>
      <c r="L7" s="254" t="s">
        <v>100</v>
      </c>
      <c r="M7" s="225">
        <f>J3/I14</f>
        <v>2.56344449340927</v>
      </c>
    </row>
    <row r="8" s="189" customFormat="1" ht="24" customHeight="1" spans="1:13">
      <c r="A8" s="212"/>
      <c r="B8" s="213" t="s">
        <v>101</v>
      </c>
      <c r="C8" s="225">
        <f>C4/200000*100</f>
        <v>86.8022580645161</v>
      </c>
      <c r="D8" s="212" t="s">
        <v>102</v>
      </c>
      <c r="E8" s="213" t="s">
        <v>103</v>
      </c>
      <c r="F8" s="225">
        <f>处理量!K37/1000</f>
        <v>63</v>
      </c>
      <c r="G8" s="218"/>
      <c r="H8" s="213" t="s">
        <v>104</v>
      </c>
      <c r="I8" s="213"/>
      <c r="J8" s="225">
        <f>处理量!N37/1000</f>
        <v>39.48</v>
      </c>
      <c r="K8" s="255" t="s">
        <v>105</v>
      </c>
      <c r="L8" s="234" t="s">
        <v>106</v>
      </c>
      <c r="M8" s="256">
        <f>处理量!O37</f>
        <v>0</v>
      </c>
    </row>
    <row r="9" s="189" customFormat="1" ht="24" customHeight="1" spans="1:13">
      <c r="A9" s="212"/>
      <c r="B9" s="226" t="s">
        <v>107</v>
      </c>
      <c r="C9" s="227">
        <f>处理量!B36</f>
        <v>18.5354838709677</v>
      </c>
      <c r="D9" s="212"/>
      <c r="E9" s="213" t="s">
        <v>99</v>
      </c>
      <c r="F9" s="225">
        <f>F8*1000/(C3/1000)</f>
        <v>11.7062511381077</v>
      </c>
      <c r="G9" s="223"/>
      <c r="H9" s="213" t="s">
        <v>99</v>
      </c>
      <c r="I9" s="213"/>
      <c r="J9" s="216">
        <f>J8*1000/(C3/1000)</f>
        <v>7.33591737988086</v>
      </c>
      <c r="K9" s="231"/>
      <c r="L9" s="37" t="s">
        <v>99</v>
      </c>
      <c r="M9" s="256">
        <f>M8*1000000/C3</f>
        <v>0</v>
      </c>
    </row>
    <row r="10" s="189" customFormat="1" ht="24" customHeight="1" spans="1:13">
      <c r="A10" s="212" t="s">
        <v>108</v>
      </c>
      <c r="B10" s="228" t="s">
        <v>109</v>
      </c>
      <c r="C10" s="229" t="s">
        <v>110</v>
      </c>
      <c r="D10" s="230"/>
      <c r="E10" s="229" t="s">
        <v>111</v>
      </c>
      <c r="F10" s="230"/>
      <c r="G10" s="229" t="s">
        <v>112</v>
      </c>
      <c r="H10" s="230"/>
      <c r="I10" s="229" t="s">
        <v>113</v>
      </c>
      <c r="J10" s="230"/>
      <c r="K10" s="215" t="s">
        <v>114</v>
      </c>
      <c r="L10" s="234" t="s">
        <v>106</v>
      </c>
      <c r="M10" s="37">
        <v>0</v>
      </c>
    </row>
    <row r="11" s="189" customFormat="1" ht="24" customHeight="1" spans="1:13">
      <c r="A11" s="212"/>
      <c r="B11" s="231"/>
      <c r="C11" s="232"/>
      <c r="D11" s="233"/>
      <c r="E11" s="232"/>
      <c r="F11" s="233"/>
      <c r="G11" s="232"/>
      <c r="H11" s="233"/>
      <c r="I11" s="232"/>
      <c r="J11" s="233"/>
      <c r="K11" s="223"/>
      <c r="L11" s="37" t="s">
        <v>99</v>
      </c>
      <c r="M11" s="37">
        <v>0</v>
      </c>
    </row>
    <row r="12" s="189" customFormat="1" ht="24" customHeight="1" spans="1:19">
      <c r="A12" s="212"/>
      <c r="B12" s="234" t="s">
        <v>115</v>
      </c>
      <c r="C12" s="219">
        <f>进出水!B38</f>
        <v>311</v>
      </c>
      <c r="D12" s="219"/>
      <c r="E12" s="235">
        <f>进出水!N38</f>
        <v>28.6</v>
      </c>
      <c r="F12" s="236"/>
      <c r="G12" s="235">
        <f t="shared" ref="G12:G17" si="0">(C12-E12)/C12*100</f>
        <v>90.8038585209003</v>
      </c>
      <c r="H12" s="236"/>
      <c r="I12" s="219">
        <f>$C$3*(C12-E12)/1000</f>
        <v>1519803.376</v>
      </c>
      <c r="J12" s="219"/>
      <c r="K12" s="212" t="s">
        <v>116</v>
      </c>
      <c r="L12" s="213" t="s">
        <v>30</v>
      </c>
      <c r="M12" s="216">
        <f>处理量!V16</f>
        <v>2578.2</v>
      </c>
      <c r="O12" s="189">
        <f t="shared" ref="O12:O17" si="1">C12</f>
        <v>311</v>
      </c>
      <c r="P12" s="257">
        <f t="shared" ref="P12:P17" si="2">ROUND(E12,2)</f>
        <v>28.6</v>
      </c>
      <c r="Q12" s="265">
        <f>C3</f>
        <v>5381740</v>
      </c>
      <c r="R12" s="257">
        <f t="shared" ref="R12:R17" si="3">P12*Q12/1000000</f>
        <v>153.917764</v>
      </c>
      <c r="S12" s="234" t="s">
        <v>115</v>
      </c>
    </row>
    <row r="13" s="189" customFormat="1" ht="24" customHeight="1" spans="1:19">
      <c r="A13" s="212"/>
      <c r="B13" s="234" t="s">
        <v>117</v>
      </c>
      <c r="C13" s="219">
        <f>进出水!C38</f>
        <v>142</v>
      </c>
      <c r="D13" s="219"/>
      <c r="E13" s="237">
        <f>进出水!O38</f>
        <v>2.62</v>
      </c>
      <c r="F13" s="238"/>
      <c r="G13" s="235">
        <f t="shared" si="0"/>
        <v>98.1549295774648</v>
      </c>
      <c r="H13" s="236"/>
      <c r="I13" s="219">
        <f>$C$3*(C13-E13)/1000</f>
        <v>750106.9212</v>
      </c>
      <c r="J13" s="219"/>
      <c r="K13" s="212"/>
      <c r="L13" s="34" t="s">
        <v>31</v>
      </c>
      <c r="M13" s="258">
        <f>处理量!U16</f>
        <v>855.82</v>
      </c>
      <c r="O13" s="189">
        <f t="shared" si="1"/>
        <v>142</v>
      </c>
      <c r="P13" s="257">
        <f t="shared" si="2"/>
        <v>2.62</v>
      </c>
      <c r="Q13" s="265">
        <f t="shared" ref="Q13:Q17" si="4">Q12</f>
        <v>5381740</v>
      </c>
      <c r="R13" s="257">
        <f t="shared" si="3"/>
        <v>14.1001588</v>
      </c>
      <c r="S13" s="234" t="s">
        <v>117</v>
      </c>
    </row>
    <row r="14" s="189" customFormat="1" ht="24" customHeight="1" spans="1:19">
      <c r="A14" s="212"/>
      <c r="B14" s="234" t="s">
        <v>118</v>
      </c>
      <c r="C14" s="219">
        <f>进出水!D38</f>
        <v>125</v>
      </c>
      <c r="D14" s="219"/>
      <c r="E14" s="237">
        <f>进出水!P38</f>
        <v>5.71</v>
      </c>
      <c r="F14" s="238"/>
      <c r="G14" s="235">
        <f t="shared" si="0"/>
        <v>95.432</v>
      </c>
      <c r="H14" s="236"/>
      <c r="I14" s="219">
        <f>$C$3*(C14-E14)/1000</f>
        <v>641987.7646</v>
      </c>
      <c r="J14" s="219"/>
      <c r="K14" s="212"/>
      <c r="L14" s="34" t="s">
        <v>119</v>
      </c>
      <c r="M14" s="258">
        <f>处理量!W16</f>
        <v>70.4</v>
      </c>
      <c r="O14" s="189">
        <f t="shared" si="1"/>
        <v>125</v>
      </c>
      <c r="P14" s="257">
        <f t="shared" si="2"/>
        <v>5.71</v>
      </c>
      <c r="Q14" s="265">
        <f t="shared" si="4"/>
        <v>5381740</v>
      </c>
      <c r="R14" s="257">
        <f t="shared" si="3"/>
        <v>30.7297354</v>
      </c>
      <c r="S14" s="234" t="s">
        <v>118</v>
      </c>
    </row>
    <row r="15" s="189" customFormat="1" ht="24" customHeight="1" spans="1:19">
      <c r="A15" s="212"/>
      <c r="B15" s="234" t="s">
        <v>120</v>
      </c>
      <c r="C15" s="216">
        <f>进出水!E38</f>
        <v>2.52</v>
      </c>
      <c r="D15" s="216"/>
      <c r="E15" s="237">
        <f>进出水!Q38</f>
        <v>0.19</v>
      </c>
      <c r="F15" s="238"/>
      <c r="G15" s="235">
        <f t="shared" si="0"/>
        <v>92.4603174603175</v>
      </c>
      <c r="H15" s="236"/>
      <c r="I15" s="219">
        <f>$C$3*(C15-E15)/1000</f>
        <v>12539.4542</v>
      </c>
      <c r="J15" s="219"/>
      <c r="K15" s="215" t="s">
        <v>121</v>
      </c>
      <c r="L15" s="259" t="s">
        <v>122</v>
      </c>
      <c r="M15" s="36">
        <v>31</v>
      </c>
      <c r="O15" s="189">
        <f t="shared" si="1"/>
        <v>2.52</v>
      </c>
      <c r="P15" s="257">
        <f t="shared" si="2"/>
        <v>0.19</v>
      </c>
      <c r="Q15" s="265">
        <f t="shared" si="4"/>
        <v>5381740</v>
      </c>
      <c r="R15" s="257">
        <f t="shared" si="3"/>
        <v>1.0225306</v>
      </c>
      <c r="S15" s="234" t="s">
        <v>120</v>
      </c>
    </row>
    <row r="16" s="189" customFormat="1" ht="24" customHeight="1" spans="1:19">
      <c r="A16" s="212"/>
      <c r="B16" s="234" t="s">
        <v>123</v>
      </c>
      <c r="C16" s="239">
        <f>进出水!G38</f>
        <v>32.6</v>
      </c>
      <c r="D16" s="239"/>
      <c r="E16" s="237">
        <f>进出水!S38</f>
        <v>6.31</v>
      </c>
      <c r="F16" s="238"/>
      <c r="G16" s="235">
        <f t="shared" si="0"/>
        <v>80.6441717791411</v>
      </c>
      <c r="H16" s="236"/>
      <c r="I16" s="219">
        <f>$C$3*(C16-E16)/1000</f>
        <v>141485.9446</v>
      </c>
      <c r="J16" s="219"/>
      <c r="K16" s="218"/>
      <c r="L16" s="260" t="s">
        <v>124</v>
      </c>
      <c r="M16" s="37">
        <v>31</v>
      </c>
      <c r="O16" s="189">
        <f t="shared" si="1"/>
        <v>32.6</v>
      </c>
      <c r="P16" s="257">
        <f t="shared" si="2"/>
        <v>6.31</v>
      </c>
      <c r="Q16" s="265">
        <f t="shared" si="4"/>
        <v>5381740</v>
      </c>
      <c r="R16" s="257">
        <f t="shared" si="3"/>
        <v>33.9587794</v>
      </c>
      <c r="S16" s="234" t="s">
        <v>123</v>
      </c>
    </row>
    <row r="17" s="189" customFormat="1" ht="24" customHeight="1" spans="1:19">
      <c r="A17" s="212"/>
      <c r="B17" s="234" t="s">
        <v>125</v>
      </c>
      <c r="C17" s="239">
        <f>进出水!F38</f>
        <v>26.4</v>
      </c>
      <c r="D17" s="239"/>
      <c r="E17" s="237">
        <f>进出水!R38</f>
        <v>0.48</v>
      </c>
      <c r="F17" s="238"/>
      <c r="G17" s="235">
        <f t="shared" si="0"/>
        <v>98.1818181818182</v>
      </c>
      <c r="H17" s="236"/>
      <c r="I17" s="219">
        <f>$C$3*(C17-E17)/1000</f>
        <v>139494.7008</v>
      </c>
      <c r="J17" s="219"/>
      <c r="K17" s="218"/>
      <c r="L17" s="260" t="s">
        <v>126</v>
      </c>
      <c r="M17" s="36">
        <v>31</v>
      </c>
      <c r="O17" s="189">
        <f t="shared" si="1"/>
        <v>26.4</v>
      </c>
      <c r="P17" s="257">
        <f t="shared" si="2"/>
        <v>0.48</v>
      </c>
      <c r="Q17" s="265">
        <f t="shared" si="4"/>
        <v>5381740</v>
      </c>
      <c r="R17" s="257">
        <f t="shared" si="3"/>
        <v>2.5832352</v>
      </c>
      <c r="S17" s="234" t="s">
        <v>125</v>
      </c>
    </row>
    <row r="18" s="189" customFormat="1" ht="24" customHeight="1" spans="1:13">
      <c r="A18" s="212"/>
      <c r="B18" s="226" t="s">
        <v>127</v>
      </c>
      <c r="C18" s="240"/>
      <c r="D18" s="241"/>
      <c r="E18" s="242" t="s">
        <v>128</v>
      </c>
      <c r="F18" s="243"/>
      <c r="G18" s="240"/>
      <c r="H18" s="241"/>
      <c r="I18" s="240"/>
      <c r="J18" s="241"/>
      <c r="K18" s="223"/>
      <c r="L18" s="254" t="s">
        <v>129</v>
      </c>
      <c r="M18" s="37">
        <v>100</v>
      </c>
    </row>
    <row r="19" s="189" customFormat="1" ht="20.1" customHeight="1" spans="1:16">
      <c r="A19" s="212" t="s">
        <v>130</v>
      </c>
      <c r="B19" s="244" t="s">
        <v>131</v>
      </c>
      <c r="C19" s="245"/>
      <c r="D19" s="245"/>
      <c r="E19" s="245"/>
      <c r="F19" s="245"/>
      <c r="G19" s="245"/>
      <c r="H19" s="245"/>
      <c r="I19" s="245"/>
      <c r="J19" s="245"/>
      <c r="K19" s="245"/>
      <c r="L19" s="245"/>
      <c r="M19" s="261"/>
      <c r="P19" s="189">
        <f>F3*(100-F5)/100</f>
        <v>752.048532</v>
      </c>
    </row>
    <row r="20" s="189" customFormat="1" ht="20.1" customHeight="1" spans="1:13">
      <c r="A20" s="212"/>
      <c r="B20" s="246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62"/>
    </row>
    <row r="21" ht="20.1" customHeight="1" spans="1:13">
      <c r="A21" s="248" t="s">
        <v>132</v>
      </c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</row>
    <row r="22" ht="17.25" customHeight="1" spans="9:9">
      <c r="I22" s="263"/>
    </row>
    <row r="23" ht="17.25" customHeight="1" spans="5:9">
      <c r="E23" s="249"/>
      <c r="I23" s="263"/>
    </row>
    <row r="24" ht="17.25" customHeight="1" spans="5:9">
      <c r="E24" s="249"/>
      <c r="I24" s="263"/>
    </row>
    <row r="25" ht="17.25" customHeight="1" spans="5:9">
      <c r="E25" s="249"/>
      <c r="I25" s="263"/>
    </row>
    <row r="26" ht="17.25" customHeight="1" spans="5:9">
      <c r="E26" s="249"/>
      <c r="I26" s="263"/>
    </row>
    <row r="27" ht="17.25" customHeight="1" spans="5:9">
      <c r="E27" s="249"/>
      <c r="I27" s="263"/>
    </row>
    <row r="28" ht="17.25" customHeight="1" spans="5:9">
      <c r="E28" s="249"/>
      <c r="I28" s="263"/>
    </row>
    <row r="29" ht="17.25" customHeight="1" spans="9:9">
      <c r="I29" s="263"/>
    </row>
    <row r="30" ht="17.25" customHeight="1" spans="9:9">
      <c r="I30" s="263"/>
    </row>
    <row r="31" ht="17.25" customHeight="1" spans="9:9">
      <c r="I31" s="26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zoomScale="115" zoomScaleNormal="115" topLeftCell="A13" workbookViewId="0">
      <selection activeCell="H9" sqref="H9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58"/>
      <c r="J2" s="158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134</v>
      </c>
      <c r="B3" s="33"/>
      <c r="C3" s="33"/>
      <c r="D3" s="33"/>
      <c r="E3" s="33"/>
      <c r="F3" s="33"/>
      <c r="G3" s="33"/>
      <c r="H3" s="99"/>
      <c r="I3" s="159"/>
      <c r="J3" s="160">
        <v>44986</v>
      </c>
      <c r="K3" s="161"/>
      <c r="L3" s="33"/>
      <c r="M3" s="33"/>
      <c r="N3" s="33"/>
      <c r="O3" s="33"/>
      <c r="P3" s="33"/>
      <c r="Q3" s="33"/>
      <c r="R3" s="33"/>
      <c r="S3" s="33"/>
      <c r="T3" s="181"/>
      <c r="U3" s="27"/>
    </row>
    <row r="4" ht="12.75" customHeight="1" spans="1:21">
      <c r="A4" s="100" t="s">
        <v>135</v>
      </c>
      <c r="B4" s="101" t="s">
        <v>110</v>
      </c>
      <c r="C4" s="102"/>
      <c r="D4" s="102"/>
      <c r="E4" s="102"/>
      <c r="F4" s="102"/>
      <c r="G4" s="103"/>
      <c r="H4" s="104" t="s">
        <v>136</v>
      </c>
      <c r="I4" s="104"/>
      <c r="J4" s="104"/>
      <c r="K4" s="104"/>
      <c r="L4" s="104"/>
      <c r="M4" s="104"/>
      <c r="N4" s="162" t="s">
        <v>137</v>
      </c>
      <c r="O4" s="162"/>
      <c r="P4" s="162"/>
      <c r="Q4" s="162"/>
      <c r="R4" s="162"/>
      <c r="S4" s="162"/>
      <c r="T4" s="182" t="s">
        <v>138</v>
      </c>
      <c r="U4" s="182" t="s">
        <v>139</v>
      </c>
    </row>
    <row r="5" ht="15" customHeight="1" spans="1:42">
      <c r="A5" s="105"/>
      <c r="B5" s="106" t="s">
        <v>140</v>
      </c>
      <c r="C5" s="106" t="s">
        <v>117</v>
      </c>
      <c r="D5" s="106" t="s">
        <v>118</v>
      </c>
      <c r="E5" s="106" t="s">
        <v>120</v>
      </c>
      <c r="F5" s="106" t="s">
        <v>125</v>
      </c>
      <c r="G5" s="106" t="s">
        <v>123</v>
      </c>
      <c r="H5" s="107" t="s">
        <v>140</v>
      </c>
      <c r="I5" s="107" t="s">
        <v>117</v>
      </c>
      <c r="J5" s="107" t="s">
        <v>118</v>
      </c>
      <c r="K5" s="107" t="s">
        <v>120</v>
      </c>
      <c r="L5" s="106" t="s">
        <v>125</v>
      </c>
      <c r="M5" s="106" t="s">
        <v>123</v>
      </c>
      <c r="N5" s="100" t="s">
        <v>141</v>
      </c>
      <c r="O5" s="100" t="s">
        <v>142</v>
      </c>
      <c r="P5" s="100" t="s">
        <v>118</v>
      </c>
      <c r="Q5" s="100" t="s">
        <v>120</v>
      </c>
      <c r="R5" s="100" t="s">
        <v>143</v>
      </c>
      <c r="S5" s="100" t="s">
        <v>123</v>
      </c>
      <c r="T5" s="183"/>
      <c r="U5" s="183"/>
      <c r="Y5" s="193" t="s">
        <v>144</v>
      </c>
      <c r="Z5" s="194"/>
      <c r="AA5" s="195"/>
      <c r="AB5" s="193" t="s">
        <v>145</v>
      </c>
      <c r="AC5" s="194"/>
      <c r="AD5" s="195"/>
      <c r="AE5" s="193" t="s">
        <v>146</v>
      </c>
      <c r="AF5" s="194"/>
      <c r="AG5" s="195"/>
      <c r="AH5" s="193" t="s">
        <v>147</v>
      </c>
      <c r="AI5" s="194"/>
      <c r="AJ5" s="195"/>
      <c r="AK5" s="193" t="s">
        <v>123</v>
      </c>
      <c r="AL5" s="194"/>
      <c r="AM5" s="195"/>
      <c r="AN5" s="193" t="s">
        <v>120</v>
      </c>
      <c r="AO5" s="194"/>
      <c r="AP5" s="195"/>
    </row>
    <row r="6" ht="22.5" customHeight="1" spans="1:42">
      <c r="A6" s="108"/>
      <c r="B6" s="109" t="s">
        <v>148</v>
      </c>
      <c r="C6" s="109" t="s">
        <v>148</v>
      </c>
      <c r="D6" s="109" t="s">
        <v>148</v>
      </c>
      <c r="E6" s="109" t="s">
        <v>148</v>
      </c>
      <c r="F6" s="109" t="s">
        <v>148</v>
      </c>
      <c r="G6" s="109" t="s">
        <v>148</v>
      </c>
      <c r="H6" s="110" t="s">
        <v>148</v>
      </c>
      <c r="I6" s="110" t="s">
        <v>148</v>
      </c>
      <c r="J6" s="110" t="s">
        <v>148</v>
      </c>
      <c r="K6" s="110" t="s">
        <v>148</v>
      </c>
      <c r="L6" s="109" t="s">
        <v>148</v>
      </c>
      <c r="M6" s="109" t="s">
        <v>148</v>
      </c>
      <c r="N6" s="109" t="s">
        <v>148</v>
      </c>
      <c r="O6" s="109" t="s">
        <v>148</v>
      </c>
      <c r="P6" s="109" t="s">
        <v>148</v>
      </c>
      <c r="Q6" s="109" t="s">
        <v>148</v>
      </c>
      <c r="R6" s="109" t="s">
        <v>148</v>
      </c>
      <c r="S6" s="109" t="s">
        <v>148</v>
      </c>
      <c r="T6" s="108" t="s">
        <v>149</v>
      </c>
      <c r="U6" s="108" t="s">
        <v>150</v>
      </c>
      <c r="Y6" s="196" t="s">
        <v>110</v>
      </c>
      <c r="Z6" s="197" t="s">
        <v>151</v>
      </c>
      <c r="AA6" s="198" t="s">
        <v>111</v>
      </c>
      <c r="AB6" s="196" t="s">
        <v>110</v>
      </c>
      <c r="AC6" s="197" t="s">
        <v>151</v>
      </c>
      <c r="AD6" s="196" t="s">
        <v>111</v>
      </c>
      <c r="AE6" s="196" t="s">
        <v>110</v>
      </c>
      <c r="AF6" s="197" t="s">
        <v>151</v>
      </c>
      <c r="AG6" s="196" t="s">
        <v>111</v>
      </c>
      <c r="AH6" s="200" t="s">
        <v>110</v>
      </c>
      <c r="AI6" s="201" t="s">
        <v>151</v>
      </c>
      <c r="AJ6" s="202" t="s">
        <v>111</v>
      </c>
      <c r="AK6" s="203" t="s">
        <v>110</v>
      </c>
      <c r="AL6" s="197" t="s">
        <v>151</v>
      </c>
      <c r="AM6" s="196" t="s">
        <v>111</v>
      </c>
      <c r="AN6" s="197" t="s">
        <v>110</v>
      </c>
      <c r="AO6" s="197" t="s">
        <v>151</v>
      </c>
      <c r="AP6" s="196" t="s">
        <v>111</v>
      </c>
    </row>
    <row r="7" ht="12.95" customHeight="1" spans="1:44">
      <c r="A7" s="111">
        <v>1</v>
      </c>
      <c r="B7" s="112">
        <f>Y7</f>
        <v>339</v>
      </c>
      <c r="C7" s="113">
        <f>AB7</f>
        <v>154</v>
      </c>
      <c r="D7" s="114">
        <f>AE7</f>
        <v>144</v>
      </c>
      <c r="E7" s="115">
        <f>AN7</f>
        <v>2.56</v>
      </c>
      <c r="F7" s="116">
        <f>AH7</f>
        <v>29.9</v>
      </c>
      <c r="G7" s="117">
        <f>AK7</f>
        <v>36.2</v>
      </c>
      <c r="H7" s="118">
        <f>Z7</f>
        <v>41</v>
      </c>
      <c r="I7" s="115">
        <f>AC7</f>
        <v>3.13</v>
      </c>
      <c r="J7" s="118">
        <f>AF7</f>
        <v>15</v>
      </c>
      <c r="K7" s="115">
        <f>AO7</f>
        <v>0.53</v>
      </c>
      <c r="L7" s="163">
        <f>AI7</f>
        <v>0.63</v>
      </c>
      <c r="M7" s="163">
        <f>AL7</f>
        <v>7.67</v>
      </c>
      <c r="N7" s="114">
        <f>AA7</f>
        <v>30</v>
      </c>
      <c r="O7" s="164">
        <f>AD7</f>
        <v>2.74</v>
      </c>
      <c r="P7" s="114">
        <f>AG7</f>
        <v>6</v>
      </c>
      <c r="Q7" s="163">
        <f>AP7</f>
        <v>0.17</v>
      </c>
      <c r="R7" s="167">
        <f>AJ7</f>
        <v>0.43</v>
      </c>
      <c r="S7" s="163">
        <f>AM7</f>
        <v>7.14</v>
      </c>
      <c r="T7" s="119">
        <f>AQ7</f>
        <v>78.9</v>
      </c>
      <c r="U7" s="184" t="str">
        <f>AR7</f>
        <v>&lt;20</v>
      </c>
      <c r="V7" s="185"/>
      <c r="W7" s="186">
        <f>1-S7/G7</f>
        <v>0.802762430939227</v>
      </c>
      <c r="Y7" s="199">
        <v>339</v>
      </c>
      <c r="Z7" s="199">
        <v>41</v>
      </c>
      <c r="AA7" s="199">
        <v>30</v>
      </c>
      <c r="AB7" s="199">
        <v>154</v>
      </c>
      <c r="AC7" s="199">
        <v>3.13</v>
      </c>
      <c r="AD7" s="199">
        <v>2.74</v>
      </c>
      <c r="AE7" s="199">
        <v>144</v>
      </c>
      <c r="AF7" s="199">
        <v>15</v>
      </c>
      <c r="AG7" s="199">
        <v>6</v>
      </c>
      <c r="AH7" s="199">
        <v>29.9</v>
      </c>
      <c r="AI7" s="199">
        <v>0.63</v>
      </c>
      <c r="AJ7" s="199">
        <v>0.43</v>
      </c>
      <c r="AK7" s="199">
        <v>36.2</v>
      </c>
      <c r="AL7" s="204">
        <v>7.67</v>
      </c>
      <c r="AM7" s="204">
        <v>7.14</v>
      </c>
      <c r="AN7" s="204">
        <v>2.56</v>
      </c>
      <c r="AO7" s="204">
        <v>0.53</v>
      </c>
      <c r="AP7" s="204">
        <v>0.17</v>
      </c>
      <c r="AQ7">
        <v>78.9</v>
      </c>
      <c r="AR7" t="s">
        <v>128</v>
      </c>
    </row>
    <row r="8" ht="12.95" customHeight="1" spans="1:44">
      <c r="A8" s="111">
        <v>2</v>
      </c>
      <c r="B8" s="112">
        <f t="shared" ref="B8:B37" si="0">Y8</f>
        <v>383</v>
      </c>
      <c r="C8" s="113">
        <f t="shared" ref="C8:C37" si="1">AB8</f>
        <v>173</v>
      </c>
      <c r="D8" s="114">
        <f t="shared" ref="D8:D37" si="2">AE8</f>
        <v>122</v>
      </c>
      <c r="E8" s="115">
        <f t="shared" ref="E8:E37" si="3">AN8</f>
        <v>3.14</v>
      </c>
      <c r="F8" s="116">
        <f t="shared" ref="F8:F37" si="4">AH8</f>
        <v>28.8</v>
      </c>
      <c r="G8" s="117">
        <f t="shared" ref="G8:G37" si="5">AK8</f>
        <v>34.9</v>
      </c>
      <c r="H8" s="118">
        <f t="shared" ref="H8:H37" si="6">Z8</f>
        <v>41</v>
      </c>
      <c r="I8" s="115">
        <f t="shared" ref="I8:I37" si="7">AC8</f>
        <v>3.06</v>
      </c>
      <c r="J8" s="118">
        <f t="shared" ref="J8:J37" si="8">AF8</f>
        <v>15</v>
      </c>
      <c r="K8" s="115">
        <f t="shared" ref="K8:K37" si="9">AO8</f>
        <v>0.51</v>
      </c>
      <c r="L8" s="163">
        <f t="shared" ref="L8:L37" si="10">AI8</f>
        <v>0.71</v>
      </c>
      <c r="M8" s="163">
        <f t="shared" ref="M8:M37" si="11">AL8</f>
        <v>6.48</v>
      </c>
      <c r="N8" s="114">
        <f t="shared" ref="N8:N37" si="12">AA8</f>
        <v>31</v>
      </c>
      <c r="O8" s="164">
        <f t="shared" ref="O8:O37" si="13">AD8</f>
        <v>2.65</v>
      </c>
      <c r="P8" s="114">
        <f t="shared" ref="P8:P37" si="14">AG8</f>
        <v>6</v>
      </c>
      <c r="Q8" s="163">
        <f t="shared" ref="Q8:Q37" si="15">AP8</f>
        <v>0.22</v>
      </c>
      <c r="R8" s="167">
        <f t="shared" ref="R8:R37" si="16">AJ8</f>
        <v>0.48</v>
      </c>
      <c r="S8" s="163">
        <f t="shared" ref="S8:S37" si="17">AM8</f>
        <v>6.3</v>
      </c>
      <c r="T8" s="119">
        <f t="shared" ref="T8:T37" si="18">AQ8</f>
        <v>78.4</v>
      </c>
      <c r="U8" s="184" t="str">
        <f t="shared" ref="U8:U37" si="19">AR8</f>
        <v>&lt;20</v>
      </c>
      <c r="V8" s="185"/>
      <c r="W8" s="186">
        <f t="shared" ref="W8:W37" si="20">1-S8/G8</f>
        <v>0.819484240687679</v>
      </c>
      <c r="Y8" s="199">
        <v>383</v>
      </c>
      <c r="Z8" s="199">
        <v>41</v>
      </c>
      <c r="AA8" s="199">
        <v>31</v>
      </c>
      <c r="AB8" s="199">
        <v>173</v>
      </c>
      <c r="AC8" s="199">
        <v>3.06</v>
      </c>
      <c r="AD8" s="199">
        <v>2.65</v>
      </c>
      <c r="AE8" s="199">
        <v>122</v>
      </c>
      <c r="AF8" s="199">
        <v>15</v>
      </c>
      <c r="AG8" s="199">
        <v>6</v>
      </c>
      <c r="AH8" s="199">
        <v>28.8</v>
      </c>
      <c r="AI8" s="199">
        <v>0.71</v>
      </c>
      <c r="AJ8" s="199">
        <v>0.48</v>
      </c>
      <c r="AK8" s="199">
        <v>34.9</v>
      </c>
      <c r="AL8" s="204">
        <v>6.48</v>
      </c>
      <c r="AM8" s="204">
        <v>6.3</v>
      </c>
      <c r="AN8" s="204">
        <v>3.14</v>
      </c>
      <c r="AO8" s="204">
        <v>0.51</v>
      </c>
      <c r="AP8" s="204">
        <v>0.22</v>
      </c>
      <c r="AQ8">
        <v>78.4</v>
      </c>
      <c r="AR8" t="s">
        <v>128</v>
      </c>
    </row>
    <row r="9" ht="12.95" customHeight="1" spans="1:44">
      <c r="A9" s="111">
        <v>3</v>
      </c>
      <c r="B9" s="112">
        <f t="shared" si="0"/>
        <v>196</v>
      </c>
      <c r="C9" s="113">
        <f t="shared" si="1"/>
        <v>89.4</v>
      </c>
      <c r="D9" s="114">
        <f t="shared" si="2"/>
        <v>86</v>
      </c>
      <c r="E9" s="115">
        <f t="shared" si="3"/>
        <v>2.27</v>
      </c>
      <c r="F9" s="116">
        <f t="shared" si="4"/>
        <v>31.2</v>
      </c>
      <c r="G9" s="117">
        <f t="shared" si="5"/>
        <v>37.3</v>
      </c>
      <c r="H9" s="118">
        <f t="shared" si="6"/>
        <v>44</v>
      </c>
      <c r="I9" s="115">
        <f t="shared" si="7"/>
        <v>3.33</v>
      </c>
      <c r="J9" s="118">
        <f t="shared" si="8"/>
        <v>14</v>
      </c>
      <c r="K9" s="115">
        <f t="shared" si="9"/>
        <v>0.55</v>
      </c>
      <c r="L9" s="163">
        <f t="shared" si="10"/>
        <v>0.81</v>
      </c>
      <c r="M9" s="163">
        <f t="shared" si="11"/>
        <v>7.12</v>
      </c>
      <c r="N9" s="114">
        <f t="shared" si="12"/>
        <v>34</v>
      </c>
      <c r="O9" s="164">
        <f t="shared" si="13"/>
        <v>2.87</v>
      </c>
      <c r="P9" s="114">
        <f t="shared" si="14"/>
        <v>5</v>
      </c>
      <c r="Q9" s="163">
        <f t="shared" si="15"/>
        <v>0.18</v>
      </c>
      <c r="R9" s="167">
        <f t="shared" si="16"/>
        <v>0.63</v>
      </c>
      <c r="S9" s="163">
        <f t="shared" si="17"/>
        <v>6.9</v>
      </c>
      <c r="T9" s="119">
        <f t="shared" si="18"/>
        <v>78.5</v>
      </c>
      <c r="U9" s="184">
        <f t="shared" si="19"/>
        <v>70</v>
      </c>
      <c r="V9" s="185"/>
      <c r="W9" s="186">
        <f t="shared" si="20"/>
        <v>0.815013404825737</v>
      </c>
      <c r="Y9" s="199">
        <v>196</v>
      </c>
      <c r="Z9" s="199">
        <v>44</v>
      </c>
      <c r="AA9" s="199">
        <v>34</v>
      </c>
      <c r="AB9" s="199">
        <v>89.4</v>
      </c>
      <c r="AC9" s="199">
        <v>3.33</v>
      </c>
      <c r="AD9" s="199">
        <v>2.87</v>
      </c>
      <c r="AE9" s="199">
        <v>86</v>
      </c>
      <c r="AF9" s="199">
        <v>14</v>
      </c>
      <c r="AG9" s="199">
        <v>5</v>
      </c>
      <c r="AH9" s="199">
        <v>31.2</v>
      </c>
      <c r="AI9" s="199">
        <v>0.81</v>
      </c>
      <c r="AJ9" s="199">
        <v>0.63</v>
      </c>
      <c r="AK9" s="199">
        <v>37.3</v>
      </c>
      <c r="AL9" s="204">
        <v>7.12</v>
      </c>
      <c r="AM9" s="204">
        <v>6.9</v>
      </c>
      <c r="AN9" s="204">
        <v>2.27</v>
      </c>
      <c r="AO9" s="204">
        <v>0.55</v>
      </c>
      <c r="AP9" s="204">
        <v>0.18</v>
      </c>
      <c r="AQ9">
        <v>78.5</v>
      </c>
      <c r="AR9">
        <v>70</v>
      </c>
    </row>
    <row r="10" ht="12.95" customHeight="1" spans="1:44">
      <c r="A10" s="111">
        <v>4</v>
      </c>
      <c r="B10" s="112">
        <f t="shared" si="0"/>
        <v>430</v>
      </c>
      <c r="C10" s="113">
        <f t="shared" si="1"/>
        <v>196</v>
      </c>
      <c r="D10" s="114">
        <f t="shared" si="2"/>
        <v>164</v>
      </c>
      <c r="E10" s="115">
        <f t="shared" si="3"/>
        <v>3.61</v>
      </c>
      <c r="F10" s="116">
        <f t="shared" si="4"/>
        <v>28.4</v>
      </c>
      <c r="G10" s="117">
        <f t="shared" si="5"/>
        <v>35.6</v>
      </c>
      <c r="H10" s="118">
        <f t="shared" si="6"/>
        <v>47</v>
      </c>
      <c r="I10" s="115">
        <f t="shared" si="7"/>
        <v>3.45</v>
      </c>
      <c r="J10" s="118">
        <f t="shared" si="8"/>
        <v>17</v>
      </c>
      <c r="K10" s="115">
        <f t="shared" si="9"/>
        <v>0.53</v>
      </c>
      <c r="L10" s="163">
        <f t="shared" si="10"/>
        <v>0.86</v>
      </c>
      <c r="M10" s="163">
        <f t="shared" si="11"/>
        <v>7.07</v>
      </c>
      <c r="N10" s="114">
        <f t="shared" si="12"/>
        <v>30</v>
      </c>
      <c r="O10" s="164">
        <f t="shared" si="13"/>
        <v>2.58</v>
      </c>
      <c r="P10" s="114">
        <f t="shared" si="14"/>
        <v>6</v>
      </c>
      <c r="Q10" s="163">
        <f t="shared" si="15"/>
        <v>0.17</v>
      </c>
      <c r="R10" s="167">
        <f t="shared" si="16"/>
        <v>0.5</v>
      </c>
      <c r="S10" s="163">
        <f t="shared" si="17"/>
        <v>6.56</v>
      </c>
      <c r="T10" s="119">
        <f t="shared" si="18"/>
        <v>78.9</v>
      </c>
      <c r="U10" s="184" t="str">
        <f t="shared" si="19"/>
        <v>&lt;20</v>
      </c>
      <c r="V10" s="185"/>
      <c r="W10" s="186">
        <f t="shared" si="20"/>
        <v>0.815730337078652</v>
      </c>
      <c r="Y10" s="199">
        <v>430</v>
      </c>
      <c r="Z10" s="199">
        <v>47</v>
      </c>
      <c r="AA10" s="199">
        <v>30</v>
      </c>
      <c r="AB10" s="199">
        <v>196</v>
      </c>
      <c r="AC10" s="199">
        <v>3.45</v>
      </c>
      <c r="AD10" s="199">
        <v>2.58</v>
      </c>
      <c r="AE10" s="199">
        <v>164</v>
      </c>
      <c r="AF10" s="199">
        <v>17</v>
      </c>
      <c r="AG10" s="199">
        <v>6</v>
      </c>
      <c r="AH10" s="199">
        <v>28.4</v>
      </c>
      <c r="AI10" s="199">
        <v>0.86</v>
      </c>
      <c r="AJ10" s="199">
        <v>0.5</v>
      </c>
      <c r="AK10" s="199">
        <v>35.6</v>
      </c>
      <c r="AL10" s="204">
        <v>7.07</v>
      </c>
      <c r="AM10" s="204">
        <v>6.56</v>
      </c>
      <c r="AN10" s="204">
        <v>3.61</v>
      </c>
      <c r="AO10" s="204">
        <v>0.53</v>
      </c>
      <c r="AP10" s="204">
        <v>0.17</v>
      </c>
      <c r="AQ10">
        <v>78.9</v>
      </c>
      <c r="AR10" t="s">
        <v>128</v>
      </c>
    </row>
    <row r="11" ht="12.95" customHeight="1" spans="1:44">
      <c r="A11" s="111">
        <v>5</v>
      </c>
      <c r="B11" s="112">
        <f t="shared" si="0"/>
        <v>366</v>
      </c>
      <c r="C11" s="113">
        <f t="shared" si="1"/>
        <v>165</v>
      </c>
      <c r="D11" s="114">
        <f t="shared" si="2"/>
        <v>176</v>
      </c>
      <c r="E11" s="115">
        <f t="shared" si="3"/>
        <v>2.42</v>
      </c>
      <c r="F11" s="116">
        <f t="shared" si="4"/>
        <v>26.3</v>
      </c>
      <c r="G11" s="117">
        <f t="shared" si="5"/>
        <v>32.8</v>
      </c>
      <c r="H11" s="118">
        <f t="shared" si="6"/>
        <v>46</v>
      </c>
      <c r="I11" s="115">
        <f t="shared" si="7"/>
        <v>3.75</v>
      </c>
      <c r="J11" s="118">
        <f t="shared" si="8"/>
        <v>16</v>
      </c>
      <c r="K11" s="115">
        <f t="shared" si="9"/>
        <v>0.54</v>
      </c>
      <c r="L11" s="163">
        <f t="shared" si="10"/>
        <v>0.7</v>
      </c>
      <c r="M11" s="163">
        <f t="shared" si="11"/>
        <v>6.48</v>
      </c>
      <c r="N11" s="114">
        <f t="shared" si="12"/>
        <v>34</v>
      </c>
      <c r="O11" s="164">
        <f t="shared" si="13"/>
        <v>2.88</v>
      </c>
      <c r="P11" s="114">
        <f t="shared" si="14"/>
        <v>6</v>
      </c>
      <c r="Q11" s="163">
        <f t="shared" si="15"/>
        <v>0.23</v>
      </c>
      <c r="R11" s="167">
        <f t="shared" si="16"/>
        <v>0.54</v>
      </c>
      <c r="S11" s="163">
        <f t="shared" si="17"/>
        <v>5.39</v>
      </c>
      <c r="T11" s="119">
        <f t="shared" si="18"/>
        <v>78.7</v>
      </c>
      <c r="U11" s="184" t="str">
        <f t="shared" si="19"/>
        <v>&lt;20</v>
      </c>
      <c r="V11" s="185"/>
      <c r="W11" s="186">
        <f t="shared" si="20"/>
        <v>0.835670731707317</v>
      </c>
      <c r="Y11" s="199">
        <v>366</v>
      </c>
      <c r="Z11" s="199">
        <v>46</v>
      </c>
      <c r="AA11" s="199">
        <v>34</v>
      </c>
      <c r="AB11" s="199">
        <v>165</v>
      </c>
      <c r="AC11" s="199">
        <v>3.75</v>
      </c>
      <c r="AD11" s="199">
        <v>2.88</v>
      </c>
      <c r="AE11" s="199">
        <v>176</v>
      </c>
      <c r="AF11" s="199">
        <v>16</v>
      </c>
      <c r="AG11" s="199">
        <v>6</v>
      </c>
      <c r="AH11" s="199">
        <v>26.3</v>
      </c>
      <c r="AI11" s="199">
        <v>0.7</v>
      </c>
      <c r="AJ11" s="199">
        <v>0.54</v>
      </c>
      <c r="AK11" s="199">
        <v>32.8</v>
      </c>
      <c r="AL11" s="204">
        <v>6.48</v>
      </c>
      <c r="AM11" s="204">
        <v>5.39</v>
      </c>
      <c r="AN11" s="204">
        <v>2.42</v>
      </c>
      <c r="AO11" s="204">
        <v>0.54</v>
      </c>
      <c r="AP11" s="204">
        <v>0.23</v>
      </c>
      <c r="AQ11">
        <v>78.7</v>
      </c>
      <c r="AR11" t="s">
        <v>128</v>
      </c>
    </row>
    <row r="12" ht="12.95" customHeight="1" spans="1:44">
      <c r="A12" s="111">
        <v>6</v>
      </c>
      <c r="B12" s="112">
        <f t="shared" si="0"/>
        <v>505</v>
      </c>
      <c r="C12" s="113">
        <f t="shared" si="1"/>
        <v>228</v>
      </c>
      <c r="D12" s="114">
        <f t="shared" si="2"/>
        <v>168</v>
      </c>
      <c r="E12" s="115">
        <f t="shared" si="3"/>
        <v>4.19</v>
      </c>
      <c r="F12" s="116">
        <f t="shared" si="4"/>
        <v>28.7</v>
      </c>
      <c r="G12" s="117">
        <f t="shared" si="5"/>
        <v>34.4</v>
      </c>
      <c r="H12" s="118">
        <f t="shared" si="6"/>
        <v>42</v>
      </c>
      <c r="I12" s="115">
        <f t="shared" si="7"/>
        <v>3.05</v>
      </c>
      <c r="J12" s="118">
        <f t="shared" si="8"/>
        <v>16</v>
      </c>
      <c r="K12" s="115">
        <f t="shared" si="9"/>
        <v>0.52</v>
      </c>
      <c r="L12" s="163">
        <f t="shared" si="10"/>
        <v>0.73</v>
      </c>
      <c r="M12" s="163">
        <f t="shared" si="11"/>
        <v>8.26</v>
      </c>
      <c r="N12" s="114">
        <f t="shared" si="12"/>
        <v>34</v>
      </c>
      <c r="O12" s="164">
        <f t="shared" si="13"/>
        <v>2.65</v>
      </c>
      <c r="P12" s="114">
        <f t="shared" si="14"/>
        <v>6</v>
      </c>
      <c r="Q12" s="163">
        <f t="shared" si="15"/>
        <v>0.22</v>
      </c>
      <c r="R12" s="167">
        <f t="shared" si="16"/>
        <v>0.5</v>
      </c>
      <c r="S12" s="163">
        <f t="shared" si="17"/>
        <v>6.73</v>
      </c>
      <c r="T12" s="119">
        <f t="shared" si="18"/>
        <v>78.4</v>
      </c>
      <c r="U12" s="184" t="str">
        <f t="shared" si="19"/>
        <v>&lt;20</v>
      </c>
      <c r="V12" s="185"/>
      <c r="W12" s="186">
        <f t="shared" si="20"/>
        <v>0.804360465116279</v>
      </c>
      <c r="Y12" s="199">
        <v>505</v>
      </c>
      <c r="Z12" s="199">
        <v>42</v>
      </c>
      <c r="AA12" s="199">
        <v>34</v>
      </c>
      <c r="AB12" s="199">
        <v>228</v>
      </c>
      <c r="AC12" s="199">
        <v>3.05</v>
      </c>
      <c r="AD12" s="199">
        <v>2.65</v>
      </c>
      <c r="AE12" s="199">
        <v>168</v>
      </c>
      <c r="AF12" s="199">
        <v>16</v>
      </c>
      <c r="AG12" s="199">
        <v>6</v>
      </c>
      <c r="AH12" s="199">
        <v>28.7</v>
      </c>
      <c r="AI12" s="199">
        <v>0.73</v>
      </c>
      <c r="AJ12" s="199">
        <v>0.5</v>
      </c>
      <c r="AK12" s="199">
        <v>34.4</v>
      </c>
      <c r="AL12" s="204">
        <v>8.26</v>
      </c>
      <c r="AM12" s="204">
        <v>6.73</v>
      </c>
      <c r="AN12" s="205">
        <v>4.19</v>
      </c>
      <c r="AO12" s="205">
        <v>0.52</v>
      </c>
      <c r="AP12" s="205">
        <v>0.22</v>
      </c>
      <c r="AQ12">
        <v>78.4</v>
      </c>
      <c r="AR12" t="s">
        <v>128</v>
      </c>
    </row>
    <row r="13" ht="12.95" customHeight="1" spans="1:44">
      <c r="A13" s="111">
        <v>7</v>
      </c>
      <c r="B13" s="112">
        <f t="shared" si="0"/>
        <v>290</v>
      </c>
      <c r="C13" s="113">
        <f t="shared" si="1"/>
        <v>133</v>
      </c>
      <c r="D13" s="114">
        <f t="shared" si="2"/>
        <v>68</v>
      </c>
      <c r="E13" s="115">
        <f t="shared" si="3"/>
        <v>3.04</v>
      </c>
      <c r="F13" s="116">
        <f t="shared" si="4"/>
        <v>29.3</v>
      </c>
      <c r="G13" s="117">
        <f t="shared" si="5"/>
        <v>37.3</v>
      </c>
      <c r="H13" s="118">
        <f t="shared" si="6"/>
        <v>42</v>
      </c>
      <c r="I13" s="115">
        <f t="shared" si="7"/>
        <v>3.06</v>
      </c>
      <c r="J13" s="118">
        <f t="shared" si="8"/>
        <v>16</v>
      </c>
      <c r="K13" s="115">
        <f t="shared" si="9"/>
        <v>0.51</v>
      </c>
      <c r="L13" s="163">
        <f t="shared" si="10"/>
        <v>0.72</v>
      </c>
      <c r="M13" s="163">
        <f t="shared" si="11"/>
        <v>8.31</v>
      </c>
      <c r="N13" s="114">
        <f t="shared" si="12"/>
        <v>27</v>
      </c>
      <c r="O13" s="164">
        <f t="shared" si="13"/>
        <v>2.31</v>
      </c>
      <c r="P13" s="114">
        <f t="shared" si="14"/>
        <v>5</v>
      </c>
      <c r="Q13" s="163">
        <f t="shared" si="15"/>
        <v>0.23</v>
      </c>
      <c r="R13" s="167">
        <f t="shared" si="16"/>
        <v>0.4</v>
      </c>
      <c r="S13" s="163">
        <f t="shared" si="17"/>
        <v>7.62</v>
      </c>
      <c r="T13" s="119">
        <f t="shared" si="18"/>
        <v>78.6</v>
      </c>
      <c r="U13" s="184">
        <f t="shared" si="19"/>
        <v>40</v>
      </c>
      <c r="V13" s="185"/>
      <c r="W13" s="186">
        <f t="shared" si="20"/>
        <v>0.795710455764075</v>
      </c>
      <c r="Y13" s="199">
        <v>290</v>
      </c>
      <c r="Z13" s="199">
        <v>42</v>
      </c>
      <c r="AA13" s="199">
        <v>27</v>
      </c>
      <c r="AB13" s="199">
        <v>133</v>
      </c>
      <c r="AC13" s="199">
        <v>3.06</v>
      </c>
      <c r="AD13" s="199">
        <v>2.31</v>
      </c>
      <c r="AE13" s="199">
        <v>68</v>
      </c>
      <c r="AF13" s="199">
        <v>16</v>
      </c>
      <c r="AG13" s="199">
        <v>5</v>
      </c>
      <c r="AH13" s="199">
        <v>29.3</v>
      </c>
      <c r="AI13" s="199">
        <v>0.72</v>
      </c>
      <c r="AJ13" s="199">
        <v>0.4</v>
      </c>
      <c r="AK13" s="199">
        <v>37.3</v>
      </c>
      <c r="AL13" s="204">
        <v>8.31</v>
      </c>
      <c r="AM13" s="204">
        <v>7.62</v>
      </c>
      <c r="AN13" s="205">
        <v>3.04</v>
      </c>
      <c r="AO13" s="205">
        <v>0.51</v>
      </c>
      <c r="AP13" s="205">
        <v>0.23</v>
      </c>
      <c r="AQ13">
        <v>78.6</v>
      </c>
      <c r="AR13">
        <v>40</v>
      </c>
    </row>
    <row r="14" ht="12.95" customHeight="1" spans="1:44">
      <c r="A14" s="111">
        <v>8</v>
      </c>
      <c r="B14" s="112">
        <f t="shared" si="0"/>
        <v>280</v>
      </c>
      <c r="C14" s="113">
        <f t="shared" si="1"/>
        <v>130</v>
      </c>
      <c r="D14" s="114">
        <f t="shared" si="2"/>
        <v>100</v>
      </c>
      <c r="E14" s="115">
        <f t="shared" si="3"/>
        <v>2.79</v>
      </c>
      <c r="F14" s="116">
        <f t="shared" si="4"/>
        <v>27.5</v>
      </c>
      <c r="G14" s="117">
        <f t="shared" si="5"/>
        <v>33.7</v>
      </c>
      <c r="H14" s="118">
        <f t="shared" si="6"/>
        <v>45</v>
      </c>
      <c r="I14" s="115">
        <f t="shared" si="7"/>
        <v>3.75</v>
      </c>
      <c r="J14" s="118">
        <f t="shared" si="8"/>
        <v>15</v>
      </c>
      <c r="K14" s="115">
        <f t="shared" si="9"/>
        <v>0.53</v>
      </c>
      <c r="L14" s="163">
        <f t="shared" si="10"/>
        <v>0.76</v>
      </c>
      <c r="M14" s="163">
        <f t="shared" si="11"/>
        <v>6.63</v>
      </c>
      <c r="N14" s="114">
        <f t="shared" si="12"/>
        <v>31</v>
      </c>
      <c r="O14" s="164">
        <f t="shared" si="13"/>
        <v>2.77</v>
      </c>
      <c r="P14" s="114">
        <f t="shared" si="14"/>
        <v>6</v>
      </c>
      <c r="Q14" s="163">
        <f t="shared" si="15"/>
        <v>0.27</v>
      </c>
      <c r="R14" s="167">
        <f t="shared" si="16"/>
        <v>0.52</v>
      </c>
      <c r="S14" s="163">
        <f t="shared" si="17"/>
        <v>6.26</v>
      </c>
      <c r="T14" s="119">
        <f t="shared" si="18"/>
        <v>78.7</v>
      </c>
      <c r="U14" s="184" t="str">
        <f t="shared" si="19"/>
        <v>&lt;20</v>
      </c>
      <c r="V14" s="185"/>
      <c r="W14" s="186">
        <f t="shared" si="20"/>
        <v>0.814243323442136</v>
      </c>
      <c r="Y14" s="199">
        <v>280</v>
      </c>
      <c r="Z14" s="199">
        <v>45</v>
      </c>
      <c r="AA14" s="199">
        <v>31</v>
      </c>
      <c r="AB14" s="199">
        <v>130</v>
      </c>
      <c r="AC14" s="199">
        <v>3.75</v>
      </c>
      <c r="AD14" s="199">
        <v>2.77</v>
      </c>
      <c r="AE14" s="199">
        <v>100</v>
      </c>
      <c r="AF14" s="199">
        <v>15</v>
      </c>
      <c r="AG14" s="199">
        <v>6</v>
      </c>
      <c r="AH14" s="199">
        <v>27.5</v>
      </c>
      <c r="AI14" s="199">
        <v>0.76</v>
      </c>
      <c r="AJ14" s="199">
        <v>0.52</v>
      </c>
      <c r="AK14" s="199">
        <v>33.7</v>
      </c>
      <c r="AL14" s="204">
        <v>6.63</v>
      </c>
      <c r="AM14" s="204">
        <v>6.26</v>
      </c>
      <c r="AN14" s="205">
        <v>2.79</v>
      </c>
      <c r="AO14" s="205">
        <v>0.53</v>
      </c>
      <c r="AP14" s="205">
        <v>0.27</v>
      </c>
      <c r="AQ14">
        <v>78.7</v>
      </c>
      <c r="AR14" t="s">
        <v>128</v>
      </c>
    </row>
    <row r="15" ht="12.95" customHeight="1" spans="1:44">
      <c r="A15" s="111">
        <v>9</v>
      </c>
      <c r="B15" s="112">
        <f t="shared" si="0"/>
        <v>286</v>
      </c>
      <c r="C15" s="113">
        <f t="shared" si="1"/>
        <v>130</v>
      </c>
      <c r="D15" s="114">
        <f t="shared" si="2"/>
        <v>136</v>
      </c>
      <c r="E15" s="115">
        <f t="shared" si="3"/>
        <v>2.49</v>
      </c>
      <c r="F15" s="116">
        <f t="shared" si="4"/>
        <v>25.5</v>
      </c>
      <c r="G15" s="117">
        <f t="shared" si="5"/>
        <v>31.5</v>
      </c>
      <c r="H15" s="118">
        <f t="shared" si="6"/>
        <v>45</v>
      </c>
      <c r="I15" s="115">
        <f t="shared" si="7"/>
        <v>3.456</v>
      </c>
      <c r="J15" s="118">
        <f t="shared" si="8"/>
        <v>16</v>
      </c>
      <c r="K15" s="115">
        <f t="shared" si="9"/>
        <v>0.51</v>
      </c>
      <c r="L15" s="163">
        <f t="shared" si="10"/>
        <v>0.63</v>
      </c>
      <c r="M15" s="163">
        <f t="shared" si="11"/>
        <v>6.43</v>
      </c>
      <c r="N15" s="114">
        <f t="shared" si="12"/>
        <v>34</v>
      </c>
      <c r="O15" s="164">
        <f t="shared" si="13"/>
        <v>2.67</v>
      </c>
      <c r="P15" s="114">
        <f t="shared" si="14"/>
        <v>6</v>
      </c>
      <c r="Q15" s="163">
        <f t="shared" si="15"/>
        <v>0.22</v>
      </c>
      <c r="R15" s="167">
        <f t="shared" si="16"/>
        <v>0.57</v>
      </c>
      <c r="S15" s="163">
        <f t="shared" si="17"/>
        <v>5.62</v>
      </c>
      <c r="T15" s="119">
        <f t="shared" si="18"/>
        <v>78.4</v>
      </c>
      <c r="U15" s="184" t="str">
        <f t="shared" si="19"/>
        <v>&lt;20</v>
      </c>
      <c r="V15" s="185"/>
      <c r="W15" s="186">
        <f t="shared" si="20"/>
        <v>0.821587301587302</v>
      </c>
      <c r="Y15" s="199">
        <v>286</v>
      </c>
      <c r="Z15" s="199">
        <v>45</v>
      </c>
      <c r="AA15" s="199">
        <v>34</v>
      </c>
      <c r="AB15" s="199">
        <v>130</v>
      </c>
      <c r="AC15" s="199">
        <v>3.456</v>
      </c>
      <c r="AD15" s="199">
        <v>2.67</v>
      </c>
      <c r="AE15" s="199">
        <v>136</v>
      </c>
      <c r="AF15" s="199">
        <v>16</v>
      </c>
      <c r="AG15" s="199">
        <v>6</v>
      </c>
      <c r="AH15" s="199">
        <v>25.5</v>
      </c>
      <c r="AI15" s="199">
        <v>0.63</v>
      </c>
      <c r="AJ15" s="199">
        <v>0.57</v>
      </c>
      <c r="AK15" s="199">
        <v>31.5</v>
      </c>
      <c r="AL15" s="204">
        <v>6.43</v>
      </c>
      <c r="AM15" s="204">
        <v>5.62</v>
      </c>
      <c r="AN15" s="205">
        <v>2.49</v>
      </c>
      <c r="AO15" s="205">
        <v>0.51</v>
      </c>
      <c r="AP15" s="205">
        <v>0.22</v>
      </c>
      <c r="AQ15">
        <v>78.4</v>
      </c>
      <c r="AR15" t="s">
        <v>128</v>
      </c>
    </row>
    <row r="16" ht="12.95" customHeight="1" spans="1:44">
      <c r="A16" s="111">
        <v>10</v>
      </c>
      <c r="B16" s="112">
        <f t="shared" si="0"/>
        <v>252</v>
      </c>
      <c r="C16" s="113">
        <f t="shared" si="1"/>
        <v>116</v>
      </c>
      <c r="D16" s="114">
        <f t="shared" si="2"/>
        <v>122</v>
      </c>
      <c r="E16" s="115">
        <f t="shared" si="3"/>
        <v>2.69</v>
      </c>
      <c r="F16" s="116">
        <f t="shared" si="4"/>
        <v>27.5</v>
      </c>
      <c r="G16" s="117">
        <f t="shared" si="5"/>
        <v>34.3</v>
      </c>
      <c r="H16" s="118">
        <f t="shared" si="6"/>
        <v>35</v>
      </c>
      <c r="I16" s="115">
        <f t="shared" si="7"/>
        <v>2.88</v>
      </c>
      <c r="J16" s="118">
        <f t="shared" si="8"/>
        <v>15</v>
      </c>
      <c r="K16" s="115">
        <f t="shared" si="9"/>
        <v>0.52</v>
      </c>
      <c r="L16" s="163">
        <f t="shared" si="10"/>
        <v>0.57</v>
      </c>
      <c r="M16" s="163">
        <f t="shared" si="11"/>
        <v>6.16</v>
      </c>
      <c r="N16" s="114">
        <f t="shared" si="12"/>
        <v>28</v>
      </c>
      <c r="O16" s="164">
        <f t="shared" si="13"/>
        <v>2.21</v>
      </c>
      <c r="P16" s="114">
        <f t="shared" si="14"/>
        <v>5</v>
      </c>
      <c r="Q16" s="163">
        <f t="shared" si="15"/>
        <v>0.22</v>
      </c>
      <c r="R16" s="167">
        <f t="shared" si="16"/>
        <v>0.46</v>
      </c>
      <c r="S16" s="163">
        <f t="shared" si="17"/>
        <v>5.19</v>
      </c>
      <c r="T16" s="119">
        <f t="shared" si="18"/>
        <v>78.5</v>
      </c>
      <c r="U16" s="184" t="str">
        <f t="shared" si="19"/>
        <v>&lt;20</v>
      </c>
      <c r="V16" s="185"/>
      <c r="W16" s="186">
        <f t="shared" si="20"/>
        <v>0.84868804664723</v>
      </c>
      <c r="Y16" s="199">
        <v>252</v>
      </c>
      <c r="Z16" s="199">
        <v>35</v>
      </c>
      <c r="AA16" s="199">
        <v>28</v>
      </c>
      <c r="AB16" s="199">
        <v>116</v>
      </c>
      <c r="AC16" s="199">
        <v>2.88</v>
      </c>
      <c r="AD16" s="199">
        <v>2.21</v>
      </c>
      <c r="AE16" s="199">
        <v>122</v>
      </c>
      <c r="AF16" s="199">
        <v>15</v>
      </c>
      <c r="AG16" s="199">
        <v>5</v>
      </c>
      <c r="AH16" s="199">
        <v>27.5</v>
      </c>
      <c r="AI16" s="199">
        <v>0.57</v>
      </c>
      <c r="AJ16" s="199">
        <v>0.46</v>
      </c>
      <c r="AK16" s="199">
        <v>34.3</v>
      </c>
      <c r="AL16" s="204">
        <v>6.16</v>
      </c>
      <c r="AM16" s="204">
        <v>5.19</v>
      </c>
      <c r="AN16" s="205">
        <v>2.69</v>
      </c>
      <c r="AO16" s="205">
        <v>0.52</v>
      </c>
      <c r="AP16" s="205">
        <v>0.22</v>
      </c>
      <c r="AQ16">
        <v>78.5</v>
      </c>
      <c r="AR16" t="s">
        <v>128</v>
      </c>
    </row>
    <row r="17" ht="12.95" customHeight="1" spans="1:44">
      <c r="A17" s="111">
        <v>11</v>
      </c>
      <c r="B17" s="112">
        <f t="shared" si="0"/>
        <v>200</v>
      </c>
      <c r="C17" s="113">
        <f t="shared" si="1"/>
        <v>91.4</v>
      </c>
      <c r="D17" s="114">
        <f t="shared" si="2"/>
        <v>102</v>
      </c>
      <c r="E17" s="115">
        <f t="shared" si="3"/>
        <v>1.71</v>
      </c>
      <c r="F17" s="116">
        <f t="shared" si="4"/>
        <v>22.9</v>
      </c>
      <c r="G17" s="117">
        <f t="shared" si="5"/>
        <v>29.8</v>
      </c>
      <c r="H17" s="118">
        <f t="shared" si="6"/>
        <v>37</v>
      </c>
      <c r="I17" s="115">
        <f t="shared" si="7"/>
        <v>2.85</v>
      </c>
      <c r="J17" s="118">
        <f t="shared" si="8"/>
        <v>16</v>
      </c>
      <c r="K17" s="115">
        <f t="shared" si="9"/>
        <v>0.56</v>
      </c>
      <c r="L17" s="163">
        <f t="shared" si="10"/>
        <v>0.48</v>
      </c>
      <c r="M17" s="163">
        <f t="shared" si="11"/>
        <v>6.3</v>
      </c>
      <c r="N17" s="114">
        <f t="shared" si="12"/>
        <v>23</v>
      </c>
      <c r="O17" s="164">
        <f t="shared" si="13"/>
        <v>2.41</v>
      </c>
      <c r="P17" s="114">
        <f t="shared" si="14"/>
        <v>6</v>
      </c>
      <c r="Q17" s="163">
        <f t="shared" si="15"/>
        <v>0.24</v>
      </c>
      <c r="R17" s="167">
        <f t="shared" si="16"/>
        <v>0.43</v>
      </c>
      <c r="S17" s="163">
        <f t="shared" si="17"/>
        <v>5.94</v>
      </c>
      <c r="T17" s="119">
        <f t="shared" si="18"/>
        <v>78.3</v>
      </c>
      <c r="U17" s="184" t="str">
        <f t="shared" si="19"/>
        <v>&lt;20</v>
      </c>
      <c r="V17" s="185"/>
      <c r="W17" s="186">
        <f t="shared" si="20"/>
        <v>0.800671140939597</v>
      </c>
      <c r="Y17" s="199">
        <v>200</v>
      </c>
      <c r="Z17" s="199">
        <v>37</v>
      </c>
      <c r="AA17" s="199">
        <v>23</v>
      </c>
      <c r="AB17" s="199">
        <v>91.4</v>
      </c>
      <c r="AC17" s="199">
        <v>2.85</v>
      </c>
      <c r="AD17" s="199">
        <v>2.41</v>
      </c>
      <c r="AE17" s="199">
        <v>102</v>
      </c>
      <c r="AF17" s="199">
        <v>16</v>
      </c>
      <c r="AG17" s="199">
        <v>6</v>
      </c>
      <c r="AH17" s="199">
        <v>22.9</v>
      </c>
      <c r="AI17" s="199">
        <v>0.48</v>
      </c>
      <c r="AJ17" s="199">
        <v>0.43</v>
      </c>
      <c r="AK17" s="199">
        <v>29.8</v>
      </c>
      <c r="AL17" s="204">
        <v>6.3</v>
      </c>
      <c r="AM17" s="204">
        <v>5.94</v>
      </c>
      <c r="AN17" s="205">
        <v>1.71</v>
      </c>
      <c r="AO17" s="205">
        <v>0.56</v>
      </c>
      <c r="AP17" s="205">
        <v>0.24</v>
      </c>
      <c r="AQ17">
        <v>78.3</v>
      </c>
      <c r="AR17" t="s">
        <v>128</v>
      </c>
    </row>
    <row r="18" ht="12.95" customHeight="1" spans="1:44">
      <c r="A18" s="111">
        <v>12</v>
      </c>
      <c r="B18" s="112">
        <f t="shared" si="0"/>
        <v>296</v>
      </c>
      <c r="C18" s="113">
        <f t="shared" si="1"/>
        <v>136</v>
      </c>
      <c r="D18" s="114">
        <f t="shared" si="2"/>
        <v>114</v>
      </c>
      <c r="E18" s="115">
        <f t="shared" si="3"/>
        <v>2.81</v>
      </c>
      <c r="F18" s="116">
        <f t="shared" si="4"/>
        <v>27.9</v>
      </c>
      <c r="G18" s="117">
        <f t="shared" si="5"/>
        <v>34.9</v>
      </c>
      <c r="H18" s="118">
        <f t="shared" si="6"/>
        <v>30</v>
      </c>
      <c r="I18" s="115">
        <f t="shared" si="7"/>
        <v>2.78</v>
      </c>
      <c r="J18" s="118">
        <f t="shared" si="8"/>
        <v>17</v>
      </c>
      <c r="K18" s="115">
        <f t="shared" si="9"/>
        <v>0.55</v>
      </c>
      <c r="L18" s="163">
        <f t="shared" si="10"/>
        <v>0.58</v>
      </c>
      <c r="M18" s="163">
        <f t="shared" si="11"/>
        <v>6.4</v>
      </c>
      <c r="N18" s="114">
        <f t="shared" si="12"/>
        <v>23</v>
      </c>
      <c r="O18" s="164">
        <f t="shared" si="13"/>
        <v>2.55</v>
      </c>
      <c r="P18" s="114">
        <f t="shared" si="14"/>
        <v>5</v>
      </c>
      <c r="Q18" s="163">
        <f t="shared" si="15"/>
        <v>0.27</v>
      </c>
      <c r="R18" s="167">
        <f t="shared" si="16"/>
        <v>0.48</v>
      </c>
      <c r="S18" s="163">
        <f t="shared" si="17"/>
        <v>5.64</v>
      </c>
      <c r="T18" s="119">
        <f t="shared" si="18"/>
        <v>78.8</v>
      </c>
      <c r="U18" s="184">
        <f t="shared" si="19"/>
        <v>130</v>
      </c>
      <c r="V18" s="185"/>
      <c r="W18" s="186">
        <f t="shared" si="20"/>
        <v>0.838395415472779</v>
      </c>
      <c r="Y18" s="199">
        <v>296</v>
      </c>
      <c r="Z18" s="199">
        <v>30</v>
      </c>
      <c r="AA18" s="199">
        <v>23</v>
      </c>
      <c r="AB18" s="199">
        <v>136</v>
      </c>
      <c r="AC18" s="199">
        <v>2.78</v>
      </c>
      <c r="AD18" s="199">
        <v>2.55</v>
      </c>
      <c r="AE18" s="199">
        <v>114</v>
      </c>
      <c r="AF18" s="199">
        <v>17</v>
      </c>
      <c r="AG18" s="199">
        <v>5</v>
      </c>
      <c r="AH18" s="199">
        <v>27.9</v>
      </c>
      <c r="AI18" s="199">
        <v>0.58</v>
      </c>
      <c r="AJ18" s="199">
        <v>0.48</v>
      </c>
      <c r="AK18" s="206">
        <v>34.9</v>
      </c>
      <c r="AL18" s="204">
        <v>6.4</v>
      </c>
      <c r="AM18" s="204">
        <v>5.64</v>
      </c>
      <c r="AN18" s="205">
        <v>2.81</v>
      </c>
      <c r="AO18" s="205">
        <v>0.55</v>
      </c>
      <c r="AP18" s="205">
        <v>0.27</v>
      </c>
      <c r="AQ18">
        <v>78.8</v>
      </c>
      <c r="AR18">
        <v>130</v>
      </c>
    </row>
    <row r="19" ht="12.95" customHeight="1" spans="1:44">
      <c r="A19" s="111">
        <v>13</v>
      </c>
      <c r="B19" s="112">
        <f t="shared" si="0"/>
        <v>426</v>
      </c>
      <c r="C19" s="113">
        <f t="shared" si="1"/>
        <v>192</v>
      </c>
      <c r="D19" s="114">
        <f t="shared" si="2"/>
        <v>118</v>
      </c>
      <c r="E19" s="115">
        <f t="shared" si="3"/>
        <v>2.33</v>
      </c>
      <c r="F19" s="116">
        <f t="shared" si="4"/>
        <v>34.9</v>
      </c>
      <c r="G19" s="117">
        <f t="shared" si="5"/>
        <v>39.1</v>
      </c>
      <c r="H19" s="118">
        <f t="shared" si="6"/>
        <v>47</v>
      </c>
      <c r="I19" s="115">
        <f t="shared" si="7"/>
        <v>3.4</v>
      </c>
      <c r="J19" s="118">
        <f t="shared" si="8"/>
        <v>16</v>
      </c>
      <c r="K19" s="115">
        <f t="shared" si="9"/>
        <v>0.53</v>
      </c>
      <c r="L19" s="163">
        <f t="shared" si="10"/>
        <v>0.88</v>
      </c>
      <c r="M19" s="163">
        <f t="shared" si="11"/>
        <v>6.9</v>
      </c>
      <c r="N19" s="114">
        <f t="shared" si="12"/>
        <v>26</v>
      </c>
      <c r="O19" s="164">
        <f t="shared" si="13"/>
        <v>2.6</v>
      </c>
      <c r="P19" s="114">
        <f t="shared" si="14"/>
        <v>6</v>
      </c>
      <c r="Q19" s="163">
        <f t="shared" si="15"/>
        <v>0.17</v>
      </c>
      <c r="R19" s="167">
        <f t="shared" si="16"/>
        <v>0.67</v>
      </c>
      <c r="S19" s="163">
        <f t="shared" si="17"/>
        <v>6.13</v>
      </c>
      <c r="T19" s="119">
        <f t="shared" si="18"/>
        <v>78.4</v>
      </c>
      <c r="U19" s="184" t="str">
        <f t="shared" si="19"/>
        <v>&lt;20</v>
      </c>
      <c r="V19" s="185"/>
      <c r="W19" s="186">
        <f t="shared" si="20"/>
        <v>0.843222506393862</v>
      </c>
      <c r="Y19" s="199">
        <v>426</v>
      </c>
      <c r="Z19" s="199">
        <v>47</v>
      </c>
      <c r="AA19" s="199">
        <v>26</v>
      </c>
      <c r="AB19" s="199">
        <v>192</v>
      </c>
      <c r="AC19" s="199">
        <v>3.4</v>
      </c>
      <c r="AD19" s="199">
        <v>2.6</v>
      </c>
      <c r="AE19" s="199">
        <v>118</v>
      </c>
      <c r="AF19" s="199">
        <v>16</v>
      </c>
      <c r="AG19" s="199">
        <v>6</v>
      </c>
      <c r="AH19" s="199">
        <v>34.9</v>
      </c>
      <c r="AI19" s="199">
        <v>0.88</v>
      </c>
      <c r="AJ19" s="199">
        <v>0.67</v>
      </c>
      <c r="AK19" s="199">
        <v>39.1</v>
      </c>
      <c r="AL19" s="204">
        <v>6.9</v>
      </c>
      <c r="AM19" s="204">
        <v>6.13</v>
      </c>
      <c r="AN19" s="205">
        <v>2.33</v>
      </c>
      <c r="AO19" s="205">
        <v>0.53</v>
      </c>
      <c r="AP19" s="205">
        <v>0.17</v>
      </c>
      <c r="AQ19">
        <v>78.4</v>
      </c>
      <c r="AR19" t="s">
        <v>128</v>
      </c>
    </row>
    <row r="20" ht="12.95" customHeight="1" spans="1:44">
      <c r="A20" s="111">
        <v>14</v>
      </c>
      <c r="B20" s="112">
        <f t="shared" si="0"/>
        <v>272</v>
      </c>
      <c r="C20" s="113">
        <f t="shared" si="1"/>
        <v>124</v>
      </c>
      <c r="D20" s="114">
        <f t="shared" si="2"/>
        <v>108</v>
      </c>
      <c r="E20" s="115">
        <f t="shared" si="3"/>
        <v>2.9</v>
      </c>
      <c r="F20" s="116">
        <f t="shared" si="4"/>
        <v>29.8</v>
      </c>
      <c r="G20" s="117">
        <f t="shared" si="5"/>
        <v>35.1</v>
      </c>
      <c r="H20" s="118">
        <f t="shared" si="6"/>
        <v>47</v>
      </c>
      <c r="I20" s="115">
        <f t="shared" si="7"/>
        <v>3.33</v>
      </c>
      <c r="J20" s="118">
        <f t="shared" si="8"/>
        <v>15</v>
      </c>
      <c r="K20" s="115">
        <f t="shared" si="9"/>
        <v>0.52</v>
      </c>
      <c r="L20" s="163">
        <f t="shared" si="10"/>
        <v>0.64</v>
      </c>
      <c r="M20" s="163">
        <f t="shared" si="11"/>
        <v>6.73</v>
      </c>
      <c r="N20" s="114">
        <f t="shared" si="12"/>
        <v>24</v>
      </c>
      <c r="O20" s="164">
        <f t="shared" si="13"/>
        <v>2.25</v>
      </c>
      <c r="P20" s="114">
        <f t="shared" si="14"/>
        <v>5</v>
      </c>
      <c r="Q20" s="163">
        <f t="shared" si="15"/>
        <v>0.14</v>
      </c>
      <c r="R20" s="167">
        <f t="shared" si="16"/>
        <v>0.43</v>
      </c>
      <c r="S20" s="163">
        <f t="shared" si="17"/>
        <v>6.09</v>
      </c>
      <c r="T20" s="119">
        <f t="shared" si="18"/>
        <v>78.7</v>
      </c>
      <c r="U20" s="184" t="str">
        <f t="shared" si="19"/>
        <v>&lt;20</v>
      </c>
      <c r="V20" s="185"/>
      <c r="W20" s="186">
        <f t="shared" si="20"/>
        <v>0.826495726495726</v>
      </c>
      <c r="Y20" s="199">
        <v>272</v>
      </c>
      <c r="Z20" s="199">
        <v>47</v>
      </c>
      <c r="AA20" s="199">
        <v>24</v>
      </c>
      <c r="AB20" s="199">
        <v>124</v>
      </c>
      <c r="AC20" s="199">
        <v>3.33</v>
      </c>
      <c r="AD20" s="199">
        <v>2.25</v>
      </c>
      <c r="AE20" s="199">
        <v>108</v>
      </c>
      <c r="AF20" s="199">
        <v>15</v>
      </c>
      <c r="AG20" s="199">
        <v>5</v>
      </c>
      <c r="AH20" s="199">
        <v>29.8</v>
      </c>
      <c r="AI20" s="199">
        <v>0.64</v>
      </c>
      <c r="AJ20" s="199">
        <v>0.43</v>
      </c>
      <c r="AK20" s="199">
        <v>35.1</v>
      </c>
      <c r="AL20" s="204">
        <v>6.73</v>
      </c>
      <c r="AM20" s="204">
        <v>6.09</v>
      </c>
      <c r="AN20" s="205">
        <v>2.9</v>
      </c>
      <c r="AO20" s="205">
        <v>0.52</v>
      </c>
      <c r="AP20" s="205">
        <v>0.14</v>
      </c>
      <c r="AQ20">
        <v>78.7</v>
      </c>
      <c r="AR20" t="s">
        <v>128</v>
      </c>
    </row>
    <row r="21" ht="12.95" customHeight="1" spans="1:44">
      <c r="A21" s="111">
        <v>15</v>
      </c>
      <c r="B21" s="112">
        <f t="shared" si="0"/>
        <v>227</v>
      </c>
      <c r="C21" s="113">
        <f t="shared" si="1"/>
        <v>104</v>
      </c>
      <c r="D21" s="114">
        <f t="shared" si="2"/>
        <v>126</v>
      </c>
      <c r="E21" s="115">
        <f t="shared" si="3"/>
        <v>1.92</v>
      </c>
      <c r="F21" s="116">
        <f t="shared" si="4"/>
        <v>21.1</v>
      </c>
      <c r="G21" s="117">
        <f t="shared" si="5"/>
        <v>28.2</v>
      </c>
      <c r="H21" s="118">
        <f t="shared" si="6"/>
        <v>37</v>
      </c>
      <c r="I21" s="115">
        <f t="shared" si="7"/>
        <v>3.02</v>
      </c>
      <c r="J21" s="118">
        <f t="shared" si="8"/>
        <v>16</v>
      </c>
      <c r="K21" s="115">
        <f t="shared" si="9"/>
        <v>0.51</v>
      </c>
      <c r="L21" s="163">
        <f t="shared" si="10"/>
        <v>0.61</v>
      </c>
      <c r="M21" s="163">
        <f t="shared" si="11"/>
        <v>8.36</v>
      </c>
      <c r="N21" s="114">
        <f t="shared" si="12"/>
        <v>31</v>
      </c>
      <c r="O21" s="164">
        <f t="shared" si="13"/>
        <v>2.87</v>
      </c>
      <c r="P21" s="114">
        <f t="shared" si="14"/>
        <v>6</v>
      </c>
      <c r="Q21" s="163">
        <f t="shared" si="15"/>
        <v>0.14</v>
      </c>
      <c r="R21" s="167">
        <f t="shared" si="16"/>
        <v>0.48</v>
      </c>
      <c r="S21" s="163">
        <f t="shared" si="17"/>
        <v>8.06</v>
      </c>
      <c r="T21" s="119">
        <f t="shared" si="18"/>
        <v>78.6</v>
      </c>
      <c r="U21" s="184" t="str">
        <f t="shared" si="19"/>
        <v>&lt;20</v>
      </c>
      <c r="V21" s="185"/>
      <c r="W21" s="186">
        <f t="shared" si="20"/>
        <v>0.714184397163121</v>
      </c>
      <c r="Y21" s="199">
        <v>227</v>
      </c>
      <c r="Z21" s="199">
        <v>37</v>
      </c>
      <c r="AA21" s="199">
        <v>31</v>
      </c>
      <c r="AB21" s="199">
        <v>104</v>
      </c>
      <c r="AC21" s="199">
        <v>3.02</v>
      </c>
      <c r="AD21" s="199">
        <v>2.87</v>
      </c>
      <c r="AE21" s="199">
        <v>126</v>
      </c>
      <c r="AF21" s="199">
        <v>16</v>
      </c>
      <c r="AG21" s="199">
        <v>6</v>
      </c>
      <c r="AH21" s="199">
        <v>21.1</v>
      </c>
      <c r="AI21" s="199">
        <v>0.61</v>
      </c>
      <c r="AJ21" s="199">
        <v>0.48</v>
      </c>
      <c r="AK21" s="199">
        <v>28.2</v>
      </c>
      <c r="AL21" s="204">
        <v>8.36</v>
      </c>
      <c r="AM21" s="204">
        <v>8.06</v>
      </c>
      <c r="AN21" s="205">
        <v>1.92</v>
      </c>
      <c r="AO21" s="205">
        <v>0.51</v>
      </c>
      <c r="AP21" s="205">
        <v>0.14</v>
      </c>
      <c r="AQ21">
        <v>78.6</v>
      </c>
      <c r="AR21" t="s">
        <v>128</v>
      </c>
    </row>
    <row r="22" ht="12" customHeight="1" spans="1:44">
      <c r="A22" s="111">
        <v>16</v>
      </c>
      <c r="B22" s="112">
        <f t="shared" si="0"/>
        <v>299</v>
      </c>
      <c r="C22" s="113">
        <f t="shared" si="1"/>
        <v>136</v>
      </c>
      <c r="D22" s="114">
        <f t="shared" si="2"/>
        <v>100</v>
      </c>
      <c r="E22" s="115">
        <f t="shared" si="3"/>
        <v>1.85</v>
      </c>
      <c r="F22" s="116">
        <f t="shared" si="4"/>
        <v>20.4</v>
      </c>
      <c r="G22" s="117">
        <f t="shared" si="5"/>
        <v>27.1</v>
      </c>
      <c r="H22" s="118">
        <f t="shared" si="6"/>
        <v>44</v>
      </c>
      <c r="I22" s="115">
        <f t="shared" si="7"/>
        <v>3.61</v>
      </c>
      <c r="J22" s="118">
        <f t="shared" si="8"/>
        <v>18</v>
      </c>
      <c r="K22" s="115">
        <f t="shared" si="9"/>
        <v>0.56</v>
      </c>
      <c r="L22" s="163">
        <f t="shared" si="10"/>
        <v>0.5</v>
      </c>
      <c r="M22" s="163">
        <f t="shared" si="11"/>
        <v>5.56</v>
      </c>
      <c r="N22" s="114">
        <f t="shared" si="12"/>
        <v>29</v>
      </c>
      <c r="O22" s="164">
        <f t="shared" si="13"/>
        <v>2.74</v>
      </c>
      <c r="P22" s="114">
        <f t="shared" si="14"/>
        <v>5</v>
      </c>
      <c r="Q22" s="163">
        <f t="shared" si="15"/>
        <v>0.29</v>
      </c>
      <c r="R22" s="167">
        <f t="shared" si="16"/>
        <v>0.49</v>
      </c>
      <c r="S22" s="163">
        <f t="shared" si="17"/>
        <v>5.18</v>
      </c>
      <c r="T22" s="119">
        <f t="shared" si="18"/>
        <v>78.7</v>
      </c>
      <c r="U22" s="184">
        <f t="shared" si="19"/>
        <v>80</v>
      </c>
      <c r="V22" s="185"/>
      <c r="W22" s="186">
        <f t="shared" si="20"/>
        <v>0.808856088560886</v>
      </c>
      <c r="Y22" s="199">
        <v>299</v>
      </c>
      <c r="Z22" s="199">
        <v>44</v>
      </c>
      <c r="AA22" s="199">
        <v>29</v>
      </c>
      <c r="AB22" s="199">
        <v>136</v>
      </c>
      <c r="AC22" s="199">
        <v>3.61</v>
      </c>
      <c r="AD22" s="199">
        <v>2.74</v>
      </c>
      <c r="AE22" s="199">
        <v>100</v>
      </c>
      <c r="AF22" s="199">
        <v>18</v>
      </c>
      <c r="AG22" s="199">
        <v>5</v>
      </c>
      <c r="AH22" s="199">
        <v>20.4</v>
      </c>
      <c r="AI22" s="199">
        <v>0.5</v>
      </c>
      <c r="AJ22" s="199">
        <v>0.49</v>
      </c>
      <c r="AK22" s="199">
        <v>27.1</v>
      </c>
      <c r="AL22" s="204">
        <v>5.56</v>
      </c>
      <c r="AM22" s="204">
        <v>5.18</v>
      </c>
      <c r="AN22" s="205">
        <v>1.85</v>
      </c>
      <c r="AO22" s="205">
        <v>0.56</v>
      </c>
      <c r="AP22" s="205">
        <v>0.29</v>
      </c>
      <c r="AQ22">
        <v>78.7</v>
      </c>
      <c r="AR22">
        <v>80</v>
      </c>
    </row>
    <row r="23" ht="12.95" customHeight="1" spans="1:44">
      <c r="A23" s="111">
        <v>17</v>
      </c>
      <c r="B23" s="112">
        <f t="shared" si="0"/>
        <v>348</v>
      </c>
      <c r="C23" s="113">
        <f t="shared" si="1"/>
        <v>157</v>
      </c>
      <c r="D23" s="114">
        <f t="shared" si="2"/>
        <v>154</v>
      </c>
      <c r="E23" s="115">
        <f t="shared" si="3"/>
        <v>2.44</v>
      </c>
      <c r="F23" s="116">
        <f t="shared" si="4"/>
        <v>27.6</v>
      </c>
      <c r="G23" s="117">
        <f t="shared" si="5"/>
        <v>33.9</v>
      </c>
      <c r="H23" s="118">
        <f t="shared" si="6"/>
        <v>43</v>
      </c>
      <c r="I23" s="115">
        <f t="shared" si="7"/>
        <v>3.15</v>
      </c>
      <c r="J23" s="118">
        <f t="shared" si="8"/>
        <v>18</v>
      </c>
      <c r="K23" s="115">
        <f t="shared" si="9"/>
        <v>0.52</v>
      </c>
      <c r="L23" s="163">
        <f t="shared" si="10"/>
        <v>0.54</v>
      </c>
      <c r="M23" s="163">
        <f t="shared" si="11"/>
        <v>7.1</v>
      </c>
      <c r="N23" s="114">
        <f t="shared" si="12"/>
        <v>30</v>
      </c>
      <c r="O23" s="164">
        <f t="shared" si="13"/>
        <v>2.78</v>
      </c>
      <c r="P23" s="114">
        <f t="shared" si="14"/>
        <v>6</v>
      </c>
      <c r="Q23" s="163">
        <f t="shared" si="15"/>
        <v>0.15</v>
      </c>
      <c r="R23" s="167">
        <f t="shared" si="16"/>
        <v>0.45</v>
      </c>
      <c r="S23" s="163">
        <f t="shared" si="17"/>
        <v>5.88</v>
      </c>
      <c r="T23" s="119">
        <f t="shared" si="18"/>
        <v>78.4</v>
      </c>
      <c r="U23" s="184" t="str">
        <f t="shared" si="19"/>
        <v>&lt;20</v>
      </c>
      <c r="V23" s="185"/>
      <c r="W23" s="186">
        <f t="shared" si="20"/>
        <v>0.826548672566372</v>
      </c>
      <c r="Y23" s="199">
        <v>348</v>
      </c>
      <c r="Z23" s="199">
        <v>43</v>
      </c>
      <c r="AA23" s="199">
        <v>30</v>
      </c>
      <c r="AB23" s="199">
        <v>157</v>
      </c>
      <c r="AC23" s="199">
        <v>3.15</v>
      </c>
      <c r="AD23" s="199">
        <v>2.78</v>
      </c>
      <c r="AE23" s="199">
        <v>154</v>
      </c>
      <c r="AF23" s="199">
        <v>18</v>
      </c>
      <c r="AG23" s="199">
        <v>6</v>
      </c>
      <c r="AH23" s="199">
        <v>27.6</v>
      </c>
      <c r="AI23" s="199">
        <v>0.54</v>
      </c>
      <c r="AJ23" s="199">
        <v>0.45</v>
      </c>
      <c r="AK23" s="199">
        <v>33.9</v>
      </c>
      <c r="AL23" s="204">
        <v>7.1</v>
      </c>
      <c r="AM23" s="204">
        <v>5.88</v>
      </c>
      <c r="AN23" s="205">
        <v>2.44</v>
      </c>
      <c r="AO23" s="205">
        <v>0.52</v>
      </c>
      <c r="AP23" s="205">
        <v>0.15</v>
      </c>
      <c r="AQ23">
        <v>78.4</v>
      </c>
      <c r="AR23" t="s">
        <v>128</v>
      </c>
    </row>
    <row r="24" ht="12.95" customHeight="1" spans="1:44">
      <c r="A24" s="111">
        <v>18</v>
      </c>
      <c r="B24" s="112">
        <f t="shared" si="0"/>
        <v>272</v>
      </c>
      <c r="C24" s="113">
        <f t="shared" si="1"/>
        <v>127</v>
      </c>
      <c r="D24" s="114">
        <f t="shared" si="2"/>
        <v>124</v>
      </c>
      <c r="E24" s="115">
        <f t="shared" si="3"/>
        <v>1.94</v>
      </c>
      <c r="F24" s="116">
        <f t="shared" si="4"/>
        <v>21.4</v>
      </c>
      <c r="G24" s="117">
        <f t="shared" si="5"/>
        <v>27.7</v>
      </c>
      <c r="H24" s="118">
        <f t="shared" si="6"/>
        <v>44</v>
      </c>
      <c r="I24" s="115">
        <f t="shared" si="7"/>
        <v>3.09</v>
      </c>
      <c r="J24" s="118">
        <f t="shared" si="8"/>
        <v>18</v>
      </c>
      <c r="K24" s="115">
        <f t="shared" si="9"/>
        <v>0.57</v>
      </c>
      <c r="L24" s="163">
        <f t="shared" si="10"/>
        <v>0.43</v>
      </c>
      <c r="M24" s="163">
        <f t="shared" si="11"/>
        <v>8.92</v>
      </c>
      <c r="N24" s="114">
        <f t="shared" si="12"/>
        <v>27</v>
      </c>
      <c r="O24" s="164">
        <f t="shared" si="13"/>
        <v>2.55</v>
      </c>
      <c r="P24" s="114">
        <f t="shared" si="14"/>
        <v>6</v>
      </c>
      <c r="Q24" s="163">
        <f t="shared" si="15"/>
        <v>0.2</v>
      </c>
      <c r="R24" s="167">
        <f t="shared" si="16"/>
        <v>0.39</v>
      </c>
      <c r="S24" s="163">
        <f t="shared" si="17"/>
        <v>7.08</v>
      </c>
      <c r="T24" s="119">
        <f t="shared" si="18"/>
        <v>78.2</v>
      </c>
      <c r="U24" s="184" t="str">
        <f t="shared" si="19"/>
        <v>&lt;20</v>
      </c>
      <c r="V24" s="185"/>
      <c r="W24" s="186">
        <f t="shared" si="20"/>
        <v>0.744404332129964</v>
      </c>
      <c r="Y24" s="199">
        <v>272</v>
      </c>
      <c r="Z24" s="199">
        <v>44</v>
      </c>
      <c r="AA24" s="199">
        <v>27</v>
      </c>
      <c r="AB24" s="199">
        <v>127</v>
      </c>
      <c r="AC24" s="199">
        <v>3.09</v>
      </c>
      <c r="AD24" s="199">
        <v>2.55</v>
      </c>
      <c r="AE24" s="199">
        <v>124</v>
      </c>
      <c r="AF24" s="199">
        <v>18</v>
      </c>
      <c r="AG24" s="199">
        <v>6</v>
      </c>
      <c r="AH24" s="199">
        <v>21.4</v>
      </c>
      <c r="AI24" s="199">
        <v>0.43</v>
      </c>
      <c r="AJ24" s="199">
        <v>0.39</v>
      </c>
      <c r="AK24" s="199">
        <v>27.7</v>
      </c>
      <c r="AL24" s="204">
        <v>8.92</v>
      </c>
      <c r="AM24" s="204">
        <v>7.08</v>
      </c>
      <c r="AN24" s="205">
        <v>1.94</v>
      </c>
      <c r="AO24" s="205">
        <v>0.57</v>
      </c>
      <c r="AP24" s="205">
        <v>0.2</v>
      </c>
      <c r="AQ24">
        <v>78.2</v>
      </c>
      <c r="AR24" t="s">
        <v>128</v>
      </c>
    </row>
    <row r="25" ht="12.95" customHeight="1" spans="1:44">
      <c r="A25" s="111">
        <v>19</v>
      </c>
      <c r="B25" s="112">
        <f t="shared" si="0"/>
        <v>238</v>
      </c>
      <c r="C25" s="113">
        <f t="shared" si="1"/>
        <v>108</v>
      </c>
      <c r="D25" s="114">
        <f t="shared" si="2"/>
        <v>138</v>
      </c>
      <c r="E25" s="115">
        <f t="shared" si="3"/>
        <v>3.71</v>
      </c>
      <c r="F25" s="116">
        <f t="shared" si="4"/>
        <v>23.3</v>
      </c>
      <c r="G25" s="117">
        <f t="shared" si="5"/>
        <v>28.8</v>
      </c>
      <c r="H25" s="118">
        <f t="shared" si="6"/>
        <v>35</v>
      </c>
      <c r="I25" s="115">
        <f t="shared" si="7"/>
        <v>2.92</v>
      </c>
      <c r="J25" s="118">
        <f t="shared" si="8"/>
        <v>15</v>
      </c>
      <c r="K25" s="115">
        <f t="shared" si="9"/>
        <v>0.55</v>
      </c>
      <c r="L25" s="163">
        <f t="shared" si="10"/>
        <v>0.55</v>
      </c>
      <c r="M25" s="163">
        <f t="shared" si="11"/>
        <v>5.96</v>
      </c>
      <c r="N25" s="114">
        <f t="shared" si="12"/>
        <v>29</v>
      </c>
      <c r="O25" s="164">
        <f t="shared" si="13"/>
        <v>2.45</v>
      </c>
      <c r="P25" s="114">
        <f t="shared" si="14"/>
        <v>6</v>
      </c>
      <c r="Q25" s="163">
        <f t="shared" si="15"/>
        <v>0.2</v>
      </c>
      <c r="R25" s="167">
        <f t="shared" si="16"/>
        <v>0.5</v>
      </c>
      <c r="S25" s="163">
        <f t="shared" si="17"/>
        <v>5.88</v>
      </c>
      <c r="T25" s="119">
        <f t="shared" si="18"/>
        <v>78.2</v>
      </c>
      <c r="U25" s="184" t="str">
        <f t="shared" si="19"/>
        <v>&lt;20</v>
      </c>
      <c r="V25" s="185"/>
      <c r="W25" s="186">
        <f t="shared" si="20"/>
        <v>0.795833333333333</v>
      </c>
      <c r="Y25" s="199">
        <v>238</v>
      </c>
      <c r="Z25" s="199">
        <v>35</v>
      </c>
      <c r="AA25" s="199">
        <v>29</v>
      </c>
      <c r="AB25" s="199">
        <v>108</v>
      </c>
      <c r="AC25" s="199">
        <v>2.92</v>
      </c>
      <c r="AD25" s="199">
        <v>2.45</v>
      </c>
      <c r="AE25" s="199">
        <v>138</v>
      </c>
      <c r="AF25" s="199">
        <v>15</v>
      </c>
      <c r="AG25" s="199">
        <v>6</v>
      </c>
      <c r="AH25" s="199">
        <v>23.3</v>
      </c>
      <c r="AI25" s="199">
        <v>0.55</v>
      </c>
      <c r="AJ25" s="199">
        <v>0.5</v>
      </c>
      <c r="AK25" s="199">
        <v>28.8</v>
      </c>
      <c r="AL25" s="207">
        <v>5.96</v>
      </c>
      <c r="AM25" s="204">
        <v>5.88</v>
      </c>
      <c r="AN25" s="205">
        <v>3.71</v>
      </c>
      <c r="AO25" s="205">
        <v>0.55</v>
      </c>
      <c r="AP25" s="205">
        <v>0.2</v>
      </c>
      <c r="AQ25">
        <v>78.2</v>
      </c>
      <c r="AR25" t="s">
        <v>128</v>
      </c>
    </row>
    <row r="26" ht="12.95" customHeight="1" spans="1:44">
      <c r="A26" s="111">
        <v>20</v>
      </c>
      <c r="B26" s="112">
        <f t="shared" si="0"/>
        <v>330</v>
      </c>
      <c r="C26" s="113">
        <f t="shared" si="1"/>
        <v>150</v>
      </c>
      <c r="D26" s="114">
        <f t="shared" si="2"/>
        <v>160</v>
      </c>
      <c r="E26" s="115">
        <f t="shared" si="3"/>
        <v>2.35</v>
      </c>
      <c r="F26" s="116">
        <f t="shared" si="4"/>
        <v>32.5</v>
      </c>
      <c r="G26" s="117">
        <f t="shared" si="5"/>
        <v>37.8</v>
      </c>
      <c r="H26" s="118">
        <f t="shared" si="6"/>
        <v>38</v>
      </c>
      <c r="I26" s="115">
        <f t="shared" si="7"/>
        <v>3.02</v>
      </c>
      <c r="J26" s="118">
        <f t="shared" si="8"/>
        <v>18</v>
      </c>
      <c r="K26" s="115">
        <f t="shared" si="9"/>
        <v>0.51</v>
      </c>
      <c r="L26" s="163">
        <f t="shared" si="10"/>
        <v>1.01</v>
      </c>
      <c r="M26" s="163">
        <f t="shared" si="11"/>
        <v>6.96</v>
      </c>
      <c r="N26" s="114">
        <f t="shared" si="12"/>
        <v>33</v>
      </c>
      <c r="O26" s="164">
        <f t="shared" si="13"/>
        <v>2.89</v>
      </c>
      <c r="P26" s="114">
        <f t="shared" si="14"/>
        <v>7</v>
      </c>
      <c r="Q26" s="163">
        <f t="shared" si="15"/>
        <v>0.17</v>
      </c>
      <c r="R26" s="167">
        <f t="shared" si="16"/>
        <v>0.75</v>
      </c>
      <c r="S26" s="163">
        <f t="shared" si="17"/>
        <v>6.08</v>
      </c>
      <c r="T26" s="119">
        <f t="shared" si="18"/>
        <v>78.3</v>
      </c>
      <c r="U26" s="184">
        <f t="shared" si="19"/>
        <v>50</v>
      </c>
      <c r="V26" s="185"/>
      <c r="W26" s="186">
        <f t="shared" si="20"/>
        <v>0.839153439153439</v>
      </c>
      <c r="Y26" s="199">
        <v>330</v>
      </c>
      <c r="Z26" s="199">
        <v>38</v>
      </c>
      <c r="AA26" s="199">
        <v>33</v>
      </c>
      <c r="AB26" s="199">
        <v>150</v>
      </c>
      <c r="AC26" s="199">
        <v>3.02</v>
      </c>
      <c r="AD26" s="199">
        <v>2.89</v>
      </c>
      <c r="AE26" s="199">
        <v>160</v>
      </c>
      <c r="AF26" s="199">
        <v>18</v>
      </c>
      <c r="AG26" s="199">
        <v>7</v>
      </c>
      <c r="AH26" s="199">
        <v>32.5</v>
      </c>
      <c r="AI26" s="199">
        <v>1.01</v>
      </c>
      <c r="AJ26" s="199">
        <v>0.75</v>
      </c>
      <c r="AK26" s="199">
        <v>37.8</v>
      </c>
      <c r="AL26" s="204">
        <v>6.96</v>
      </c>
      <c r="AM26" s="205">
        <v>6.08</v>
      </c>
      <c r="AN26" s="205">
        <v>2.35</v>
      </c>
      <c r="AO26" s="205">
        <v>0.51</v>
      </c>
      <c r="AP26" s="205">
        <v>0.17</v>
      </c>
      <c r="AQ26">
        <v>78.3</v>
      </c>
      <c r="AR26">
        <v>50</v>
      </c>
    </row>
    <row r="27" ht="12.95" customHeight="1" spans="1:44">
      <c r="A27" s="111">
        <v>21</v>
      </c>
      <c r="B27" s="112">
        <f t="shared" si="0"/>
        <v>310</v>
      </c>
      <c r="C27" s="113">
        <f t="shared" si="1"/>
        <v>140</v>
      </c>
      <c r="D27" s="114">
        <f t="shared" si="2"/>
        <v>152</v>
      </c>
      <c r="E27" s="115">
        <f t="shared" si="3"/>
        <v>2.24</v>
      </c>
      <c r="F27" s="116">
        <f t="shared" si="4"/>
        <v>25.6</v>
      </c>
      <c r="G27" s="117">
        <f t="shared" si="5"/>
        <v>32</v>
      </c>
      <c r="H27" s="118">
        <f t="shared" si="6"/>
        <v>44</v>
      </c>
      <c r="I27" s="115">
        <f t="shared" si="7"/>
        <v>3.35</v>
      </c>
      <c r="J27" s="118">
        <f t="shared" si="8"/>
        <v>16</v>
      </c>
      <c r="K27" s="115">
        <f t="shared" si="9"/>
        <v>0.56</v>
      </c>
      <c r="L27" s="163">
        <f t="shared" si="10"/>
        <v>0.55</v>
      </c>
      <c r="M27" s="163">
        <f t="shared" si="11"/>
        <v>6.63</v>
      </c>
      <c r="N27" s="114">
        <f t="shared" si="12"/>
        <v>27</v>
      </c>
      <c r="O27" s="164">
        <f t="shared" si="13"/>
        <v>2.61</v>
      </c>
      <c r="P27" s="114">
        <f t="shared" si="14"/>
        <v>6</v>
      </c>
      <c r="Q27" s="163">
        <f t="shared" si="15"/>
        <v>0.15</v>
      </c>
      <c r="R27" s="167">
        <f t="shared" si="16"/>
        <v>0.51</v>
      </c>
      <c r="S27" s="163">
        <f t="shared" si="17"/>
        <v>6.3</v>
      </c>
      <c r="T27" s="119">
        <f t="shared" si="18"/>
        <v>78.5</v>
      </c>
      <c r="U27" s="184" t="str">
        <f t="shared" si="19"/>
        <v>&lt;20</v>
      </c>
      <c r="V27" s="185"/>
      <c r="W27" s="186">
        <f t="shared" si="20"/>
        <v>0.803125</v>
      </c>
      <c r="Y27" s="199">
        <v>310</v>
      </c>
      <c r="Z27" s="199">
        <v>44</v>
      </c>
      <c r="AA27" s="199">
        <v>27</v>
      </c>
      <c r="AB27" s="199">
        <v>140</v>
      </c>
      <c r="AC27" s="199">
        <v>3.35</v>
      </c>
      <c r="AD27" s="199">
        <v>2.61</v>
      </c>
      <c r="AE27" s="199">
        <v>152</v>
      </c>
      <c r="AF27" s="199">
        <v>16</v>
      </c>
      <c r="AG27" s="199">
        <v>6</v>
      </c>
      <c r="AH27" s="199">
        <v>25.6</v>
      </c>
      <c r="AI27" s="199">
        <v>0.55</v>
      </c>
      <c r="AJ27" s="199">
        <v>0.51</v>
      </c>
      <c r="AK27" s="199">
        <v>32</v>
      </c>
      <c r="AL27" s="204">
        <v>6.63</v>
      </c>
      <c r="AM27" s="205">
        <v>6.3</v>
      </c>
      <c r="AN27" s="205">
        <v>2.24</v>
      </c>
      <c r="AO27" s="205">
        <v>0.56</v>
      </c>
      <c r="AP27" s="205">
        <v>0.15</v>
      </c>
      <c r="AQ27">
        <v>78.5</v>
      </c>
      <c r="AR27" t="s">
        <v>128</v>
      </c>
    </row>
    <row r="28" ht="12.95" customHeight="1" spans="1:44">
      <c r="A28" s="111">
        <v>22</v>
      </c>
      <c r="B28" s="112">
        <f t="shared" si="0"/>
        <v>320</v>
      </c>
      <c r="C28" s="113">
        <f t="shared" si="1"/>
        <v>147</v>
      </c>
      <c r="D28" s="114">
        <f t="shared" si="2"/>
        <v>102</v>
      </c>
      <c r="E28" s="115">
        <f t="shared" si="3"/>
        <v>2.37</v>
      </c>
      <c r="F28" s="116">
        <f t="shared" si="4"/>
        <v>17.7</v>
      </c>
      <c r="G28" s="117">
        <f t="shared" si="5"/>
        <v>23.4</v>
      </c>
      <c r="H28" s="118">
        <f t="shared" si="6"/>
        <v>33</v>
      </c>
      <c r="I28" s="115">
        <f t="shared" si="7"/>
        <v>2.9</v>
      </c>
      <c r="J28" s="118">
        <f t="shared" si="8"/>
        <v>16</v>
      </c>
      <c r="K28" s="115">
        <f t="shared" si="9"/>
        <v>0.51</v>
      </c>
      <c r="L28" s="163">
        <f t="shared" si="10"/>
        <v>0.39</v>
      </c>
      <c r="M28" s="163">
        <f t="shared" si="11"/>
        <v>6.88</v>
      </c>
      <c r="N28" s="114">
        <f t="shared" si="12"/>
        <v>24</v>
      </c>
      <c r="O28" s="164">
        <f t="shared" si="13"/>
        <v>2.61</v>
      </c>
      <c r="P28" s="114">
        <f t="shared" si="14"/>
        <v>8</v>
      </c>
      <c r="Q28" s="163">
        <f t="shared" si="15"/>
        <v>0.18</v>
      </c>
      <c r="R28" s="167">
        <f t="shared" si="16"/>
        <v>0.29</v>
      </c>
      <c r="S28" s="163">
        <f t="shared" si="17"/>
        <v>5.56</v>
      </c>
      <c r="T28" s="119">
        <f t="shared" si="18"/>
        <v>78.6</v>
      </c>
      <c r="U28" s="184" t="str">
        <f t="shared" si="19"/>
        <v>&lt;20</v>
      </c>
      <c r="V28" s="185"/>
      <c r="W28" s="186">
        <f t="shared" si="20"/>
        <v>0.762393162393162</v>
      </c>
      <c r="Y28" s="199">
        <v>320</v>
      </c>
      <c r="Z28" s="199">
        <v>33</v>
      </c>
      <c r="AA28" s="199">
        <v>24</v>
      </c>
      <c r="AB28" s="199">
        <v>147</v>
      </c>
      <c r="AC28" s="199">
        <v>2.9</v>
      </c>
      <c r="AD28" s="199">
        <v>2.61</v>
      </c>
      <c r="AE28" s="199">
        <v>102</v>
      </c>
      <c r="AF28" s="199">
        <v>16</v>
      </c>
      <c r="AG28" s="199">
        <v>8</v>
      </c>
      <c r="AH28" s="199">
        <v>17.7</v>
      </c>
      <c r="AI28" s="199">
        <v>0.39</v>
      </c>
      <c r="AJ28" s="199">
        <v>0.29</v>
      </c>
      <c r="AK28" s="199">
        <v>23.4</v>
      </c>
      <c r="AL28" s="204">
        <v>6.88</v>
      </c>
      <c r="AM28" s="205">
        <v>5.56</v>
      </c>
      <c r="AN28" s="205">
        <v>2.37</v>
      </c>
      <c r="AO28" s="205">
        <v>0.51</v>
      </c>
      <c r="AP28" s="205">
        <v>0.18</v>
      </c>
      <c r="AQ28">
        <v>78.6</v>
      </c>
      <c r="AR28" t="s">
        <v>128</v>
      </c>
    </row>
    <row r="29" ht="12.95" customHeight="1" spans="1:44">
      <c r="A29" s="111">
        <v>23</v>
      </c>
      <c r="B29" s="112">
        <f t="shared" si="0"/>
        <v>180</v>
      </c>
      <c r="C29" s="113">
        <f t="shared" si="1"/>
        <v>82.4</v>
      </c>
      <c r="D29" s="114">
        <f t="shared" si="2"/>
        <v>92</v>
      </c>
      <c r="E29" s="115">
        <f t="shared" si="3"/>
        <v>2.03</v>
      </c>
      <c r="F29" s="116">
        <f t="shared" si="4"/>
        <v>21.7</v>
      </c>
      <c r="G29" s="117">
        <f t="shared" si="5"/>
        <v>27.8</v>
      </c>
      <c r="H29" s="118">
        <f t="shared" si="6"/>
        <v>34</v>
      </c>
      <c r="I29" s="115">
        <f t="shared" si="7"/>
        <v>2.71</v>
      </c>
      <c r="J29" s="118">
        <f t="shared" si="8"/>
        <v>16</v>
      </c>
      <c r="K29" s="115">
        <f t="shared" si="9"/>
        <v>0.52</v>
      </c>
      <c r="L29" s="163">
        <f t="shared" si="10"/>
        <v>0.38</v>
      </c>
      <c r="M29" s="163">
        <f t="shared" si="11"/>
        <v>5.78</v>
      </c>
      <c r="N29" s="114">
        <f t="shared" si="12"/>
        <v>23</v>
      </c>
      <c r="O29" s="164">
        <f t="shared" si="13"/>
        <v>2.65</v>
      </c>
      <c r="P29" s="114">
        <f t="shared" si="14"/>
        <v>6</v>
      </c>
      <c r="Q29" s="163">
        <f t="shared" si="15"/>
        <v>0.14</v>
      </c>
      <c r="R29" s="167">
        <f t="shared" si="16"/>
        <v>0.24</v>
      </c>
      <c r="S29" s="163">
        <f t="shared" si="17"/>
        <v>5.3</v>
      </c>
      <c r="T29" s="119">
        <f t="shared" si="18"/>
        <v>78.7</v>
      </c>
      <c r="U29" s="184" t="str">
        <f t="shared" si="19"/>
        <v>&lt;20</v>
      </c>
      <c r="V29" s="185"/>
      <c r="W29" s="186">
        <f t="shared" si="20"/>
        <v>0.809352517985612</v>
      </c>
      <c r="Y29" s="199">
        <v>180</v>
      </c>
      <c r="Z29" s="199">
        <v>34</v>
      </c>
      <c r="AA29" s="199">
        <v>23</v>
      </c>
      <c r="AB29" s="199">
        <v>82.4</v>
      </c>
      <c r="AC29" s="199">
        <v>2.71</v>
      </c>
      <c r="AD29" s="199">
        <v>2.65</v>
      </c>
      <c r="AE29" s="199">
        <v>92</v>
      </c>
      <c r="AF29" s="199">
        <v>16</v>
      </c>
      <c r="AG29" s="199">
        <v>6</v>
      </c>
      <c r="AH29" s="199">
        <v>21.7</v>
      </c>
      <c r="AI29" s="199">
        <v>0.38</v>
      </c>
      <c r="AJ29" s="199">
        <v>0.24</v>
      </c>
      <c r="AK29" s="199">
        <v>27.8</v>
      </c>
      <c r="AL29" s="204">
        <v>5.78</v>
      </c>
      <c r="AM29" s="204">
        <v>5.3</v>
      </c>
      <c r="AN29" s="205">
        <v>2.03</v>
      </c>
      <c r="AO29" s="205">
        <v>0.52</v>
      </c>
      <c r="AP29" s="205">
        <v>0.14</v>
      </c>
      <c r="AQ29">
        <v>78.7</v>
      </c>
      <c r="AR29" t="s">
        <v>128</v>
      </c>
    </row>
    <row r="30" ht="12.95" customHeight="1" spans="1:44">
      <c r="A30" s="111">
        <v>24</v>
      </c>
      <c r="B30" s="112">
        <f t="shared" si="0"/>
        <v>292</v>
      </c>
      <c r="C30" s="113">
        <f t="shared" si="1"/>
        <v>133</v>
      </c>
      <c r="D30" s="114">
        <f t="shared" si="2"/>
        <v>98</v>
      </c>
      <c r="E30" s="115">
        <f t="shared" si="3"/>
        <v>1.66</v>
      </c>
      <c r="F30" s="116">
        <f t="shared" si="4"/>
        <v>23.3</v>
      </c>
      <c r="G30" s="117">
        <f t="shared" si="5"/>
        <v>29.7</v>
      </c>
      <c r="H30" s="118">
        <f t="shared" si="6"/>
        <v>29</v>
      </c>
      <c r="I30" s="115">
        <f t="shared" si="7"/>
        <v>2.71</v>
      </c>
      <c r="J30" s="118">
        <f t="shared" si="8"/>
        <v>17</v>
      </c>
      <c r="K30" s="115">
        <f t="shared" si="9"/>
        <v>0.53</v>
      </c>
      <c r="L30" s="163">
        <f t="shared" si="10"/>
        <v>0.58</v>
      </c>
      <c r="M30" s="163">
        <f t="shared" si="11"/>
        <v>6.88</v>
      </c>
      <c r="N30" s="114">
        <f t="shared" si="12"/>
        <v>26</v>
      </c>
      <c r="O30" s="164">
        <f t="shared" si="13"/>
        <v>2.55</v>
      </c>
      <c r="P30" s="114">
        <f t="shared" si="14"/>
        <v>6</v>
      </c>
      <c r="Q30" s="163">
        <f t="shared" si="15"/>
        <v>0.16</v>
      </c>
      <c r="R30" s="167">
        <f t="shared" si="16"/>
        <v>0.31</v>
      </c>
      <c r="S30" s="163">
        <f t="shared" si="17"/>
        <v>6</v>
      </c>
      <c r="T30" s="119">
        <f t="shared" si="18"/>
        <v>78.6</v>
      </c>
      <c r="U30" s="184" t="str">
        <f t="shared" si="19"/>
        <v>&lt;20</v>
      </c>
      <c r="V30" s="185"/>
      <c r="W30" s="186">
        <f t="shared" si="20"/>
        <v>0.797979797979798</v>
      </c>
      <c r="Y30" s="199">
        <v>292</v>
      </c>
      <c r="Z30" s="199">
        <v>29</v>
      </c>
      <c r="AA30" s="199">
        <v>26</v>
      </c>
      <c r="AB30" s="199">
        <v>133</v>
      </c>
      <c r="AC30" s="199">
        <v>2.71</v>
      </c>
      <c r="AD30" s="199">
        <v>2.55</v>
      </c>
      <c r="AE30" s="199">
        <v>98</v>
      </c>
      <c r="AF30" s="199">
        <v>17</v>
      </c>
      <c r="AG30" s="199">
        <v>6</v>
      </c>
      <c r="AH30" s="199">
        <v>23.3</v>
      </c>
      <c r="AI30" s="199">
        <v>0.58</v>
      </c>
      <c r="AJ30" s="199">
        <v>0.31</v>
      </c>
      <c r="AK30" s="199">
        <v>29.7</v>
      </c>
      <c r="AL30" s="204">
        <v>6.88</v>
      </c>
      <c r="AM30" s="204">
        <v>6</v>
      </c>
      <c r="AN30" s="205">
        <v>1.66</v>
      </c>
      <c r="AO30" s="205">
        <v>0.53</v>
      </c>
      <c r="AP30" s="205">
        <v>0.16</v>
      </c>
      <c r="AQ30">
        <v>78.6</v>
      </c>
      <c r="AR30" t="s">
        <v>128</v>
      </c>
    </row>
    <row r="31" ht="12.95" customHeight="1" spans="1:44">
      <c r="A31" s="111">
        <v>25</v>
      </c>
      <c r="B31" s="112">
        <f t="shared" si="0"/>
        <v>306</v>
      </c>
      <c r="C31" s="113">
        <f t="shared" si="1"/>
        <v>140</v>
      </c>
      <c r="D31" s="114">
        <f t="shared" si="2"/>
        <v>100</v>
      </c>
      <c r="E31" s="115">
        <f t="shared" si="3"/>
        <v>1.79</v>
      </c>
      <c r="F31" s="116">
        <f t="shared" si="4"/>
        <v>20.8</v>
      </c>
      <c r="G31" s="117">
        <f t="shared" si="5"/>
        <v>27</v>
      </c>
      <c r="H31" s="118">
        <f t="shared" si="6"/>
        <v>44</v>
      </c>
      <c r="I31" s="115">
        <f t="shared" si="7"/>
        <v>3.25</v>
      </c>
      <c r="J31" s="118">
        <f t="shared" si="8"/>
        <v>15</v>
      </c>
      <c r="K31" s="115">
        <f t="shared" si="9"/>
        <v>0.51</v>
      </c>
      <c r="L31" s="163">
        <f t="shared" si="10"/>
        <v>0.36</v>
      </c>
      <c r="M31" s="163">
        <f t="shared" si="11"/>
        <v>7.79</v>
      </c>
      <c r="N31" s="114">
        <f t="shared" si="12"/>
        <v>30</v>
      </c>
      <c r="O31" s="164">
        <f t="shared" si="13"/>
        <v>2.4</v>
      </c>
      <c r="P31" s="114">
        <f t="shared" si="14"/>
        <v>5</v>
      </c>
      <c r="Q31" s="163">
        <f t="shared" si="15"/>
        <v>0.13</v>
      </c>
      <c r="R31" s="167">
        <f t="shared" si="16"/>
        <v>0.32</v>
      </c>
      <c r="S31" s="163">
        <f t="shared" si="17"/>
        <v>6.68</v>
      </c>
      <c r="T31" s="119">
        <f t="shared" si="18"/>
        <v>78.8</v>
      </c>
      <c r="U31" s="184" t="str">
        <f t="shared" si="19"/>
        <v>&lt;20</v>
      </c>
      <c r="V31" s="185"/>
      <c r="W31" s="186">
        <f t="shared" si="20"/>
        <v>0.752592592592593</v>
      </c>
      <c r="Y31" s="199">
        <v>306</v>
      </c>
      <c r="Z31" s="199">
        <v>44</v>
      </c>
      <c r="AA31" s="199">
        <v>30</v>
      </c>
      <c r="AB31" s="199">
        <v>140</v>
      </c>
      <c r="AC31" s="199">
        <v>3.25</v>
      </c>
      <c r="AD31" s="199">
        <v>2.4</v>
      </c>
      <c r="AE31" s="199">
        <v>100</v>
      </c>
      <c r="AF31" s="199">
        <v>15</v>
      </c>
      <c r="AG31" s="199">
        <v>5</v>
      </c>
      <c r="AH31" s="199">
        <v>20.8</v>
      </c>
      <c r="AI31" s="199">
        <v>0.36</v>
      </c>
      <c r="AJ31" s="199">
        <v>0.32</v>
      </c>
      <c r="AK31" s="208">
        <v>27</v>
      </c>
      <c r="AL31" s="209">
        <v>7.79</v>
      </c>
      <c r="AM31" s="204">
        <v>6.68</v>
      </c>
      <c r="AN31" s="205">
        <v>1.79</v>
      </c>
      <c r="AO31" s="205">
        <v>0.51</v>
      </c>
      <c r="AP31" s="205">
        <v>0.13</v>
      </c>
      <c r="AQ31">
        <v>78.8</v>
      </c>
      <c r="AR31" t="s">
        <v>128</v>
      </c>
    </row>
    <row r="32" ht="12.95" customHeight="1" spans="1:44">
      <c r="A32" s="111">
        <v>26</v>
      </c>
      <c r="B32" s="112">
        <f t="shared" si="0"/>
        <v>362</v>
      </c>
      <c r="C32" s="113">
        <f t="shared" si="1"/>
        <v>166</v>
      </c>
      <c r="D32" s="114">
        <f t="shared" si="2"/>
        <v>102</v>
      </c>
      <c r="E32" s="115">
        <f t="shared" si="3"/>
        <v>3.19</v>
      </c>
      <c r="F32" s="116">
        <f t="shared" si="4"/>
        <v>25</v>
      </c>
      <c r="G32" s="117">
        <f t="shared" si="5"/>
        <v>30.3</v>
      </c>
      <c r="H32" s="118">
        <f t="shared" si="6"/>
        <v>36</v>
      </c>
      <c r="I32" s="115">
        <f t="shared" si="7"/>
        <v>2.77</v>
      </c>
      <c r="J32" s="118">
        <f t="shared" si="8"/>
        <v>16</v>
      </c>
      <c r="K32" s="115">
        <f t="shared" si="9"/>
        <v>0.57</v>
      </c>
      <c r="L32" s="163">
        <f t="shared" si="10"/>
        <v>0.61</v>
      </c>
      <c r="M32" s="163">
        <f t="shared" si="11"/>
        <v>9.55</v>
      </c>
      <c r="N32" s="114">
        <f t="shared" si="12"/>
        <v>27</v>
      </c>
      <c r="O32" s="164">
        <f t="shared" si="13"/>
        <v>2.6</v>
      </c>
      <c r="P32" s="114">
        <f t="shared" si="14"/>
        <v>5</v>
      </c>
      <c r="Q32" s="163">
        <f t="shared" si="15"/>
        <v>0.15</v>
      </c>
      <c r="R32" s="167">
        <f t="shared" si="16"/>
        <v>0.56</v>
      </c>
      <c r="S32" s="163">
        <f t="shared" si="17"/>
        <v>7.96</v>
      </c>
      <c r="T32" s="119">
        <f t="shared" si="18"/>
        <v>78.6</v>
      </c>
      <c r="U32" s="184" t="str">
        <f t="shared" si="19"/>
        <v>&lt;20</v>
      </c>
      <c r="V32" s="185"/>
      <c r="W32" s="186">
        <f t="shared" si="20"/>
        <v>0.737293729372937</v>
      </c>
      <c r="Y32" s="199">
        <v>362</v>
      </c>
      <c r="Z32" s="199">
        <v>36</v>
      </c>
      <c r="AA32" s="199">
        <v>27</v>
      </c>
      <c r="AB32" s="199">
        <v>166</v>
      </c>
      <c r="AC32" s="199">
        <v>2.77</v>
      </c>
      <c r="AD32" s="199">
        <v>2.6</v>
      </c>
      <c r="AE32" s="199">
        <v>102</v>
      </c>
      <c r="AF32" s="199">
        <v>16</v>
      </c>
      <c r="AG32" s="199">
        <v>5</v>
      </c>
      <c r="AH32" s="199">
        <v>25</v>
      </c>
      <c r="AI32" s="199">
        <v>0.61</v>
      </c>
      <c r="AJ32" s="199">
        <v>0.56</v>
      </c>
      <c r="AK32" s="199">
        <v>30.3</v>
      </c>
      <c r="AL32" s="204">
        <v>9.55</v>
      </c>
      <c r="AM32" s="204">
        <v>7.96</v>
      </c>
      <c r="AN32" s="205">
        <v>3.19</v>
      </c>
      <c r="AO32" s="205">
        <v>0.57</v>
      </c>
      <c r="AP32" s="205">
        <v>0.15</v>
      </c>
      <c r="AQ32">
        <v>78.6</v>
      </c>
      <c r="AR32" t="s">
        <v>128</v>
      </c>
    </row>
    <row r="33" ht="12.95" customHeight="1" spans="1:44">
      <c r="A33" s="111">
        <v>27</v>
      </c>
      <c r="B33" s="112">
        <f t="shared" si="0"/>
        <v>290</v>
      </c>
      <c r="C33" s="113">
        <f t="shared" si="1"/>
        <v>133</v>
      </c>
      <c r="D33" s="114">
        <f t="shared" si="2"/>
        <v>116</v>
      </c>
      <c r="E33" s="115">
        <f t="shared" si="3"/>
        <v>2.53</v>
      </c>
      <c r="F33" s="116">
        <f t="shared" si="4"/>
        <v>28.3</v>
      </c>
      <c r="G33" s="117">
        <f t="shared" si="5"/>
        <v>32.3</v>
      </c>
      <c r="H33" s="118">
        <f t="shared" si="6"/>
        <v>42</v>
      </c>
      <c r="I33" s="115">
        <f t="shared" si="7"/>
        <v>3.11</v>
      </c>
      <c r="J33" s="118">
        <f t="shared" si="8"/>
        <v>14</v>
      </c>
      <c r="K33" s="115">
        <f t="shared" si="9"/>
        <v>0.51</v>
      </c>
      <c r="L33" s="163">
        <f t="shared" si="10"/>
        <v>0.84</v>
      </c>
      <c r="M33" s="163">
        <f t="shared" si="11"/>
        <v>6.88</v>
      </c>
      <c r="N33" s="114">
        <f t="shared" si="12"/>
        <v>26</v>
      </c>
      <c r="O33" s="164">
        <f t="shared" si="13"/>
        <v>2.7</v>
      </c>
      <c r="P33" s="114">
        <f t="shared" si="14"/>
        <v>5</v>
      </c>
      <c r="Q33" s="163">
        <f t="shared" si="15"/>
        <v>0.16</v>
      </c>
      <c r="R33" s="167">
        <f t="shared" si="16"/>
        <v>0.7</v>
      </c>
      <c r="S33" s="163">
        <f t="shared" si="17"/>
        <v>6.3</v>
      </c>
      <c r="T33" s="119">
        <f t="shared" si="18"/>
        <v>78.5</v>
      </c>
      <c r="U33" s="184">
        <f t="shared" si="19"/>
        <v>100</v>
      </c>
      <c r="V33" s="185"/>
      <c r="W33" s="186">
        <f t="shared" si="20"/>
        <v>0.804953560371517</v>
      </c>
      <c r="Y33" s="199">
        <v>290</v>
      </c>
      <c r="Z33" s="199">
        <v>42</v>
      </c>
      <c r="AA33" s="199">
        <v>26</v>
      </c>
      <c r="AB33" s="199">
        <v>133</v>
      </c>
      <c r="AC33" s="199">
        <v>3.11</v>
      </c>
      <c r="AD33" s="199">
        <v>2.7</v>
      </c>
      <c r="AE33" s="199">
        <v>116</v>
      </c>
      <c r="AF33" s="199">
        <v>14</v>
      </c>
      <c r="AG33" s="199">
        <v>5</v>
      </c>
      <c r="AH33" s="199">
        <v>28.3</v>
      </c>
      <c r="AI33" s="199">
        <v>0.84</v>
      </c>
      <c r="AJ33" s="199">
        <v>0.7</v>
      </c>
      <c r="AK33" s="199">
        <v>32.3</v>
      </c>
      <c r="AL33" s="204">
        <v>6.88</v>
      </c>
      <c r="AM33" s="204">
        <v>6.3</v>
      </c>
      <c r="AN33" s="205">
        <v>2.53</v>
      </c>
      <c r="AO33" s="205">
        <v>0.51</v>
      </c>
      <c r="AP33" s="205">
        <v>0.16</v>
      </c>
      <c r="AQ33">
        <v>78.5</v>
      </c>
      <c r="AR33">
        <v>100</v>
      </c>
    </row>
    <row r="34" ht="12.95" customHeight="1" spans="1:44">
      <c r="A34" s="111">
        <v>28</v>
      </c>
      <c r="B34" s="112">
        <f t="shared" si="0"/>
        <v>324</v>
      </c>
      <c r="C34" s="113">
        <f t="shared" si="1"/>
        <v>146</v>
      </c>
      <c r="D34" s="114">
        <f t="shared" si="2"/>
        <v>128</v>
      </c>
      <c r="E34" s="115">
        <f t="shared" si="3"/>
        <v>2.36</v>
      </c>
      <c r="F34" s="116">
        <f t="shared" si="4"/>
        <v>33</v>
      </c>
      <c r="G34" s="117">
        <f t="shared" si="5"/>
        <v>39.4</v>
      </c>
      <c r="H34" s="118">
        <f t="shared" si="6"/>
        <v>37</v>
      </c>
      <c r="I34" s="115">
        <f t="shared" si="7"/>
        <v>3.11</v>
      </c>
      <c r="J34" s="118">
        <f t="shared" si="8"/>
        <v>16</v>
      </c>
      <c r="K34" s="115">
        <f t="shared" si="9"/>
        <v>0.56</v>
      </c>
      <c r="L34" s="163">
        <f t="shared" si="10"/>
        <v>0.55</v>
      </c>
      <c r="M34" s="163">
        <f t="shared" si="11"/>
        <v>6.78</v>
      </c>
      <c r="N34" s="114">
        <f t="shared" si="12"/>
        <v>30</v>
      </c>
      <c r="O34" s="164">
        <f t="shared" si="13"/>
        <v>2.82</v>
      </c>
      <c r="P34" s="114">
        <f t="shared" si="14"/>
        <v>6</v>
      </c>
      <c r="Q34" s="163">
        <f t="shared" si="15"/>
        <v>0.15</v>
      </c>
      <c r="R34" s="167">
        <f t="shared" si="16"/>
        <v>0.48</v>
      </c>
      <c r="S34" s="163">
        <f t="shared" si="17"/>
        <v>6.5</v>
      </c>
      <c r="T34" s="119">
        <f t="shared" si="18"/>
        <v>78.2</v>
      </c>
      <c r="U34" s="184" t="str">
        <f t="shared" si="19"/>
        <v>&lt;20</v>
      </c>
      <c r="V34" s="185"/>
      <c r="W34" s="186">
        <f t="shared" si="20"/>
        <v>0.83502538071066</v>
      </c>
      <c r="Y34" s="199">
        <v>324</v>
      </c>
      <c r="Z34" s="199">
        <v>37</v>
      </c>
      <c r="AA34" s="199">
        <v>30</v>
      </c>
      <c r="AB34" s="199">
        <v>146</v>
      </c>
      <c r="AC34" s="199">
        <v>3.11</v>
      </c>
      <c r="AD34" s="199">
        <v>2.82</v>
      </c>
      <c r="AE34" s="199">
        <v>128</v>
      </c>
      <c r="AF34" s="199">
        <v>16</v>
      </c>
      <c r="AG34" s="199">
        <v>6</v>
      </c>
      <c r="AH34" s="199">
        <v>33</v>
      </c>
      <c r="AI34" s="199">
        <v>0.55</v>
      </c>
      <c r="AJ34" s="199">
        <v>0.48</v>
      </c>
      <c r="AK34" s="199">
        <v>39.4</v>
      </c>
      <c r="AL34" s="204">
        <v>6.78</v>
      </c>
      <c r="AM34" s="205">
        <v>6.5</v>
      </c>
      <c r="AN34" s="205">
        <v>2.36</v>
      </c>
      <c r="AO34" s="205">
        <v>0.56</v>
      </c>
      <c r="AP34" s="205">
        <v>0.15</v>
      </c>
      <c r="AQ34">
        <v>78.2</v>
      </c>
      <c r="AR34" t="s">
        <v>128</v>
      </c>
    </row>
    <row r="35" ht="12.95" customHeight="1" spans="1:44">
      <c r="A35" s="111">
        <v>29</v>
      </c>
      <c r="B35" s="112">
        <f t="shared" si="0"/>
        <v>428</v>
      </c>
      <c r="C35" s="113">
        <f t="shared" si="1"/>
        <v>193</v>
      </c>
      <c r="D35" s="114">
        <f t="shared" si="2"/>
        <v>172</v>
      </c>
      <c r="E35" s="115">
        <f t="shared" si="3"/>
        <v>2.48</v>
      </c>
      <c r="F35" s="116">
        <f t="shared" si="4"/>
        <v>20.6</v>
      </c>
      <c r="G35" s="117">
        <f t="shared" si="5"/>
        <v>27.5</v>
      </c>
      <c r="H35" s="118">
        <f t="shared" si="6"/>
        <v>34</v>
      </c>
      <c r="I35" s="115">
        <f t="shared" si="7"/>
        <v>2.96</v>
      </c>
      <c r="J35" s="118">
        <f t="shared" si="8"/>
        <v>14</v>
      </c>
      <c r="K35" s="115">
        <f t="shared" si="9"/>
        <v>0.5</v>
      </c>
      <c r="L35" s="163">
        <f t="shared" si="10"/>
        <v>0.48</v>
      </c>
      <c r="M35" s="163">
        <f t="shared" si="11"/>
        <v>7.79</v>
      </c>
      <c r="N35" s="114">
        <f t="shared" si="12"/>
        <v>28</v>
      </c>
      <c r="O35" s="164">
        <f t="shared" si="13"/>
        <v>2.25</v>
      </c>
      <c r="P35" s="114">
        <f t="shared" si="14"/>
        <v>5</v>
      </c>
      <c r="Q35" s="163">
        <f t="shared" si="15"/>
        <v>0.12</v>
      </c>
      <c r="R35" s="167">
        <f t="shared" si="16"/>
        <v>0.43</v>
      </c>
      <c r="S35" s="163">
        <f t="shared" si="17"/>
        <v>6.86</v>
      </c>
      <c r="T35" s="119">
        <f t="shared" si="18"/>
        <v>78.4</v>
      </c>
      <c r="U35" s="184" t="str">
        <f t="shared" si="19"/>
        <v>&lt;20</v>
      </c>
      <c r="V35" s="185"/>
      <c r="W35" s="186">
        <f t="shared" si="20"/>
        <v>0.750545454545455</v>
      </c>
      <c r="Y35" s="199">
        <v>428</v>
      </c>
      <c r="Z35" s="199">
        <v>34</v>
      </c>
      <c r="AA35" s="199">
        <v>28</v>
      </c>
      <c r="AB35" s="199">
        <v>193</v>
      </c>
      <c r="AC35" s="199">
        <v>2.96</v>
      </c>
      <c r="AD35" s="199">
        <v>2.25</v>
      </c>
      <c r="AE35" s="199">
        <v>172</v>
      </c>
      <c r="AF35" s="199">
        <v>14</v>
      </c>
      <c r="AG35" s="199">
        <v>5</v>
      </c>
      <c r="AH35" s="199">
        <v>20.6</v>
      </c>
      <c r="AI35" s="199">
        <v>0.48</v>
      </c>
      <c r="AJ35" s="199">
        <v>0.43</v>
      </c>
      <c r="AK35" s="199">
        <v>27.5</v>
      </c>
      <c r="AL35" s="204">
        <v>7.79</v>
      </c>
      <c r="AM35" s="205">
        <v>6.86</v>
      </c>
      <c r="AN35" s="205">
        <v>2.48</v>
      </c>
      <c r="AO35" s="205">
        <v>0.5</v>
      </c>
      <c r="AP35" s="205">
        <v>0.12</v>
      </c>
      <c r="AQ35">
        <v>78.4</v>
      </c>
      <c r="AR35" t="s">
        <v>128</v>
      </c>
    </row>
    <row r="36" ht="12.95" customHeight="1" spans="1:44">
      <c r="A36" s="111">
        <v>30</v>
      </c>
      <c r="B36" s="112">
        <f t="shared" si="0"/>
        <v>344</v>
      </c>
      <c r="C36" s="113">
        <f t="shared" si="1"/>
        <v>157</v>
      </c>
      <c r="D36" s="114">
        <f t="shared" si="2"/>
        <v>140</v>
      </c>
      <c r="E36" s="115">
        <f t="shared" si="3"/>
        <v>2.32</v>
      </c>
      <c r="F36" s="116">
        <f t="shared" si="4"/>
        <v>30.6</v>
      </c>
      <c r="G36" s="117">
        <f t="shared" si="5"/>
        <v>37.2</v>
      </c>
      <c r="H36" s="118">
        <f t="shared" si="6"/>
        <v>36</v>
      </c>
      <c r="I36" s="115">
        <f t="shared" si="7"/>
        <v>3.02</v>
      </c>
      <c r="J36" s="118">
        <f t="shared" si="8"/>
        <v>15</v>
      </c>
      <c r="K36" s="115">
        <f t="shared" si="9"/>
        <v>0.54</v>
      </c>
      <c r="L36" s="163">
        <f t="shared" si="10"/>
        <v>0.58</v>
      </c>
      <c r="M36" s="163">
        <f t="shared" si="11"/>
        <v>6.68</v>
      </c>
      <c r="N36" s="114">
        <f t="shared" si="12"/>
        <v>31</v>
      </c>
      <c r="O36" s="164">
        <f t="shared" si="13"/>
        <v>2.88</v>
      </c>
      <c r="P36" s="114">
        <f t="shared" si="14"/>
        <v>5</v>
      </c>
      <c r="Q36" s="163">
        <f t="shared" si="15"/>
        <v>0.19</v>
      </c>
      <c r="R36" s="167">
        <f t="shared" si="16"/>
        <v>0.57</v>
      </c>
      <c r="S36" s="163">
        <f t="shared" si="17"/>
        <v>5.96</v>
      </c>
      <c r="T36" s="119">
        <f t="shared" si="18"/>
        <v>78.7</v>
      </c>
      <c r="U36" s="184" t="str">
        <f t="shared" si="19"/>
        <v>&lt;20</v>
      </c>
      <c r="V36" s="185"/>
      <c r="W36" s="186">
        <f t="shared" si="20"/>
        <v>0.839784946236559</v>
      </c>
      <c r="Y36" s="199">
        <v>344</v>
      </c>
      <c r="Z36" s="199">
        <v>36</v>
      </c>
      <c r="AA36" s="199">
        <v>31</v>
      </c>
      <c r="AB36" s="199">
        <v>157</v>
      </c>
      <c r="AC36" s="199">
        <v>3.02</v>
      </c>
      <c r="AD36" s="199">
        <v>2.88</v>
      </c>
      <c r="AE36" s="199">
        <v>140</v>
      </c>
      <c r="AF36" s="199">
        <v>15</v>
      </c>
      <c r="AG36" s="199">
        <v>5</v>
      </c>
      <c r="AH36" s="199">
        <v>30.6</v>
      </c>
      <c r="AI36" s="199">
        <v>0.58</v>
      </c>
      <c r="AJ36" s="199">
        <v>0.57</v>
      </c>
      <c r="AK36" s="199">
        <v>37.2</v>
      </c>
      <c r="AL36" s="204">
        <v>6.68</v>
      </c>
      <c r="AM36" s="205">
        <v>5.96</v>
      </c>
      <c r="AN36" s="205">
        <v>2.32</v>
      </c>
      <c r="AO36" s="205">
        <v>0.54</v>
      </c>
      <c r="AP36" s="205">
        <v>0.19</v>
      </c>
      <c r="AQ36">
        <v>78.7</v>
      </c>
      <c r="AR36" t="s">
        <v>128</v>
      </c>
    </row>
    <row r="37" ht="12.95" customHeight="1" spans="1:44">
      <c r="A37" s="111">
        <v>31</v>
      </c>
      <c r="B37" s="112">
        <f t="shared" si="0"/>
        <v>240</v>
      </c>
      <c r="C37" s="113">
        <f t="shared" si="1"/>
        <v>110</v>
      </c>
      <c r="D37" s="114">
        <f t="shared" si="2"/>
        <v>128</v>
      </c>
      <c r="E37" s="115">
        <f t="shared" si="3"/>
        <v>1.98</v>
      </c>
      <c r="F37" s="116">
        <f t="shared" si="4"/>
        <v>27.9</v>
      </c>
      <c r="G37" s="117">
        <f t="shared" si="5"/>
        <v>33.5</v>
      </c>
      <c r="H37" s="118">
        <f t="shared" si="6"/>
        <v>41</v>
      </c>
      <c r="I37" s="115">
        <f t="shared" si="7"/>
        <v>3.33</v>
      </c>
      <c r="J37" s="118">
        <f t="shared" si="8"/>
        <v>16</v>
      </c>
      <c r="K37" s="115">
        <f t="shared" si="9"/>
        <v>0.55</v>
      </c>
      <c r="L37" s="163">
        <f t="shared" si="10"/>
        <v>0.52</v>
      </c>
      <c r="M37" s="163">
        <f t="shared" si="11"/>
        <v>7.08</v>
      </c>
      <c r="N37" s="114">
        <f t="shared" si="12"/>
        <v>28</v>
      </c>
      <c r="O37" s="164">
        <f t="shared" si="13"/>
        <v>2.7</v>
      </c>
      <c r="P37" s="114">
        <f t="shared" si="14"/>
        <v>5</v>
      </c>
      <c r="Q37" s="163">
        <f t="shared" si="15"/>
        <v>0.27</v>
      </c>
      <c r="R37" s="167">
        <f t="shared" si="16"/>
        <v>0.41</v>
      </c>
      <c r="S37" s="163">
        <f t="shared" si="17"/>
        <v>6.5</v>
      </c>
      <c r="T37" s="119">
        <f t="shared" si="18"/>
        <v>78.5</v>
      </c>
      <c r="U37" s="184" t="str">
        <f t="shared" si="19"/>
        <v>&lt;20</v>
      </c>
      <c r="V37" s="185"/>
      <c r="W37" s="186">
        <f t="shared" si="20"/>
        <v>0.805970149253731</v>
      </c>
      <c r="Y37" s="199">
        <v>240</v>
      </c>
      <c r="Z37" s="199">
        <v>41</v>
      </c>
      <c r="AA37" s="199">
        <v>28</v>
      </c>
      <c r="AB37" s="199">
        <v>110</v>
      </c>
      <c r="AC37" s="199">
        <v>3.33</v>
      </c>
      <c r="AD37" s="199">
        <v>2.7</v>
      </c>
      <c r="AE37" s="199">
        <v>128</v>
      </c>
      <c r="AF37" s="199">
        <v>16</v>
      </c>
      <c r="AG37" s="199">
        <v>5</v>
      </c>
      <c r="AH37" s="199">
        <v>27.9</v>
      </c>
      <c r="AI37" s="199">
        <v>0.52</v>
      </c>
      <c r="AJ37" s="199">
        <v>0.41</v>
      </c>
      <c r="AK37" s="199">
        <v>33.5</v>
      </c>
      <c r="AL37" s="204">
        <v>7.08</v>
      </c>
      <c r="AM37" s="204">
        <v>6.5</v>
      </c>
      <c r="AN37" s="205">
        <v>1.98</v>
      </c>
      <c r="AO37" s="205">
        <v>0.55</v>
      </c>
      <c r="AP37" s="205">
        <v>0.27</v>
      </c>
      <c r="AQ37">
        <v>78.5</v>
      </c>
      <c r="AR37" t="s">
        <v>128</v>
      </c>
    </row>
    <row r="38" ht="12.95" customHeight="1" spans="1:21">
      <c r="A38" s="111" t="s">
        <v>68</v>
      </c>
      <c r="B38" s="114">
        <f>ROUND(AVERAGE(B7:B37),0)</f>
        <v>311</v>
      </c>
      <c r="C38" s="114">
        <f>ROUND(AVERAGE(C7:C37),0)</f>
        <v>142</v>
      </c>
      <c r="D38" s="114">
        <f>ROUND(AVERAGE(D7:D37),0)</f>
        <v>125</v>
      </c>
      <c r="E38" s="115">
        <f>ROUND(AVERAGE(E7:E37),2)</f>
        <v>2.52</v>
      </c>
      <c r="F38" s="119">
        <f>ROUND(AVERAGE(F7:F37),1)</f>
        <v>26.4</v>
      </c>
      <c r="G38" s="119">
        <f>ROUND(AVERAGE(G7:G37),1)</f>
        <v>32.6</v>
      </c>
      <c r="H38" s="120">
        <f>ROUND(AVERAGE(H7:H37),1)</f>
        <v>40</v>
      </c>
      <c r="I38" s="165">
        <f>ROUND(AVERAGE(I7:I37),2)</f>
        <v>3.14</v>
      </c>
      <c r="J38" s="166">
        <f>ROUND(AVERAGE(J7:J37),2)</f>
        <v>15.9</v>
      </c>
      <c r="K38" s="165">
        <f>ROUND(AVERAGE(K7:K37),2)</f>
        <v>0.53</v>
      </c>
      <c r="L38" s="165">
        <f>ROUND(AVERAGE(L7:L37),2)</f>
        <v>0.62</v>
      </c>
      <c r="M38" s="167">
        <f>ROUND(AVERAGE(M7:M37),1)</f>
        <v>7</v>
      </c>
      <c r="N38" s="114">
        <f>ROUND(AVERAGE(N7:N37),1)</f>
        <v>28.6</v>
      </c>
      <c r="O38" s="115">
        <f t="shared" ref="O38:T38" si="21">ROUND(AVERAGE(O7:O37),2)</f>
        <v>2.62</v>
      </c>
      <c r="P38" s="115">
        <f t="shared" si="21"/>
        <v>5.71</v>
      </c>
      <c r="Q38" s="163">
        <f t="shared" si="21"/>
        <v>0.19</v>
      </c>
      <c r="R38" s="115">
        <f t="shared" si="21"/>
        <v>0.48</v>
      </c>
      <c r="S38" s="167">
        <f t="shared" si="21"/>
        <v>6.31</v>
      </c>
      <c r="T38" s="117">
        <f t="shared" si="21"/>
        <v>78.54</v>
      </c>
      <c r="U38" s="187" t="s">
        <v>128</v>
      </c>
    </row>
    <row r="39" ht="21" customHeight="1" spans="1:21">
      <c r="A39" s="121" t="s">
        <v>70</v>
      </c>
      <c r="B39" s="122"/>
      <c r="C39" s="122"/>
      <c r="D39" s="123"/>
      <c r="E39" s="124"/>
      <c r="F39" s="125"/>
      <c r="H39"/>
      <c r="I39"/>
      <c r="J39" s="121" t="s">
        <v>71</v>
      </c>
      <c r="K39" s="168"/>
      <c r="L39" s="168"/>
      <c r="M39" s="168"/>
      <c r="N39" s="121"/>
      <c r="O39" s="125"/>
      <c r="P39" s="125"/>
      <c r="Q39" s="188" t="s">
        <v>152</v>
      </c>
      <c r="R39" s="188"/>
      <c r="S39" s="188"/>
      <c r="T39" s="188"/>
      <c r="U39" s="189"/>
    </row>
    <row r="40" ht="21" customHeight="1" spans="1:21">
      <c r="A40" s="126"/>
      <c r="B40" s="127"/>
      <c r="C40" s="128"/>
      <c r="D40" s="129"/>
      <c r="E40" s="130"/>
      <c r="F40" s="131"/>
      <c r="H40"/>
      <c r="I40"/>
      <c r="J40" s="125"/>
      <c r="K40" s="125"/>
      <c r="L40" s="125"/>
      <c r="M40" s="125"/>
      <c r="N40" s="126"/>
      <c r="O40" s="125"/>
      <c r="P40" s="125"/>
      <c r="Q40" s="190"/>
      <c r="R40" s="190"/>
      <c r="S40" s="190"/>
      <c r="T40" s="190"/>
      <c r="U40" s="189"/>
    </row>
    <row r="41" ht="15.75" spans="2:19">
      <c r="B41" s="132" t="s">
        <v>109</v>
      </c>
      <c r="C41" s="132" t="s">
        <v>153</v>
      </c>
      <c r="D41" s="133" t="s">
        <v>154</v>
      </c>
      <c r="E41" s="132" t="s">
        <v>155</v>
      </c>
      <c r="F41" s="132" t="s">
        <v>156</v>
      </c>
      <c r="G41" s="133" t="s">
        <v>154</v>
      </c>
      <c r="H41" s="132" t="s">
        <v>155</v>
      </c>
      <c r="I41" s="133" t="s">
        <v>157</v>
      </c>
      <c r="J41" s="125"/>
      <c r="K41" s="125"/>
      <c r="L41" s="125"/>
      <c r="S41" s="191"/>
    </row>
    <row r="42" ht="30" spans="2:20">
      <c r="B42" s="132"/>
      <c r="C42" s="132"/>
      <c r="D42" s="134" t="s">
        <v>158</v>
      </c>
      <c r="E42" s="132"/>
      <c r="F42" s="132"/>
      <c r="G42" s="134" t="s">
        <v>158</v>
      </c>
      <c r="H42" s="132"/>
      <c r="I42" s="134" t="s">
        <v>159</v>
      </c>
      <c r="J42" s="125"/>
      <c r="K42" s="125"/>
      <c r="L42" s="125"/>
      <c r="M42" s="169"/>
      <c r="N42" s="169"/>
      <c r="O42" s="169"/>
      <c r="P42" s="169"/>
      <c r="Q42" s="169"/>
      <c r="R42" s="169"/>
      <c r="S42" s="192"/>
      <c r="T42" s="192"/>
    </row>
    <row r="43" ht="18" spans="2:18">
      <c r="B43" s="135" t="s">
        <v>160</v>
      </c>
      <c r="C43" s="136">
        <f>B38</f>
        <v>311</v>
      </c>
      <c r="D43" s="137">
        <f>MAX(B7:B37)</f>
        <v>505</v>
      </c>
      <c r="E43" s="137">
        <f>MIN(B7:B37)</f>
        <v>180</v>
      </c>
      <c r="F43" s="138">
        <f>N38</f>
        <v>28.6</v>
      </c>
      <c r="G43" s="139">
        <f>MAX(N7:N37)</f>
        <v>34</v>
      </c>
      <c r="H43" s="137">
        <f>MIN(N7:N37)</f>
        <v>23</v>
      </c>
      <c r="I43" s="170">
        <f t="shared" ref="I43:I48" si="22">1-F43/C43</f>
        <v>0.908038585209003</v>
      </c>
      <c r="J43" s="155"/>
      <c r="K43" s="135" t="s">
        <v>161</v>
      </c>
      <c r="L43" s="171">
        <f>C44/C43</f>
        <v>0.456591639871383</v>
      </c>
      <c r="M43" s="172"/>
      <c r="N43" s="173"/>
      <c r="O43" s="173"/>
      <c r="P43" s="173"/>
      <c r="Q43" s="172"/>
      <c r="R43" s="177"/>
    </row>
    <row r="44" ht="17.25" spans="2:18">
      <c r="B44" s="140" t="s">
        <v>162</v>
      </c>
      <c r="C44" s="141">
        <f>C38</f>
        <v>142</v>
      </c>
      <c r="D44" s="142">
        <f>MAX(C7:C37)</f>
        <v>228</v>
      </c>
      <c r="E44" s="143">
        <f>MIN(C7:C37)</f>
        <v>82.4</v>
      </c>
      <c r="F44" s="144">
        <f>O38</f>
        <v>2.62</v>
      </c>
      <c r="G44" s="143">
        <f>MAX(O7:O37)</f>
        <v>2.89</v>
      </c>
      <c r="H44" s="143">
        <f>MIN(O7:O37)</f>
        <v>2.21</v>
      </c>
      <c r="I44" s="174">
        <f>1-2/C44</f>
        <v>0.985915492957746</v>
      </c>
      <c r="J44" s="155"/>
      <c r="K44" s="140" t="s">
        <v>163</v>
      </c>
      <c r="L44" s="175">
        <f>C44/C48</f>
        <v>4.3558282208589</v>
      </c>
      <c r="M44" s="172"/>
      <c r="N44" s="173"/>
      <c r="O44" s="173"/>
      <c r="P44" s="173"/>
      <c r="Q44" s="172"/>
      <c r="R44" s="177"/>
    </row>
    <row r="45" ht="17.25" spans="2:18">
      <c r="B45" s="140" t="s">
        <v>118</v>
      </c>
      <c r="C45" s="145">
        <f>D38</f>
        <v>125</v>
      </c>
      <c r="D45" s="143">
        <f>MAX(D7:D37)</f>
        <v>176</v>
      </c>
      <c r="E45" s="146">
        <f>MIN(D7:D37)</f>
        <v>68</v>
      </c>
      <c r="F45" s="147">
        <f>P38</f>
        <v>5.71</v>
      </c>
      <c r="G45" s="148">
        <f>MAX(P7:P37)</f>
        <v>8</v>
      </c>
      <c r="H45" s="148">
        <f>MIN(P7:P37)</f>
        <v>5</v>
      </c>
      <c r="I45" s="174">
        <f t="shared" si="22"/>
        <v>0.95432</v>
      </c>
      <c r="J45" s="155"/>
      <c r="K45" s="140" t="s">
        <v>164</v>
      </c>
      <c r="L45" s="176">
        <f>C44/C46</f>
        <v>56.3492063492063</v>
      </c>
      <c r="M45" s="177"/>
      <c r="N45" s="177"/>
      <c r="O45" s="177"/>
      <c r="P45" s="177"/>
      <c r="Q45" s="177"/>
      <c r="R45" s="177"/>
    </row>
    <row r="46" ht="17.25" spans="2:12">
      <c r="B46" s="140" t="s">
        <v>120</v>
      </c>
      <c r="C46" s="147">
        <f>E38</f>
        <v>2.52</v>
      </c>
      <c r="D46" s="143">
        <f>MAX(E7:E37)</f>
        <v>4.19</v>
      </c>
      <c r="E46" s="143">
        <f>MIN(E7:E37)</f>
        <v>1.66</v>
      </c>
      <c r="F46" s="147">
        <f>Q38</f>
        <v>0.19</v>
      </c>
      <c r="G46" s="148">
        <f>MAX(Q7:Q37)</f>
        <v>0.29</v>
      </c>
      <c r="H46" s="148">
        <f>MIN(Q7:Q37)</f>
        <v>0.12</v>
      </c>
      <c r="I46" s="174">
        <f t="shared" si="22"/>
        <v>0.924603174603175</v>
      </c>
      <c r="J46" s="155"/>
      <c r="K46" s="140"/>
      <c r="L46" s="178"/>
    </row>
    <row r="47" ht="17.25" spans="2:12">
      <c r="B47" s="140" t="s">
        <v>165</v>
      </c>
      <c r="C47" s="141">
        <f>F38</f>
        <v>26.4</v>
      </c>
      <c r="D47" s="143">
        <f>MAX(F7:F37)</f>
        <v>34.9</v>
      </c>
      <c r="E47" s="143">
        <f>MIN(F7:F37)</f>
        <v>17.7</v>
      </c>
      <c r="F47" s="147">
        <f>R38</f>
        <v>0.48</v>
      </c>
      <c r="G47" s="143">
        <f>MAX(R7:R37)</f>
        <v>0.75</v>
      </c>
      <c r="H47" s="148">
        <f>MIN(R7:R37)</f>
        <v>0.24</v>
      </c>
      <c r="I47" s="174">
        <f t="shared" si="22"/>
        <v>0.981818181818182</v>
      </c>
      <c r="J47" s="155"/>
      <c r="K47" s="140"/>
      <c r="L47" s="178"/>
    </row>
    <row r="48" ht="17.25" spans="2:12">
      <c r="B48" s="149" t="s">
        <v>123</v>
      </c>
      <c r="C48" s="150">
        <f>G38</f>
        <v>32.6</v>
      </c>
      <c r="D48" s="151">
        <f>MAX(G7:G37)</f>
        <v>39.4</v>
      </c>
      <c r="E48" s="151">
        <f>MIN(G7:G37)</f>
        <v>23.4</v>
      </c>
      <c r="F48" s="152">
        <f>S38</f>
        <v>6.31</v>
      </c>
      <c r="G48" s="153">
        <f>MAX(S7:S37)</f>
        <v>8.06</v>
      </c>
      <c r="H48" s="151">
        <f>MIN(S7:S37)</f>
        <v>5.18</v>
      </c>
      <c r="I48" s="179">
        <f t="shared" si="22"/>
        <v>0.806441717791411</v>
      </c>
      <c r="J48" s="155"/>
      <c r="K48" s="149"/>
      <c r="L48" s="180"/>
    </row>
    <row r="49" ht="17.25" spans="2:12">
      <c r="B49" s="154"/>
      <c r="C49" s="155"/>
      <c r="D49" s="155"/>
      <c r="E49" s="155"/>
      <c r="F49" s="155"/>
      <c r="G49" s="155"/>
      <c r="H49" s="156"/>
      <c r="I49" s="155"/>
      <c r="J49" s="155"/>
      <c r="K49" s="156"/>
      <c r="L49" s="155"/>
    </row>
    <row r="50" spans="2:2">
      <c r="B50" s="157"/>
    </row>
    <row r="51" spans="2:2">
      <c r="B51" s="157"/>
    </row>
    <row r="52" spans="2:2">
      <c r="B52" s="157"/>
    </row>
    <row r="53" spans="2:2">
      <c r="B53" s="157"/>
    </row>
    <row r="54" spans="2:2">
      <c r="B54" s="157"/>
    </row>
    <row r="55" spans="2:2">
      <c r="B55" s="157"/>
    </row>
    <row r="56" spans="2:2">
      <c r="B56" s="157"/>
    </row>
    <row r="57" spans="2:2">
      <c r="B57" s="157"/>
    </row>
    <row r="58" spans="2:2">
      <c r="B58" s="157"/>
    </row>
    <row r="59" spans="2:2">
      <c r="B59" s="157"/>
    </row>
    <row r="60" spans="2:2">
      <c r="B60" s="157"/>
    </row>
    <row r="61" spans="2:2">
      <c r="B61" s="157"/>
    </row>
    <row r="62" spans="2:2">
      <c r="B62" s="157"/>
    </row>
    <row r="63" spans="2:2">
      <c r="B63" s="157"/>
    </row>
    <row r="64" spans="2:2">
      <c r="B64" s="157"/>
    </row>
    <row r="65" spans="2:2">
      <c r="B65" s="157"/>
    </row>
    <row r="66" spans="2:2">
      <c r="B66" s="157"/>
    </row>
    <row r="67" spans="2:2">
      <c r="B67" s="157"/>
    </row>
    <row r="68" spans="2:2">
      <c r="B68" s="157"/>
    </row>
  </sheetData>
  <mergeCells count="21">
    <mergeCell ref="A1:U1"/>
    <mergeCell ref="J3:K3"/>
    <mergeCell ref="B4:G4"/>
    <mergeCell ref="H4:M4"/>
    <mergeCell ref="N4:S4"/>
    <mergeCell ref="Y5:AA5"/>
    <mergeCell ref="AB5:AD5"/>
    <mergeCell ref="AE5:AG5"/>
    <mergeCell ref="AH5:AJ5"/>
    <mergeCell ref="AK5:AM5"/>
    <mergeCell ref="AN5:AP5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89" workbookViewId="0">
      <selection activeCell="I276" sqref="I276:I284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166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44986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167</v>
      </c>
      <c r="B3" s="6" t="s">
        <v>168</v>
      </c>
      <c r="C3" s="6" t="s">
        <v>169</v>
      </c>
      <c r="D3" s="6" t="s">
        <v>170</v>
      </c>
      <c r="E3" s="60" t="s">
        <v>171</v>
      </c>
      <c r="F3" s="60" t="s">
        <v>172</v>
      </c>
      <c r="G3" s="61" t="s">
        <v>173</v>
      </c>
      <c r="H3" s="62" t="s">
        <v>174</v>
      </c>
      <c r="I3" s="60" t="s">
        <v>175</v>
      </c>
      <c r="J3" s="6" t="s">
        <v>176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177</v>
      </c>
      <c r="E5" s="60" t="s">
        <v>178</v>
      </c>
      <c r="F5" s="60" t="s">
        <v>179</v>
      </c>
      <c r="G5" s="61" t="s">
        <v>179</v>
      </c>
      <c r="H5" s="62" t="s">
        <v>180</v>
      </c>
      <c r="I5" s="60" t="s">
        <v>180</v>
      </c>
      <c r="J5" s="6"/>
    </row>
    <row r="6" customHeight="1" spans="1:10">
      <c r="A6" s="64" t="s">
        <v>181</v>
      </c>
      <c r="B6" s="65" t="s">
        <v>182</v>
      </c>
      <c r="C6" s="65" t="s">
        <v>183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184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185</v>
      </c>
      <c r="C8" s="65" t="s">
        <v>69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186</v>
      </c>
      <c r="C9" s="65" t="s">
        <v>69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187</v>
      </c>
      <c r="C10" s="65" t="s">
        <v>183</v>
      </c>
      <c r="D10" s="65">
        <v>31</v>
      </c>
      <c r="E10" s="65">
        <v>24</v>
      </c>
      <c r="F10" s="65">
        <v>744</v>
      </c>
      <c r="G10" s="65">
        <v>48</v>
      </c>
      <c r="H10" s="66">
        <v>0.0645161290322581</v>
      </c>
      <c r="I10" s="66">
        <v>1</v>
      </c>
      <c r="J10" s="65" t="s">
        <v>188</v>
      </c>
    </row>
    <row r="11" customHeight="1" spans="1:10">
      <c r="A11" s="64"/>
      <c r="B11" s="65"/>
      <c r="C11" s="65" t="s">
        <v>184</v>
      </c>
      <c r="D11" s="65">
        <v>31</v>
      </c>
      <c r="E11" s="65">
        <v>24</v>
      </c>
      <c r="F11" s="65">
        <v>744</v>
      </c>
      <c r="G11" s="65">
        <v>696</v>
      </c>
      <c r="H11" s="66">
        <v>0.935483870967742</v>
      </c>
      <c r="I11" s="66">
        <v>1</v>
      </c>
      <c r="J11" s="65" t="s">
        <v>188</v>
      </c>
    </row>
    <row r="12" customHeight="1" spans="1:10">
      <c r="A12" s="64"/>
      <c r="B12" s="65"/>
      <c r="C12" s="65" t="s">
        <v>189</v>
      </c>
      <c r="D12" s="65">
        <v>31</v>
      </c>
      <c r="E12" s="65">
        <v>24</v>
      </c>
      <c r="F12" s="65">
        <v>744</v>
      </c>
      <c r="G12" s="65">
        <v>744</v>
      </c>
      <c r="H12" s="66">
        <v>1</v>
      </c>
      <c r="I12" s="66">
        <v>1</v>
      </c>
      <c r="J12" s="65" t="s">
        <v>188</v>
      </c>
    </row>
    <row r="13" customHeight="1" spans="1:10">
      <c r="A13" s="64"/>
      <c r="B13" s="65"/>
      <c r="C13" s="65" t="s">
        <v>190</v>
      </c>
      <c r="D13" s="65">
        <v>31</v>
      </c>
      <c r="E13" s="65">
        <v>24</v>
      </c>
      <c r="F13" s="65">
        <v>744</v>
      </c>
      <c r="G13" s="65">
        <v>0</v>
      </c>
      <c r="H13" s="66">
        <v>0</v>
      </c>
      <c r="I13" s="66">
        <v>1</v>
      </c>
      <c r="J13" s="65"/>
    </row>
    <row r="14" customHeight="1" spans="1:10">
      <c r="A14" s="64"/>
      <c r="B14" s="65"/>
      <c r="C14" s="65" t="s">
        <v>191</v>
      </c>
      <c r="D14" s="65">
        <v>31</v>
      </c>
      <c r="E14" s="65">
        <v>24</v>
      </c>
      <c r="F14" s="65">
        <v>744</v>
      </c>
      <c r="G14" s="65">
        <v>744</v>
      </c>
      <c r="H14" s="66">
        <v>1</v>
      </c>
      <c r="I14" s="66">
        <v>1</v>
      </c>
      <c r="J14" s="65"/>
    </row>
    <row r="15" customHeight="1" spans="1:10">
      <c r="A15" s="64"/>
      <c r="B15" s="65" t="s">
        <v>192</v>
      </c>
      <c r="C15" s="65" t="s">
        <v>183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184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189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190</v>
      </c>
      <c r="D18" s="65">
        <v>31</v>
      </c>
      <c r="E18" s="65">
        <v>2.4</v>
      </c>
      <c r="F18" s="65">
        <v>74.4</v>
      </c>
      <c r="G18" s="65">
        <v>0</v>
      </c>
      <c r="H18" s="66">
        <v>0</v>
      </c>
      <c r="I18" s="66">
        <v>0</v>
      </c>
      <c r="J18" s="65"/>
    </row>
    <row r="19" customHeight="1" spans="1:10">
      <c r="A19" s="64"/>
      <c r="B19" s="65"/>
      <c r="C19" s="65" t="s">
        <v>191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193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185</v>
      </c>
      <c r="C21" s="65" t="s">
        <v>183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184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/>
    </row>
    <row r="23" customHeight="1" spans="1:10">
      <c r="A23" s="64"/>
      <c r="B23" s="65" t="s">
        <v>186</v>
      </c>
      <c r="C23" s="65" t="s">
        <v>183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184</v>
      </c>
      <c r="D24" s="65">
        <v>31</v>
      </c>
      <c r="E24" s="65">
        <v>2</v>
      </c>
      <c r="F24" s="65">
        <v>62</v>
      </c>
      <c r="G24" s="65">
        <v>62</v>
      </c>
      <c r="H24" s="66">
        <v>1</v>
      </c>
      <c r="I24" s="66">
        <v>1</v>
      </c>
      <c r="J24" s="65"/>
    </row>
    <row r="25" customHeight="1" spans="1:10">
      <c r="A25" s="64"/>
      <c r="B25" s="65" t="s">
        <v>194</v>
      </c>
      <c r="C25" s="65" t="s">
        <v>183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195</v>
      </c>
      <c r="C26" s="65" t="s">
        <v>183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194</v>
      </c>
      <c r="C27" s="65" t="s">
        <v>184</v>
      </c>
      <c r="D27" s="65">
        <v>31</v>
      </c>
      <c r="E27" s="65">
        <v>24</v>
      </c>
      <c r="F27" s="65">
        <v>744</v>
      </c>
      <c r="G27" s="65">
        <v>744</v>
      </c>
      <c r="H27" s="66">
        <v>1</v>
      </c>
      <c r="I27" s="66">
        <v>1</v>
      </c>
      <c r="J27" s="65"/>
    </row>
    <row r="28" customHeight="1" spans="1:10">
      <c r="A28" s="64"/>
      <c r="B28" s="65" t="s">
        <v>195</v>
      </c>
      <c r="C28" s="65" t="s">
        <v>184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194</v>
      </c>
      <c r="C29" s="65" t="s">
        <v>189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195</v>
      </c>
      <c r="C30" s="65" t="s">
        <v>189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194</v>
      </c>
      <c r="C31" s="65" t="s">
        <v>190</v>
      </c>
      <c r="D31" s="65">
        <v>31</v>
      </c>
      <c r="E31" s="65">
        <v>24</v>
      </c>
      <c r="F31" s="65">
        <v>744</v>
      </c>
      <c r="G31" s="65">
        <v>744</v>
      </c>
      <c r="H31" s="66">
        <v>1</v>
      </c>
      <c r="I31" s="66">
        <v>1</v>
      </c>
      <c r="J31" s="65"/>
    </row>
    <row r="32" customHeight="1" spans="1:10">
      <c r="A32" s="64"/>
      <c r="B32" s="65" t="s">
        <v>195</v>
      </c>
      <c r="C32" s="65" t="s">
        <v>190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196</v>
      </c>
      <c r="C33" s="65" t="s">
        <v>183</v>
      </c>
      <c r="D33" s="65">
        <v>31</v>
      </c>
      <c r="E33" s="65">
        <v>24</v>
      </c>
      <c r="F33" s="65">
        <v>744</v>
      </c>
      <c r="G33" s="65">
        <v>266</v>
      </c>
      <c r="H33" s="66">
        <v>0.35752688172043</v>
      </c>
      <c r="I33" s="66">
        <v>1</v>
      </c>
      <c r="J33" s="65" t="s">
        <v>197</v>
      </c>
    </row>
    <row r="34" customHeight="1" spans="1:10">
      <c r="A34" s="64"/>
      <c r="B34" s="65"/>
      <c r="C34" s="65" t="s">
        <v>184</v>
      </c>
      <c r="D34" s="65">
        <v>31</v>
      </c>
      <c r="E34" s="65">
        <v>24</v>
      </c>
      <c r="F34" s="65">
        <v>744</v>
      </c>
      <c r="G34" s="65">
        <v>182</v>
      </c>
      <c r="H34" s="66">
        <v>0.244623655913978</v>
      </c>
      <c r="I34" s="66">
        <v>1</v>
      </c>
      <c r="J34" s="65" t="s">
        <v>197</v>
      </c>
    </row>
    <row r="35" customHeight="1" spans="1:10">
      <c r="A35" s="64"/>
      <c r="B35" s="65"/>
      <c r="C35" s="65" t="s">
        <v>189</v>
      </c>
      <c r="D35" s="65">
        <v>31</v>
      </c>
      <c r="E35" s="65">
        <v>24</v>
      </c>
      <c r="F35" s="65">
        <v>744</v>
      </c>
      <c r="G35" s="65">
        <v>546</v>
      </c>
      <c r="H35" s="66">
        <v>0.733870967741935</v>
      </c>
      <c r="I35" s="66">
        <v>1</v>
      </c>
      <c r="J35" s="65" t="s">
        <v>197</v>
      </c>
    </row>
    <row r="36" customHeight="1" spans="1:10">
      <c r="A36" s="64"/>
      <c r="B36" s="65"/>
      <c r="C36" s="65" t="s">
        <v>190</v>
      </c>
      <c r="D36" s="65">
        <v>31</v>
      </c>
      <c r="E36" s="65">
        <v>24</v>
      </c>
      <c r="F36" s="65">
        <v>744</v>
      </c>
      <c r="G36" s="65">
        <v>25.5</v>
      </c>
      <c r="H36" s="66">
        <v>0.0342741935483871</v>
      </c>
      <c r="I36" s="66">
        <v>0.03</v>
      </c>
      <c r="J36" s="65" t="s">
        <v>198</v>
      </c>
    </row>
    <row r="37" customHeight="1" spans="1:10">
      <c r="A37" s="64"/>
      <c r="B37" s="65"/>
      <c r="C37" s="65" t="s">
        <v>191</v>
      </c>
      <c r="D37" s="65">
        <v>31</v>
      </c>
      <c r="E37" s="65">
        <v>24</v>
      </c>
      <c r="F37" s="65">
        <v>744</v>
      </c>
      <c r="G37" s="65">
        <v>666</v>
      </c>
      <c r="H37" s="66">
        <v>0.895161290322581</v>
      </c>
      <c r="I37" s="66">
        <v>1</v>
      </c>
      <c r="J37" s="65" t="s">
        <v>199</v>
      </c>
    </row>
    <row r="38" customHeight="1" spans="1:10">
      <c r="A38" s="67" t="s">
        <v>70</v>
      </c>
      <c r="B38" s="67"/>
      <c r="C38" s="15"/>
      <c r="D38" s="15"/>
      <c r="E38" s="68" t="s">
        <v>71</v>
      </c>
      <c r="F38" s="68"/>
      <c r="G38" s="69"/>
      <c r="H38" s="10" t="s">
        <v>200</v>
      </c>
      <c r="I38" s="10"/>
      <c r="J38" s="10"/>
    </row>
    <row r="39" ht="34" customHeight="1"/>
    <row r="46" ht="33" customHeight="1" spans="1:10">
      <c r="A46" s="57" t="s">
        <v>166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44986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167</v>
      </c>
      <c r="B48" s="6" t="s">
        <v>168</v>
      </c>
      <c r="C48" s="6" t="s">
        <v>169</v>
      </c>
      <c r="D48" s="6" t="s">
        <v>170</v>
      </c>
      <c r="E48" s="60" t="s">
        <v>171</v>
      </c>
      <c r="F48" s="60" t="s">
        <v>172</v>
      </c>
      <c r="G48" s="61" t="s">
        <v>173</v>
      </c>
      <c r="H48" s="62" t="s">
        <v>174</v>
      </c>
      <c r="I48" s="60" t="s">
        <v>175</v>
      </c>
      <c r="J48" s="6" t="s">
        <v>176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177</v>
      </c>
      <c r="E50" s="72" t="s">
        <v>178</v>
      </c>
      <c r="F50" s="72" t="s">
        <v>179</v>
      </c>
      <c r="G50" s="73" t="s">
        <v>179</v>
      </c>
      <c r="H50" s="74" t="s">
        <v>180</v>
      </c>
      <c r="I50" s="60" t="s">
        <v>180</v>
      </c>
      <c r="J50" s="6"/>
    </row>
    <row r="51" customHeight="1" spans="1:10">
      <c r="A51" s="75" t="s">
        <v>201</v>
      </c>
      <c r="B51" s="64" t="s">
        <v>202</v>
      </c>
      <c r="C51" s="65" t="s">
        <v>183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 t="s">
        <v>203</v>
      </c>
    </row>
    <row r="52" customHeight="1" spans="1:10">
      <c r="A52" s="76"/>
      <c r="B52" s="65"/>
      <c r="C52" s="65" t="s">
        <v>184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 t="s">
        <v>203</v>
      </c>
    </row>
    <row r="53" customHeight="1" spans="1:10">
      <c r="A53" s="76"/>
      <c r="B53" s="65"/>
      <c r="C53" s="65" t="s">
        <v>189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 t="s">
        <v>203</v>
      </c>
    </row>
    <row r="54" customHeight="1" spans="1:10">
      <c r="A54" s="76"/>
      <c r="B54" s="65"/>
      <c r="C54" s="65" t="s">
        <v>190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 t="s">
        <v>203</v>
      </c>
    </row>
    <row r="55" customHeight="1" spans="1:10">
      <c r="A55" s="76"/>
      <c r="B55" s="65"/>
      <c r="C55" s="65" t="s">
        <v>191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 t="s">
        <v>203</v>
      </c>
    </row>
    <row r="56" customHeight="1" spans="1:10">
      <c r="A56" s="76"/>
      <c r="B56" s="65"/>
      <c r="C56" s="65" t="s">
        <v>193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 t="s">
        <v>203</v>
      </c>
    </row>
    <row r="57" customHeight="1" spans="1:10">
      <c r="A57" s="76"/>
      <c r="B57" s="65"/>
      <c r="C57" s="65" t="s">
        <v>204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 t="s">
        <v>203</v>
      </c>
    </row>
    <row r="58" customHeight="1" spans="1:10">
      <c r="A58" s="76"/>
      <c r="B58" s="65"/>
      <c r="C58" s="65" t="s">
        <v>205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 t="s">
        <v>203</v>
      </c>
    </row>
    <row r="59" customHeight="1" spans="1:10">
      <c r="A59" s="76"/>
      <c r="B59" s="65"/>
      <c r="C59" s="65" t="s">
        <v>206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 t="s">
        <v>203</v>
      </c>
    </row>
    <row r="60" customHeight="1" spans="1:10">
      <c r="A60" s="76"/>
      <c r="B60" s="65"/>
      <c r="C60" s="65" t="s">
        <v>207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 t="s">
        <v>203</v>
      </c>
    </row>
    <row r="61" customHeight="1" spans="1:10">
      <c r="A61" s="76"/>
      <c r="B61" s="65"/>
      <c r="C61" s="65" t="s">
        <v>208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 t="s">
        <v>203</v>
      </c>
    </row>
    <row r="62" customHeight="1" spans="1:10">
      <c r="A62" s="76"/>
      <c r="B62" s="65"/>
      <c r="C62" s="65" t="s">
        <v>209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 t="s">
        <v>203</v>
      </c>
    </row>
    <row r="63" customHeight="1" spans="1:10">
      <c r="A63" s="76"/>
      <c r="B63" s="65"/>
      <c r="C63" s="65" t="s">
        <v>210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 t="s">
        <v>203</v>
      </c>
    </row>
    <row r="64" customHeight="1" spans="1:10">
      <c r="A64" s="76"/>
      <c r="B64" s="65"/>
      <c r="C64" s="65" t="s">
        <v>211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 t="s">
        <v>203</v>
      </c>
    </row>
    <row r="65" customHeight="1" spans="1:10">
      <c r="A65" s="76"/>
      <c r="B65" s="65"/>
      <c r="C65" s="65" t="s">
        <v>212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 t="s">
        <v>203</v>
      </c>
    </row>
    <row r="66" customHeight="1" spans="1:10">
      <c r="A66" s="76"/>
      <c r="B66" s="65"/>
      <c r="C66" s="65" t="s">
        <v>213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 t="s">
        <v>203</v>
      </c>
    </row>
    <row r="67" customHeight="1" spans="1:10">
      <c r="A67" s="76"/>
      <c r="B67" s="65"/>
      <c r="C67" s="65" t="s">
        <v>214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 t="s">
        <v>203</v>
      </c>
    </row>
    <row r="68" customHeight="1" spans="1:10">
      <c r="A68" s="76"/>
      <c r="B68" s="65"/>
      <c r="C68" s="65" t="s">
        <v>215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 t="s">
        <v>203</v>
      </c>
    </row>
    <row r="69" customHeight="1" spans="1:10">
      <c r="A69" s="76"/>
      <c r="B69" s="64" t="s">
        <v>216</v>
      </c>
      <c r="C69" s="65" t="s">
        <v>217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 t="s">
        <v>203</v>
      </c>
    </row>
    <row r="70" customHeight="1" spans="1:10">
      <c r="A70" s="76"/>
      <c r="B70" s="65"/>
      <c r="C70" s="65" t="s">
        <v>218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 t="s">
        <v>203</v>
      </c>
    </row>
    <row r="71" customHeight="1" spans="1:10">
      <c r="A71" s="76"/>
      <c r="B71" s="65"/>
      <c r="C71" s="65" t="s">
        <v>219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 t="s">
        <v>203</v>
      </c>
    </row>
    <row r="72" customHeight="1" spans="1:10">
      <c r="A72" s="76"/>
      <c r="B72" s="65"/>
      <c r="C72" s="65" t="s">
        <v>220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 t="s">
        <v>203</v>
      </c>
    </row>
    <row r="73" customHeight="1" spans="1:10">
      <c r="A73" s="76"/>
      <c r="B73" s="65"/>
      <c r="C73" s="65" t="s">
        <v>221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 t="s">
        <v>203</v>
      </c>
    </row>
    <row r="74" customHeight="1" spans="1:10">
      <c r="A74" s="76"/>
      <c r="B74" s="65"/>
      <c r="C74" s="65" t="s">
        <v>222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 t="s">
        <v>203</v>
      </c>
    </row>
    <row r="75" customHeight="1" spans="1:10">
      <c r="A75" s="76"/>
      <c r="B75" s="65"/>
      <c r="C75" s="65" t="s">
        <v>223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 t="s">
        <v>203</v>
      </c>
    </row>
    <row r="76" customHeight="1" spans="1:10">
      <c r="A76" s="76"/>
      <c r="B76" s="65"/>
      <c r="C76" s="65" t="s">
        <v>224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 t="s">
        <v>203</v>
      </c>
    </row>
    <row r="77" customHeight="1" spans="1:10">
      <c r="A77" s="76"/>
      <c r="B77" s="65"/>
      <c r="C77" s="65" t="s">
        <v>225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 t="s">
        <v>203</v>
      </c>
    </row>
    <row r="78" customHeight="1" spans="1:10">
      <c r="A78" s="76"/>
      <c r="B78" s="65"/>
      <c r="C78" s="65" t="s">
        <v>226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 t="s">
        <v>203</v>
      </c>
    </row>
    <row r="79" customHeight="1" spans="1:10">
      <c r="A79" s="76"/>
      <c r="B79" s="65"/>
      <c r="C79" s="65" t="s">
        <v>227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 t="s">
        <v>203</v>
      </c>
    </row>
    <row r="80" customHeight="1" spans="1:10">
      <c r="A80" s="76"/>
      <c r="B80" s="65"/>
      <c r="C80" s="65" t="s">
        <v>228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 t="s">
        <v>203</v>
      </c>
    </row>
    <row r="81" customHeight="1" spans="1:10">
      <c r="A81" s="76"/>
      <c r="B81" s="65"/>
      <c r="C81" s="65" t="s">
        <v>229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 t="s">
        <v>203</v>
      </c>
    </row>
    <row r="82" customHeight="1" spans="1:10">
      <c r="A82" s="76"/>
      <c r="B82" s="65"/>
      <c r="C82" s="65" t="s">
        <v>230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 t="s">
        <v>203</v>
      </c>
    </row>
    <row r="83" customHeight="1" spans="1:10">
      <c r="A83" s="76"/>
      <c r="B83" s="65"/>
      <c r="C83" s="65" t="s">
        <v>231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 t="s">
        <v>203</v>
      </c>
    </row>
    <row r="84" customHeight="1" spans="1:10">
      <c r="A84" s="76"/>
      <c r="B84" s="65"/>
      <c r="C84" s="65" t="s">
        <v>232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 t="s">
        <v>203</v>
      </c>
    </row>
    <row r="85" customHeight="1" spans="1:10">
      <c r="A85" s="76"/>
      <c r="B85" s="65"/>
      <c r="C85" s="65" t="s">
        <v>233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 t="s">
        <v>203</v>
      </c>
    </row>
    <row r="86" customHeight="1" spans="1:10">
      <c r="A86" s="78"/>
      <c r="B86" s="65"/>
      <c r="C86" s="65" t="s">
        <v>234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 t="s">
        <v>203</v>
      </c>
    </row>
    <row r="87" customHeight="1" spans="1:10">
      <c r="A87" s="67" t="s">
        <v>70</v>
      </c>
      <c r="B87" s="67"/>
      <c r="C87" s="15"/>
      <c r="D87" s="15"/>
      <c r="E87" s="68" t="s">
        <v>71</v>
      </c>
      <c r="F87" s="68"/>
      <c r="G87" s="69"/>
      <c r="H87" s="10" t="str">
        <f>H38</f>
        <v>制表时间：2023/4/6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166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44986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167</v>
      </c>
      <c r="B93" s="6" t="s">
        <v>168</v>
      </c>
      <c r="C93" s="6" t="s">
        <v>169</v>
      </c>
      <c r="D93" s="6" t="s">
        <v>170</v>
      </c>
      <c r="E93" s="60" t="s">
        <v>171</v>
      </c>
      <c r="F93" s="60" t="s">
        <v>172</v>
      </c>
      <c r="G93" s="61" t="s">
        <v>173</v>
      </c>
      <c r="H93" s="62" t="s">
        <v>174</v>
      </c>
      <c r="I93" s="60" t="s">
        <v>175</v>
      </c>
      <c r="J93" s="6" t="s">
        <v>176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177</v>
      </c>
      <c r="E95" s="60" t="s">
        <v>178</v>
      </c>
      <c r="F95" s="60" t="s">
        <v>179</v>
      </c>
      <c r="G95" s="61" t="s">
        <v>179</v>
      </c>
      <c r="H95" s="62" t="s">
        <v>180</v>
      </c>
      <c r="I95" s="60" t="s">
        <v>180</v>
      </c>
      <c r="J95" s="6"/>
    </row>
    <row r="96" customHeight="1" spans="1:10">
      <c r="A96" s="64" t="s">
        <v>201</v>
      </c>
      <c r="B96" s="64" t="s">
        <v>235</v>
      </c>
      <c r="C96" s="65" t="s">
        <v>183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184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236</v>
      </c>
      <c r="C98" s="65" t="s">
        <v>183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184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189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190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191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193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237</v>
      </c>
      <c r="C104" s="65" t="s">
        <v>183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184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189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238</v>
      </c>
      <c r="C107" s="65" t="s">
        <v>183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 t="s">
        <v>239</v>
      </c>
    </row>
    <row r="108" customHeight="1" spans="1:10">
      <c r="A108" s="65"/>
      <c r="B108" s="65"/>
      <c r="C108" s="65" t="s">
        <v>184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189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190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240</v>
      </c>
      <c r="B111" s="80" t="s">
        <v>241</v>
      </c>
      <c r="C111" s="65" t="s">
        <v>183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184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189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190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1"/>
      <c r="B115" s="82"/>
      <c r="C115" s="65" t="s">
        <v>191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193</v>
      </c>
      <c r="D116" s="65">
        <v>31</v>
      </c>
      <c r="E116" s="65">
        <v>24</v>
      </c>
      <c r="F116" s="65">
        <v>744</v>
      </c>
      <c r="G116" s="65">
        <v>720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204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205</v>
      </c>
      <c r="D118" s="65">
        <v>31</v>
      </c>
      <c r="E118" s="65">
        <v>24</v>
      </c>
      <c r="F118" s="65">
        <v>744</v>
      </c>
      <c r="G118" s="65">
        <v>0</v>
      </c>
      <c r="H118" s="66">
        <v>0</v>
      </c>
      <c r="I118" s="66">
        <v>1</v>
      </c>
      <c r="J118" s="65" t="s">
        <v>242</v>
      </c>
    </row>
    <row r="119" customHeight="1" spans="1:10">
      <c r="A119" s="81"/>
      <c r="B119" s="82"/>
      <c r="C119" s="65" t="s">
        <v>206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207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1</v>
      </c>
      <c r="J120" s="65" t="s">
        <v>242</v>
      </c>
    </row>
    <row r="121" customHeight="1" spans="1:10">
      <c r="A121" s="81"/>
      <c r="B121" s="82"/>
      <c r="C121" s="65" t="s">
        <v>208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209</v>
      </c>
      <c r="D122" s="65">
        <v>31</v>
      </c>
      <c r="E122" s="65">
        <v>24</v>
      </c>
      <c r="F122" s="65">
        <v>744</v>
      </c>
      <c r="G122" s="65">
        <v>0</v>
      </c>
      <c r="H122" s="66">
        <v>0</v>
      </c>
      <c r="I122" s="66">
        <v>0</v>
      </c>
      <c r="J122" s="65"/>
    </row>
    <row r="123" customHeight="1" spans="1:10">
      <c r="A123" s="81"/>
      <c r="B123" s="82"/>
      <c r="C123" s="65" t="s">
        <v>210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211</v>
      </c>
      <c r="D124" s="65">
        <v>31</v>
      </c>
      <c r="E124" s="65">
        <v>24</v>
      </c>
      <c r="F124" s="65">
        <v>744</v>
      </c>
      <c r="G124" s="65">
        <v>0</v>
      </c>
      <c r="H124" s="66">
        <v>0</v>
      </c>
      <c r="I124" s="66">
        <v>0</v>
      </c>
      <c r="J124" s="65"/>
    </row>
    <row r="125" customHeight="1" spans="1:10">
      <c r="A125" s="81"/>
      <c r="B125" s="82"/>
      <c r="C125" s="65" t="s">
        <v>212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213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214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215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217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218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219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3"/>
      <c r="B132" s="84"/>
      <c r="C132" s="65" t="s">
        <v>220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70</v>
      </c>
      <c r="B133" s="67"/>
      <c r="C133" s="15"/>
      <c r="D133" s="15"/>
      <c r="E133" s="68" t="s">
        <v>71</v>
      </c>
      <c r="F133" s="68"/>
      <c r="G133" s="69"/>
      <c r="H133" s="10" t="str">
        <f>H38</f>
        <v>制表时间：2023/4/6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166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44986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167</v>
      </c>
      <c r="B138" s="6" t="s">
        <v>168</v>
      </c>
      <c r="C138" s="6" t="s">
        <v>169</v>
      </c>
      <c r="D138" s="6" t="s">
        <v>170</v>
      </c>
      <c r="E138" s="60" t="s">
        <v>171</v>
      </c>
      <c r="F138" s="60" t="s">
        <v>172</v>
      </c>
      <c r="G138" s="61" t="s">
        <v>173</v>
      </c>
      <c r="H138" s="62" t="s">
        <v>174</v>
      </c>
      <c r="I138" s="60" t="s">
        <v>175</v>
      </c>
      <c r="J138" s="6" t="s">
        <v>176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177</v>
      </c>
      <c r="E140" s="60" t="s">
        <v>178</v>
      </c>
      <c r="F140" s="60" t="s">
        <v>179</v>
      </c>
      <c r="G140" s="61" t="s">
        <v>179</v>
      </c>
      <c r="H140" s="62" t="s">
        <v>180</v>
      </c>
      <c r="I140" s="60" t="s">
        <v>180</v>
      </c>
      <c r="J140" s="6"/>
    </row>
    <row r="141" customHeight="1" spans="1:10">
      <c r="A141" s="64" t="s">
        <v>240</v>
      </c>
      <c r="B141" s="64" t="s">
        <v>243</v>
      </c>
      <c r="C141" s="65" t="s">
        <v>221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222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223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224</v>
      </c>
      <c r="D144" s="65">
        <v>31</v>
      </c>
      <c r="E144" s="65">
        <v>24</v>
      </c>
      <c r="F144" s="65">
        <v>744</v>
      </c>
      <c r="G144" s="65">
        <v>0</v>
      </c>
      <c r="H144" s="66">
        <v>0</v>
      </c>
      <c r="I144" s="66">
        <v>0</v>
      </c>
      <c r="J144" s="65"/>
    </row>
    <row r="145" customHeight="1" spans="1:10">
      <c r="A145" s="65"/>
      <c r="B145" s="65"/>
      <c r="C145" s="65" t="s">
        <v>225</v>
      </c>
      <c r="D145" s="65">
        <v>31</v>
      </c>
      <c r="E145" s="65">
        <v>24</v>
      </c>
      <c r="F145" s="65">
        <v>744</v>
      </c>
      <c r="G145" s="65">
        <v>0</v>
      </c>
      <c r="H145" s="66">
        <v>0</v>
      </c>
      <c r="I145" s="66">
        <v>1</v>
      </c>
      <c r="J145" s="65" t="s">
        <v>242</v>
      </c>
    </row>
    <row r="146" customHeight="1" spans="1:10">
      <c r="A146" s="65"/>
      <c r="B146" s="65"/>
      <c r="C146" s="65" t="s">
        <v>226</v>
      </c>
      <c r="D146" s="65">
        <v>31</v>
      </c>
      <c r="E146" s="65">
        <v>24</v>
      </c>
      <c r="F146" s="65">
        <v>744</v>
      </c>
      <c r="G146" s="65">
        <v>0</v>
      </c>
      <c r="H146" s="66">
        <v>0</v>
      </c>
      <c r="I146" s="66">
        <v>1</v>
      </c>
      <c r="J146" s="65" t="s">
        <v>242</v>
      </c>
    </row>
    <row r="147" customHeight="1" spans="1:10">
      <c r="A147" s="65"/>
      <c r="B147" s="64" t="s">
        <v>244</v>
      </c>
      <c r="C147" s="65" t="s">
        <v>183</v>
      </c>
      <c r="D147" s="65">
        <v>31</v>
      </c>
      <c r="E147" s="65">
        <v>24</v>
      </c>
      <c r="F147" s="65">
        <v>744</v>
      </c>
      <c r="G147" s="65">
        <v>742</v>
      </c>
      <c r="H147" s="79">
        <v>0.99</v>
      </c>
      <c r="I147" s="79">
        <v>0.99</v>
      </c>
      <c r="J147" s="65" t="s">
        <v>245</v>
      </c>
    </row>
    <row r="148" customHeight="1" spans="1:10">
      <c r="A148" s="65"/>
      <c r="B148" s="65"/>
      <c r="C148" s="65" t="s">
        <v>184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246</v>
      </c>
      <c r="C149" s="65" t="s">
        <v>183</v>
      </c>
      <c r="D149" s="65">
        <v>31</v>
      </c>
      <c r="E149" s="65">
        <v>24</v>
      </c>
      <c r="F149" s="65">
        <v>744</v>
      </c>
      <c r="G149" s="65">
        <v>114</v>
      </c>
      <c r="H149" s="66">
        <v>0.153225806451613</v>
      </c>
      <c r="I149" s="66">
        <v>1</v>
      </c>
      <c r="J149" s="65"/>
    </row>
    <row r="150" customHeight="1" spans="1:10">
      <c r="A150" s="65"/>
      <c r="B150" s="65"/>
      <c r="C150" s="65" t="s">
        <v>184</v>
      </c>
      <c r="D150" s="65">
        <v>31</v>
      </c>
      <c r="E150" s="65">
        <v>24</v>
      </c>
      <c r="F150" s="65">
        <v>744</v>
      </c>
      <c r="G150" s="65">
        <v>622</v>
      </c>
      <c r="H150" s="66">
        <v>0.836021505376344</v>
      </c>
      <c r="I150" s="66">
        <v>1</v>
      </c>
      <c r="J150" s="65"/>
    </row>
    <row r="151" customHeight="1" spans="1:10">
      <c r="A151" s="65"/>
      <c r="B151" s="65"/>
      <c r="C151" s="65" t="s">
        <v>189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247</v>
      </c>
      <c r="C152" s="65" t="s">
        <v>183</v>
      </c>
      <c r="D152" s="65">
        <v>31</v>
      </c>
      <c r="E152" s="65">
        <v>24</v>
      </c>
      <c r="F152" s="65">
        <v>744</v>
      </c>
      <c r="G152" s="65">
        <v>744</v>
      </c>
      <c r="H152" s="66">
        <v>1</v>
      </c>
      <c r="I152" s="66">
        <v>1</v>
      </c>
      <c r="J152" s="65"/>
    </row>
    <row r="153" customHeight="1" spans="1:10">
      <c r="A153" s="65"/>
      <c r="B153" s="65"/>
      <c r="C153" s="65" t="s">
        <v>184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189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248</v>
      </c>
      <c r="C155" s="88" t="s">
        <v>183</v>
      </c>
      <c r="D155" s="88">
        <v>31</v>
      </c>
      <c r="E155" s="88">
        <v>24</v>
      </c>
      <c r="F155" s="88">
        <v>744</v>
      </c>
      <c r="G155" s="88">
        <v>480</v>
      </c>
      <c r="H155" s="89">
        <v>0.645161290322581</v>
      </c>
      <c r="I155" s="89">
        <v>1</v>
      </c>
      <c r="J155" s="65"/>
    </row>
    <row r="156" customHeight="1" spans="1:10">
      <c r="A156" s="65"/>
      <c r="B156" s="88"/>
      <c r="C156" s="88" t="s">
        <v>184</v>
      </c>
      <c r="D156" s="88">
        <v>31</v>
      </c>
      <c r="E156" s="88">
        <v>24</v>
      </c>
      <c r="F156" s="88">
        <v>744</v>
      </c>
      <c r="G156" s="88">
        <v>380</v>
      </c>
      <c r="H156" s="89">
        <v>0.510752688172043</v>
      </c>
      <c r="I156" s="89">
        <v>1</v>
      </c>
      <c r="J156" s="65"/>
    </row>
    <row r="157" customHeight="1" spans="1:10">
      <c r="A157" s="65"/>
      <c r="B157" s="88"/>
      <c r="C157" s="88" t="s">
        <v>189</v>
      </c>
      <c r="D157" s="88">
        <v>31</v>
      </c>
      <c r="E157" s="88">
        <v>24</v>
      </c>
      <c r="F157" s="88">
        <v>744</v>
      </c>
      <c r="G157" s="88">
        <v>744</v>
      </c>
      <c r="H157" s="89">
        <v>1</v>
      </c>
      <c r="I157" s="89">
        <v>1</v>
      </c>
      <c r="J157" s="65"/>
    </row>
    <row r="158" customHeight="1" spans="1:10">
      <c r="A158" s="65"/>
      <c r="B158" s="88"/>
      <c r="C158" s="88" t="s">
        <v>190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191</v>
      </c>
      <c r="D159" s="88">
        <v>31</v>
      </c>
      <c r="E159" s="88">
        <v>24</v>
      </c>
      <c r="F159" s="88">
        <v>744</v>
      </c>
      <c r="G159" s="88">
        <v>382</v>
      </c>
      <c r="H159" s="89">
        <v>0.513440860215054</v>
      </c>
      <c r="I159" s="89">
        <v>1</v>
      </c>
      <c r="J159" s="65"/>
    </row>
    <row r="160" customHeight="1" spans="1:10">
      <c r="A160" s="65"/>
      <c r="B160" s="88"/>
      <c r="C160" s="88" t="s">
        <v>193</v>
      </c>
      <c r="D160" s="88">
        <v>31</v>
      </c>
      <c r="E160" s="88">
        <v>24</v>
      </c>
      <c r="F160" s="88">
        <v>744</v>
      </c>
      <c r="G160" s="88">
        <v>480</v>
      </c>
      <c r="H160" s="89">
        <v>0.645161290322581</v>
      </c>
      <c r="I160" s="89">
        <v>1</v>
      </c>
      <c r="J160" s="65"/>
    </row>
    <row r="161" customHeight="1" spans="1:10">
      <c r="A161" s="64" t="s">
        <v>249</v>
      </c>
      <c r="B161" s="64" t="s">
        <v>250</v>
      </c>
      <c r="C161" s="65" t="s">
        <v>183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 t="s">
        <v>197</v>
      </c>
    </row>
    <row r="162" customHeight="1" spans="1:10">
      <c r="A162" s="65"/>
      <c r="B162" s="65"/>
      <c r="C162" s="65" t="s">
        <v>184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189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 t="s">
        <v>197</v>
      </c>
    </row>
    <row r="164" ht="17" customHeight="1" spans="1:10">
      <c r="A164" s="65"/>
      <c r="B164" s="65"/>
      <c r="C164" s="65" t="s">
        <v>190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191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 t="s">
        <v>197</v>
      </c>
    </row>
    <row r="166" customHeight="1" spans="1:10">
      <c r="A166" s="65"/>
      <c r="B166" s="65"/>
      <c r="C166" s="65" t="s">
        <v>193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204</v>
      </c>
      <c r="D167" s="65">
        <v>31</v>
      </c>
      <c r="E167" s="65">
        <v>24</v>
      </c>
      <c r="F167" s="65">
        <v>744</v>
      </c>
      <c r="G167" s="65">
        <v>0</v>
      </c>
      <c r="H167" s="66">
        <v>0</v>
      </c>
      <c r="I167" s="66">
        <v>0</v>
      </c>
      <c r="J167" s="65"/>
    </row>
    <row r="168" customHeight="1" spans="1:10">
      <c r="A168" s="65"/>
      <c r="B168" s="65"/>
      <c r="C168" s="65" t="s">
        <v>205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 t="s">
        <v>197</v>
      </c>
    </row>
    <row r="169" customHeight="1" spans="1:10">
      <c r="A169" s="65"/>
      <c r="B169" s="65"/>
      <c r="C169" s="65" t="s">
        <v>206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 t="s">
        <v>197</v>
      </c>
    </row>
    <row r="170" customHeight="1" spans="1:10">
      <c r="A170" s="65"/>
      <c r="B170" s="65"/>
      <c r="C170" s="65" t="s">
        <v>207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 t="s">
        <v>197</v>
      </c>
    </row>
    <row r="171" customHeight="1" spans="1:10">
      <c r="A171" s="65"/>
      <c r="B171" s="65"/>
      <c r="C171" s="65" t="s">
        <v>208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 t="s">
        <v>197</v>
      </c>
    </row>
    <row r="172" customHeight="1" spans="1:10">
      <c r="A172" s="65"/>
      <c r="B172" s="65"/>
      <c r="C172" s="65" t="s">
        <v>209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 t="s">
        <v>197</v>
      </c>
    </row>
    <row r="173" customHeight="1" spans="1:10">
      <c r="A173" s="65"/>
      <c r="B173" s="65"/>
      <c r="C173" s="65" t="s">
        <v>210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 t="s">
        <v>197</v>
      </c>
    </row>
    <row r="174" customHeight="1" spans="1:10">
      <c r="A174" s="65"/>
      <c r="B174" s="65"/>
      <c r="C174" s="65" t="s">
        <v>211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 t="s">
        <v>197</v>
      </c>
    </row>
    <row r="175" customHeight="1" spans="1:10">
      <c r="A175" s="65"/>
      <c r="B175" s="65"/>
      <c r="C175" s="65" t="s">
        <v>212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 t="s">
        <v>197</v>
      </c>
    </row>
    <row r="176" customHeight="1" spans="1:10">
      <c r="A176" s="65"/>
      <c r="B176" s="65"/>
      <c r="C176" s="65" t="s">
        <v>213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 t="s">
        <v>197</v>
      </c>
    </row>
    <row r="177" ht="14.25" spans="1:10">
      <c r="A177" s="65"/>
      <c r="B177" s="65"/>
      <c r="C177" s="65" t="s">
        <v>214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1</v>
      </c>
      <c r="J177" s="65" t="s">
        <v>242</v>
      </c>
    </row>
    <row r="178" ht="14.25" spans="1:10">
      <c r="A178" s="65"/>
      <c r="B178" s="65"/>
      <c r="C178" s="65" t="s">
        <v>215</v>
      </c>
      <c r="D178" s="65">
        <v>31</v>
      </c>
      <c r="E178" s="65">
        <v>24</v>
      </c>
      <c r="F178" s="65">
        <v>744</v>
      </c>
      <c r="G178" s="65">
        <v>0</v>
      </c>
      <c r="H178" s="66">
        <v>0</v>
      </c>
      <c r="I178" s="66">
        <v>1</v>
      </c>
      <c r="J178" s="65" t="s">
        <v>242</v>
      </c>
    </row>
    <row r="179" customHeight="1" spans="1:10">
      <c r="A179" s="67" t="s">
        <v>70</v>
      </c>
      <c r="B179" s="67"/>
      <c r="C179" s="15"/>
      <c r="D179" s="15"/>
      <c r="E179" s="68" t="s">
        <v>71</v>
      </c>
      <c r="F179" s="68"/>
      <c r="G179" s="69"/>
      <c r="H179" s="10" t="str">
        <f>H38</f>
        <v>制表时间：2023/4/6</v>
      </c>
      <c r="I179" s="10"/>
      <c r="J179" s="10"/>
    </row>
    <row r="180" ht="23" customHeight="1"/>
    <row r="181" ht="28" customHeight="1" spans="1:10">
      <c r="A181" s="57" t="s">
        <v>166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44986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167</v>
      </c>
      <c r="B183" s="6" t="s">
        <v>168</v>
      </c>
      <c r="C183" s="6" t="s">
        <v>169</v>
      </c>
      <c r="D183" s="6" t="s">
        <v>170</v>
      </c>
      <c r="E183" s="60" t="s">
        <v>171</v>
      </c>
      <c r="F183" s="60" t="s">
        <v>172</v>
      </c>
      <c r="G183" s="61" t="s">
        <v>173</v>
      </c>
      <c r="H183" s="62" t="s">
        <v>174</v>
      </c>
      <c r="I183" s="60" t="s">
        <v>175</v>
      </c>
      <c r="J183" s="6" t="s">
        <v>176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177</v>
      </c>
      <c r="E185" s="60" t="s">
        <v>178</v>
      </c>
      <c r="F185" s="60" t="s">
        <v>179</v>
      </c>
      <c r="G185" s="61" t="s">
        <v>179</v>
      </c>
      <c r="H185" s="62" t="s">
        <v>180</v>
      </c>
      <c r="I185" s="60" t="s">
        <v>180</v>
      </c>
      <c r="J185" s="6"/>
    </row>
    <row r="186" customHeight="1" spans="1:10">
      <c r="A186" s="64" t="s">
        <v>249</v>
      </c>
      <c r="B186" s="64" t="s">
        <v>250</v>
      </c>
      <c r="C186" s="65" t="s">
        <v>217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 t="s">
        <v>197</v>
      </c>
    </row>
    <row r="187" customHeight="1" spans="1:10">
      <c r="A187" s="65"/>
      <c r="B187" s="65"/>
      <c r="C187" s="65" t="s">
        <v>218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 t="s">
        <v>197</v>
      </c>
    </row>
    <row r="188" ht="20" customHeight="1" spans="1:10">
      <c r="A188" s="65"/>
      <c r="B188" s="65"/>
      <c r="C188" s="65" t="s">
        <v>219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 t="s">
        <v>197</v>
      </c>
    </row>
    <row r="189" customHeight="1" spans="1:10">
      <c r="A189" s="65"/>
      <c r="B189" s="65"/>
      <c r="C189" s="65" t="s">
        <v>220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 t="s">
        <v>197</v>
      </c>
    </row>
    <row r="190" customHeight="1" spans="1:10">
      <c r="A190" s="65"/>
      <c r="B190" s="65"/>
      <c r="C190" s="65" t="s">
        <v>221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 t="s">
        <v>197</v>
      </c>
    </row>
    <row r="191" customHeight="1" spans="1:10">
      <c r="A191" s="65"/>
      <c r="B191" s="65"/>
      <c r="C191" s="65" t="s">
        <v>222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 t="s">
        <v>197</v>
      </c>
    </row>
    <row r="192" customHeight="1" spans="1:10">
      <c r="A192" s="65"/>
      <c r="B192" s="65"/>
      <c r="C192" s="65" t="s">
        <v>223</v>
      </c>
      <c r="D192" s="65">
        <v>31</v>
      </c>
      <c r="E192" s="65">
        <v>24</v>
      </c>
      <c r="F192" s="65">
        <v>744</v>
      </c>
      <c r="G192" s="65">
        <v>744</v>
      </c>
      <c r="H192" s="66">
        <v>1</v>
      </c>
      <c r="I192" s="66">
        <v>1</v>
      </c>
      <c r="J192" s="65" t="s">
        <v>197</v>
      </c>
    </row>
    <row r="193" customHeight="1" spans="1:10">
      <c r="A193" s="65"/>
      <c r="B193" s="65"/>
      <c r="C193" s="65" t="s">
        <v>224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 t="s">
        <v>197</v>
      </c>
    </row>
    <row r="194" customHeight="1" spans="1:10">
      <c r="A194" s="65"/>
      <c r="B194" s="65"/>
      <c r="C194" s="65" t="s">
        <v>225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 t="s">
        <v>197</v>
      </c>
    </row>
    <row r="195" customHeight="1" spans="1:10">
      <c r="A195" s="65"/>
      <c r="B195" s="65"/>
      <c r="C195" s="65" t="s">
        <v>226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0</v>
      </c>
      <c r="J195" s="65"/>
    </row>
    <row r="196" customHeight="1" spans="1:10">
      <c r="A196" s="65"/>
      <c r="B196" s="65"/>
      <c r="C196" s="65" t="s">
        <v>227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 t="s">
        <v>197</v>
      </c>
    </row>
    <row r="197" customHeight="1" spans="1:10">
      <c r="A197" s="65"/>
      <c r="B197" s="65"/>
      <c r="C197" s="65" t="s">
        <v>228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/>
    </row>
    <row r="198" customHeight="1" spans="1:10">
      <c r="A198" s="65"/>
      <c r="B198" s="65"/>
      <c r="C198" s="65" t="s">
        <v>229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 t="s">
        <v>197</v>
      </c>
    </row>
    <row r="199" customHeight="1" spans="1:10">
      <c r="A199" s="65"/>
      <c r="B199" s="65"/>
      <c r="C199" s="65" t="s">
        <v>230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 t="s">
        <v>197</v>
      </c>
    </row>
    <row r="200" customHeight="1" spans="1:10">
      <c r="A200" s="65"/>
      <c r="B200" s="65"/>
      <c r="C200" s="65" t="s">
        <v>231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 t="s">
        <v>197</v>
      </c>
    </row>
    <row r="201" customHeight="1" spans="1:10">
      <c r="A201" s="65"/>
      <c r="B201" s="65"/>
      <c r="C201" s="65" t="s">
        <v>232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 t="s">
        <v>197</v>
      </c>
    </row>
    <row r="202" customHeight="1" spans="1:10">
      <c r="A202" s="65"/>
      <c r="B202" s="65"/>
      <c r="C202" s="65" t="s">
        <v>233</v>
      </c>
      <c r="D202" s="65">
        <v>31</v>
      </c>
      <c r="E202" s="65">
        <v>24</v>
      </c>
      <c r="F202" s="65">
        <v>744</v>
      </c>
      <c r="G202" s="65">
        <v>0</v>
      </c>
      <c r="H202" s="66">
        <v>0</v>
      </c>
      <c r="I202" s="66">
        <v>1</v>
      </c>
      <c r="J202" s="65" t="s">
        <v>242</v>
      </c>
    </row>
    <row r="203" customHeight="1" spans="1:10">
      <c r="A203" s="65"/>
      <c r="B203" s="65"/>
      <c r="C203" s="65" t="s">
        <v>234</v>
      </c>
      <c r="D203" s="65">
        <v>31</v>
      </c>
      <c r="E203" s="65">
        <v>24</v>
      </c>
      <c r="F203" s="65">
        <v>744</v>
      </c>
      <c r="G203" s="65">
        <v>0</v>
      </c>
      <c r="H203" s="66">
        <v>0</v>
      </c>
      <c r="I203" s="66">
        <v>1</v>
      </c>
      <c r="J203" s="65" t="s">
        <v>242</v>
      </c>
    </row>
    <row r="204" customHeight="1" spans="1:10">
      <c r="A204" s="65"/>
      <c r="B204" s="64" t="s">
        <v>244</v>
      </c>
      <c r="C204" s="65" t="s">
        <v>189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190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247</v>
      </c>
      <c r="C206" s="65" t="s">
        <v>190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191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193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248</v>
      </c>
      <c r="C209" s="65" t="s">
        <v>183</v>
      </c>
      <c r="D209" s="65">
        <v>31</v>
      </c>
      <c r="E209" s="65">
        <v>24</v>
      </c>
      <c r="F209" s="65">
        <v>744</v>
      </c>
      <c r="G209" s="65">
        <v>692</v>
      </c>
      <c r="H209" s="66">
        <v>0.93010752688172</v>
      </c>
      <c r="I209" s="66">
        <v>1</v>
      </c>
      <c r="J209" s="65" t="s">
        <v>197</v>
      </c>
    </row>
    <row r="210" customHeight="1" spans="1:10">
      <c r="A210" s="65"/>
      <c r="B210" s="65"/>
      <c r="C210" s="65" t="s">
        <v>184</v>
      </c>
      <c r="D210" s="65">
        <v>31</v>
      </c>
      <c r="E210" s="65">
        <v>24</v>
      </c>
      <c r="F210" s="65">
        <v>744</v>
      </c>
      <c r="G210" s="65">
        <v>52</v>
      </c>
      <c r="H210" s="66">
        <v>0.0698924731182796</v>
      </c>
      <c r="I210" s="66">
        <v>1</v>
      </c>
      <c r="J210" s="65" t="s">
        <v>197</v>
      </c>
    </row>
    <row r="211" customHeight="1" spans="1:10">
      <c r="A211" s="65"/>
      <c r="B211" s="65"/>
      <c r="C211" s="65" t="s">
        <v>189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 t="s">
        <v>197</v>
      </c>
    </row>
    <row r="212" customHeight="1" spans="1:10">
      <c r="A212" s="65"/>
      <c r="B212" s="65"/>
      <c r="C212" s="65" t="s">
        <v>190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 t="s">
        <v>197</v>
      </c>
    </row>
    <row r="213" customHeight="1" spans="1:10">
      <c r="A213" s="65"/>
      <c r="B213" s="65"/>
      <c r="C213" s="65" t="s">
        <v>191</v>
      </c>
      <c r="D213" s="65">
        <v>31</v>
      </c>
      <c r="E213" s="65">
        <v>24</v>
      </c>
      <c r="F213" s="65">
        <v>744</v>
      </c>
      <c r="G213" s="65">
        <v>0</v>
      </c>
      <c r="H213" s="66">
        <v>0</v>
      </c>
      <c r="I213" s="66">
        <v>1</v>
      </c>
      <c r="J213" s="65" t="s">
        <v>197</v>
      </c>
    </row>
    <row r="214" customHeight="1" spans="1:10">
      <c r="A214" s="65"/>
      <c r="B214" s="65"/>
      <c r="C214" s="65" t="s">
        <v>193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 t="s">
        <v>197</v>
      </c>
    </row>
    <row r="215" customHeight="1" spans="1:10">
      <c r="A215" s="80" t="s">
        <v>251</v>
      </c>
      <c r="B215" s="64" t="s">
        <v>252</v>
      </c>
      <c r="C215" s="65" t="s">
        <v>183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184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189</v>
      </c>
      <c r="D217" s="65">
        <v>31</v>
      </c>
      <c r="E217" s="65">
        <v>24</v>
      </c>
      <c r="F217" s="65">
        <v>744</v>
      </c>
      <c r="G217" s="65">
        <v>744</v>
      </c>
      <c r="H217" s="66">
        <v>1</v>
      </c>
      <c r="I217" s="66">
        <v>1</v>
      </c>
      <c r="J217" s="65"/>
    </row>
    <row r="218" customHeight="1" spans="1:10">
      <c r="A218" s="81"/>
      <c r="B218" s="65"/>
      <c r="C218" s="65" t="s">
        <v>190</v>
      </c>
      <c r="D218" s="65">
        <v>31</v>
      </c>
      <c r="E218" s="65">
        <v>24</v>
      </c>
      <c r="F218" s="65">
        <v>744</v>
      </c>
      <c r="G218" s="65">
        <v>744</v>
      </c>
      <c r="H218" s="66">
        <v>1</v>
      </c>
      <c r="I218" s="66">
        <v>1</v>
      </c>
      <c r="J218" s="65"/>
    </row>
    <row r="219" customHeight="1" spans="1:10">
      <c r="A219" s="81"/>
      <c r="B219" s="64" t="s">
        <v>253</v>
      </c>
      <c r="C219" s="65" t="s">
        <v>183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/>
    </row>
    <row r="220" customHeight="1" spans="1:10">
      <c r="A220" s="81"/>
      <c r="B220" s="65"/>
      <c r="C220" s="65" t="s">
        <v>184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66">
        <v>1</v>
      </c>
      <c r="J220" s="5"/>
    </row>
    <row r="221" customHeight="1" spans="1:10">
      <c r="A221" s="81"/>
      <c r="B221" s="65"/>
      <c r="C221" s="65" t="s">
        <v>189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66">
        <v>1</v>
      </c>
      <c r="J221" s="5"/>
    </row>
    <row r="222" ht="14.25" spans="1:10">
      <c r="A222" s="83"/>
      <c r="B222" s="65"/>
      <c r="C222" s="65" t="s">
        <v>190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/>
    </row>
    <row r="223" customHeight="1" spans="1:10">
      <c r="A223" s="67" t="s">
        <v>70</v>
      </c>
      <c r="B223" s="67"/>
      <c r="C223" s="15"/>
      <c r="D223" s="15"/>
      <c r="E223" s="68" t="s">
        <v>71</v>
      </c>
      <c r="F223" s="68"/>
      <c r="G223" s="69"/>
      <c r="H223" s="10" t="str">
        <f>H38</f>
        <v>制表时间：2023/4/6</v>
      </c>
      <c r="I223" s="10"/>
      <c r="J223" s="10"/>
    </row>
    <row r="224" ht="17" customHeight="1"/>
    <row r="225" ht="16" customHeight="1"/>
    <row r="226" ht="30" customHeight="1" spans="1:10">
      <c r="A226" s="57" t="s">
        <v>166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44986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167</v>
      </c>
      <c r="B228" s="6" t="s">
        <v>168</v>
      </c>
      <c r="C228" s="6" t="s">
        <v>169</v>
      </c>
      <c r="D228" s="6" t="s">
        <v>170</v>
      </c>
      <c r="E228" s="60" t="s">
        <v>171</v>
      </c>
      <c r="F228" s="60" t="s">
        <v>172</v>
      </c>
      <c r="G228" s="61" t="s">
        <v>173</v>
      </c>
      <c r="H228" s="62" t="s">
        <v>174</v>
      </c>
      <c r="I228" s="60" t="s">
        <v>175</v>
      </c>
      <c r="J228" s="6" t="s">
        <v>176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177</v>
      </c>
      <c r="E230" s="60" t="s">
        <v>178</v>
      </c>
      <c r="F230" s="60" t="s">
        <v>179</v>
      </c>
      <c r="G230" s="61" t="s">
        <v>179</v>
      </c>
      <c r="H230" s="62" t="s">
        <v>180</v>
      </c>
      <c r="I230" s="60" t="s">
        <v>180</v>
      </c>
      <c r="J230" s="6"/>
    </row>
    <row r="231" customHeight="1" spans="1:10">
      <c r="A231" s="64" t="s">
        <v>251</v>
      </c>
      <c r="B231" s="64" t="s">
        <v>254</v>
      </c>
      <c r="C231" s="65" t="s">
        <v>183</v>
      </c>
      <c r="D231" s="65">
        <v>31</v>
      </c>
      <c r="E231" s="65">
        <v>24</v>
      </c>
      <c r="F231" s="65">
        <v>744</v>
      </c>
      <c r="G231" s="65">
        <v>13</v>
      </c>
      <c r="H231" s="66">
        <v>0.0174731182795699</v>
      </c>
      <c r="I231" s="66">
        <v>1</v>
      </c>
      <c r="J231" s="65"/>
    </row>
    <row r="232" customHeight="1" spans="1:10">
      <c r="A232" s="64"/>
      <c r="B232" s="65"/>
      <c r="C232" s="65" t="s">
        <v>184</v>
      </c>
      <c r="D232" s="65">
        <v>31</v>
      </c>
      <c r="E232" s="65">
        <v>24</v>
      </c>
      <c r="F232" s="65">
        <v>744</v>
      </c>
      <c r="G232" s="65">
        <v>13</v>
      </c>
      <c r="H232" s="66">
        <v>0.0174731182795699</v>
      </c>
      <c r="I232" s="66">
        <v>1</v>
      </c>
      <c r="J232" s="65"/>
    </row>
    <row r="233" customHeight="1" spans="1:10">
      <c r="A233" s="64"/>
      <c r="B233" s="65"/>
      <c r="C233" s="65" t="s">
        <v>189</v>
      </c>
      <c r="D233" s="65">
        <v>31</v>
      </c>
      <c r="E233" s="65">
        <v>24</v>
      </c>
      <c r="F233" s="65">
        <v>744</v>
      </c>
      <c r="G233" s="65">
        <v>13</v>
      </c>
      <c r="H233" s="66">
        <v>0.0174731182795699</v>
      </c>
      <c r="I233" s="66">
        <v>1</v>
      </c>
      <c r="J233" s="65"/>
    </row>
    <row r="234" customHeight="1" spans="1:10">
      <c r="A234" s="64"/>
      <c r="B234" s="65"/>
      <c r="C234" s="65" t="s">
        <v>190</v>
      </c>
      <c r="D234" s="65">
        <v>31</v>
      </c>
      <c r="E234" s="65">
        <v>24</v>
      </c>
      <c r="F234" s="65">
        <v>744</v>
      </c>
      <c r="G234" s="65">
        <v>13</v>
      </c>
      <c r="H234" s="66">
        <v>0.0174731182795699</v>
      </c>
      <c r="I234" s="66">
        <v>1</v>
      </c>
      <c r="J234" s="65"/>
    </row>
    <row r="235" customHeight="1" spans="1:10">
      <c r="A235" s="64"/>
      <c r="B235" s="64" t="s">
        <v>255</v>
      </c>
      <c r="C235" s="65" t="s">
        <v>183</v>
      </c>
      <c r="D235" s="65">
        <v>31</v>
      </c>
      <c r="E235" s="65">
        <v>24</v>
      </c>
      <c r="F235" s="65">
        <v>744</v>
      </c>
      <c r="G235" s="65">
        <v>37</v>
      </c>
      <c r="H235" s="66">
        <v>0.0497311827956989</v>
      </c>
      <c r="I235" s="66">
        <v>1</v>
      </c>
      <c r="J235" s="65"/>
    </row>
    <row r="236" customHeight="1" spans="1:10">
      <c r="A236" s="64"/>
      <c r="B236" s="65"/>
      <c r="C236" s="65" t="s">
        <v>184</v>
      </c>
      <c r="D236" s="65">
        <v>31</v>
      </c>
      <c r="E236" s="65">
        <v>24</v>
      </c>
      <c r="F236" s="65">
        <v>744</v>
      </c>
      <c r="G236" s="65">
        <v>48</v>
      </c>
      <c r="H236" s="66">
        <v>0.0645161290322581</v>
      </c>
      <c r="I236" s="66">
        <v>1</v>
      </c>
      <c r="J236" s="65"/>
    </row>
    <row r="237" customHeight="1" spans="1:10">
      <c r="A237" s="64"/>
      <c r="B237" s="65"/>
      <c r="C237" s="65" t="s">
        <v>189</v>
      </c>
      <c r="D237" s="65">
        <v>31</v>
      </c>
      <c r="E237" s="65">
        <v>24</v>
      </c>
      <c r="F237" s="65">
        <v>744</v>
      </c>
      <c r="G237" s="65">
        <v>48</v>
      </c>
      <c r="H237" s="66">
        <v>0.0645161290322581</v>
      </c>
      <c r="I237" s="66">
        <v>1</v>
      </c>
      <c r="J237" s="65"/>
    </row>
    <row r="238" customHeight="1" spans="1:10">
      <c r="A238" s="64"/>
      <c r="B238" s="65"/>
      <c r="C238" s="65" t="s">
        <v>190</v>
      </c>
      <c r="D238" s="65">
        <v>31</v>
      </c>
      <c r="E238" s="65">
        <v>24</v>
      </c>
      <c r="F238" s="65">
        <v>744</v>
      </c>
      <c r="G238" s="65">
        <v>13</v>
      </c>
      <c r="H238" s="66">
        <v>0.0174731182795699</v>
      </c>
      <c r="I238" s="66">
        <v>1</v>
      </c>
      <c r="J238" s="65"/>
    </row>
    <row r="239" customHeight="1" spans="1:10">
      <c r="A239" s="64"/>
      <c r="B239" s="65"/>
      <c r="C239" s="65" t="s">
        <v>191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193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256</v>
      </c>
      <c r="C241" s="65" t="s">
        <v>183</v>
      </c>
      <c r="D241" s="65">
        <v>31</v>
      </c>
      <c r="E241" s="65">
        <v>24</v>
      </c>
      <c r="F241" s="65">
        <v>744</v>
      </c>
      <c r="G241" s="65">
        <v>142</v>
      </c>
      <c r="H241" s="66">
        <v>0.190860215053763</v>
      </c>
      <c r="I241" s="66">
        <v>1</v>
      </c>
      <c r="J241" s="65"/>
    </row>
    <row r="242" customHeight="1" spans="1:10">
      <c r="A242" s="64"/>
      <c r="B242" s="65"/>
      <c r="C242" s="65" t="s">
        <v>184</v>
      </c>
      <c r="D242" s="65">
        <v>31</v>
      </c>
      <c r="E242" s="65">
        <v>24</v>
      </c>
      <c r="F242" s="65">
        <v>744</v>
      </c>
      <c r="G242" s="65">
        <v>142</v>
      </c>
      <c r="H242" s="66">
        <v>0.190860215053763</v>
      </c>
      <c r="I242" s="66">
        <v>1</v>
      </c>
      <c r="J242" s="65"/>
    </row>
    <row r="243" customHeight="1" spans="1:10">
      <c r="A243" s="64"/>
      <c r="B243" s="65"/>
      <c r="C243" s="65" t="s">
        <v>189</v>
      </c>
      <c r="D243" s="65">
        <v>31</v>
      </c>
      <c r="E243" s="65">
        <v>24</v>
      </c>
      <c r="F243" s="65">
        <v>744</v>
      </c>
      <c r="G243" s="65">
        <v>142</v>
      </c>
      <c r="H243" s="66">
        <v>0.190860215053763</v>
      </c>
      <c r="I243" s="66">
        <v>1</v>
      </c>
      <c r="J243" s="65"/>
    </row>
    <row r="244" customHeight="1" spans="1:10">
      <c r="A244" s="64"/>
      <c r="B244" s="65"/>
      <c r="C244" s="65" t="s">
        <v>190</v>
      </c>
      <c r="D244" s="65">
        <v>31</v>
      </c>
      <c r="E244" s="65">
        <v>24</v>
      </c>
      <c r="F244" s="65">
        <v>744</v>
      </c>
      <c r="G244" s="65">
        <v>142</v>
      </c>
      <c r="H244" s="66">
        <v>0.190860215053763</v>
      </c>
      <c r="I244" s="66">
        <v>1</v>
      </c>
      <c r="J244" s="65"/>
    </row>
    <row r="245" customHeight="1" spans="1:10">
      <c r="A245" s="64"/>
      <c r="B245" s="64" t="s">
        <v>257</v>
      </c>
      <c r="C245" s="65" t="s">
        <v>183</v>
      </c>
      <c r="D245" s="65">
        <v>31</v>
      </c>
      <c r="E245" s="65">
        <v>24</v>
      </c>
      <c r="F245" s="65">
        <v>744</v>
      </c>
      <c r="G245" s="65">
        <v>66</v>
      </c>
      <c r="H245" s="66">
        <v>0.0887096774193548</v>
      </c>
      <c r="I245" s="66">
        <v>1</v>
      </c>
      <c r="J245" s="65" t="s">
        <v>258</v>
      </c>
    </row>
    <row r="246" customHeight="1" spans="1:10">
      <c r="A246" s="64"/>
      <c r="B246" s="65"/>
      <c r="C246" s="65" t="s">
        <v>184</v>
      </c>
      <c r="D246" s="65">
        <v>31</v>
      </c>
      <c r="E246" s="65">
        <v>24</v>
      </c>
      <c r="F246" s="65">
        <v>744</v>
      </c>
      <c r="G246" s="65">
        <v>7</v>
      </c>
      <c r="H246" s="66">
        <v>0.00940860215053763</v>
      </c>
      <c r="I246" s="66">
        <v>1</v>
      </c>
      <c r="J246" s="65" t="s">
        <v>258</v>
      </c>
    </row>
    <row r="247" customHeight="1" spans="1:10">
      <c r="A247" s="64"/>
      <c r="B247" s="65"/>
      <c r="C247" s="65" t="s">
        <v>189</v>
      </c>
      <c r="D247" s="65">
        <v>31</v>
      </c>
      <c r="E247" s="65">
        <v>24</v>
      </c>
      <c r="F247" s="65">
        <v>744</v>
      </c>
      <c r="G247" s="65">
        <v>59</v>
      </c>
      <c r="H247" s="66">
        <v>0.0793010752688172</v>
      </c>
      <c r="I247" s="66">
        <v>1</v>
      </c>
      <c r="J247" s="65" t="s">
        <v>258</v>
      </c>
    </row>
    <row r="248" customHeight="1" spans="1:10">
      <c r="A248" s="64"/>
      <c r="B248" s="65"/>
      <c r="C248" s="65" t="s">
        <v>190</v>
      </c>
      <c r="D248" s="65">
        <v>31</v>
      </c>
      <c r="E248" s="65">
        <v>24</v>
      </c>
      <c r="F248" s="65">
        <v>744</v>
      </c>
      <c r="G248" s="65">
        <v>7</v>
      </c>
      <c r="H248" s="66">
        <v>0.00940860215053763</v>
      </c>
      <c r="I248" s="66">
        <v>1</v>
      </c>
      <c r="J248" s="65" t="s">
        <v>258</v>
      </c>
    </row>
    <row r="249" customHeight="1" spans="1:10">
      <c r="A249" s="64"/>
      <c r="B249" s="65"/>
      <c r="C249" s="65" t="s">
        <v>191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 t="s">
        <v>258</v>
      </c>
    </row>
    <row r="250" customHeight="1" spans="1:10">
      <c r="A250" s="64"/>
      <c r="B250" s="65"/>
      <c r="C250" s="65" t="s">
        <v>193</v>
      </c>
      <c r="D250" s="65">
        <v>31</v>
      </c>
      <c r="E250" s="65">
        <v>24</v>
      </c>
      <c r="F250" s="65">
        <v>744</v>
      </c>
      <c r="G250" s="65">
        <v>7</v>
      </c>
      <c r="H250" s="66">
        <v>0.00940860215053763</v>
      </c>
      <c r="I250" s="66">
        <v>1</v>
      </c>
      <c r="J250" s="65" t="s">
        <v>258</v>
      </c>
    </row>
    <row r="251" customHeight="1" spans="1:10">
      <c r="A251" s="64"/>
      <c r="B251" s="64" t="s">
        <v>259</v>
      </c>
      <c r="C251" s="65" t="s">
        <v>183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 t="s">
        <v>258</v>
      </c>
    </row>
    <row r="252" customHeight="1" spans="1:10">
      <c r="A252" s="64"/>
      <c r="B252" s="65"/>
      <c r="C252" s="65" t="s">
        <v>184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 t="s">
        <v>258</v>
      </c>
    </row>
    <row r="253" customHeight="1" spans="1:10">
      <c r="A253" s="64"/>
      <c r="B253" s="65"/>
      <c r="C253" s="65" t="s">
        <v>189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 t="s">
        <v>258</v>
      </c>
    </row>
    <row r="254" customHeight="1" spans="1:10">
      <c r="A254" s="64"/>
      <c r="B254" s="65"/>
      <c r="C254" s="65" t="s">
        <v>190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 t="s">
        <v>258</v>
      </c>
    </row>
    <row r="255" customHeight="1" spans="1:10">
      <c r="A255" s="64"/>
      <c r="B255" s="65"/>
      <c r="C255" s="65" t="s">
        <v>191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 t="s">
        <v>258</v>
      </c>
    </row>
    <row r="256" customHeight="1" spans="1:10">
      <c r="A256" s="64"/>
      <c r="B256" s="65"/>
      <c r="C256" s="65" t="s">
        <v>193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 t="s">
        <v>258</v>
      </c>
    </row>
    <row r="257" customHeight="1" spans="1:10">
      <c r="A257" s="64"/>
      <c r="B257" s="65"/>
      <c r="C257" s="65" t="s">
        <v>204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 t="s">
        <v>258</v>
      </c>
    </row>
    <row r="258" customHeight="1" spans="1:10">
      <c r="A258" s="64"/>
      <c r="B258" s="65"/>
      <c r="C258" s="65" t="s">
        <v>205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 t="s">
        <v>258</v>
      </c>
    </row>
    <row r="259" customHeight="1" spans="1:10">
      <c r="A259" s="64"/>
      <c r="B259" s="6" t="s">
        <v>260</v>
      </c>
      <c r="C259" s="65" t="s">
        <v>183</v>
      </c>
      <c r="D259" s="65">
        <v>31</v>
      </c>
      <c r="E259" s="65">
        <v>24</v>
      </c>
      <c r="F259" s="65">
        <v>744</v>
      </c>
      <c r="G259" s="65">
        <v>576</v>
      </c>
      <c r="H259" s="66">
        <v>0.774193548387097</v>
      </c>
      <c r="I259" s="66">
        <v>1</v>
      </c>
      <c r="J259" s="65" t="s">
        <v>261</v>
      </c>
    </row>
    <row r="260" customHeight="1" spans="1:10">
      <c r="A260" s="64"/>
      <c r="B260" s="5"/>
      <c r="C260" s="65" t="s">
        <v>184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 t="s">
        <v>261</v>
      </c>
    </row>
    <row r="261" customHeight="1" spans="1:10">
      <c r="A261" s="64"/>
      <c r="B261" s="5"/>
      <c r="C261" s="65" t="s">
        <v>189</v>
      </c>
      <c r="D261" s="65">
        <v>31</v>
      </c>
      <c r="E261" s="65">
        <v>24</v>
      </c>
      <c r="F261" s="65">
        <v>744</v>
      </c>
      <c r="G261" s="65">
        <v>168</v>
      </c>
      <c r="H261" s="66">
        <v>0.225806451612903</v>
      </c>
      <c r="I261" s="66">
        <v>1</v>
      </c>
      <c r="J261" s="65" t="s">
        <v>261</v>
      </c>
    </row>
    <row r="262" customHeight="1" spans="1:10">
      <c r="A262" s="64"/>
      <c r="B262" s="6" t="s">
        <v>262</v>
      </c>
      <c r="C262" s="65" t="s">
        <v>183</v>
      </c>
      <c r="D262" s="65">
        <v>31</v>
      </c>
      <c r="E262" s="65">
        <v>24</v>
      </c>
      <c r="F262" s="65">
        <v>744</v>
      </c>
      <c r="G262" s="65">
        <v>742</v>
      </c>
      <c r="H262" s="66">
        <v>0.99</v>
      </c>
      <c r="I262" s="66">
        <v>1</v>
      </c>
      <c r="J262" s="65" t="s">
        <v>263</v>
      </c>
    </row>
    <row r="263" customHeight="1" spans="1:10">
      <c r="A263" s="64"/>
      <c r="B263" s="5"/>
      <c r="C263" s="65" t="s">
        <v>184</v>
      </c>
      <c r="D263" s="65">
        <v>31</v>
      </c>
      <c r="E263" s="65">
        <v>24</v>
      </c>
      <c r="F263" s="65">
        <v>744</v>
      </c>
      <c r="G263" s="65">
        <v>742</v>
      </c>
      <c r="H263" s="66">
        <v>0.99</v>
      </c>
      <c r="I263" s="66">
        <v>1</v>
      </c>
      <c r="J263" s="65" t="s">
        <v>264</v>
      </c>
    </row>
    <row r="264" customHeight="1" spans="1:10">
      <c r="A264" s="64"/>
      <c r="B264" s="5"/>
      <c r="C264" s="65" t="s">
        <v>189</v>
      </c>
      <c r="D264" s="65">
        <v>31</v>
      </c>
      <c r="E264" s="65">
        <v>24</v>
      </c>
      <c r="F264" s="65">
        <v>744</v>
      </c>
      <c r="G264" s="65">
        <v>742</v>
      </c>
      <c r="H264" s="66">
        <v>0.99</v>
      </c>
      <c r="I264" s="66">
        <v>1</v>
      </c>
      <c r="J264" s="65" t="s">
        <v>265</v>
      </c>
    </row>
    <row r="265" customHeight="1" spans="1:10">
      <c r="A265" s="64"/>
      <c r="B265" s="5"/>
      <c r="C265" s="65" t="s">
        <v>190</v>
      </c>
      <c r="D265" s="65">
        <v>31</v>
      </c>
      <c r="E265" s="65">
        <v>24</v>
      </c>
      <c r="F265" s="65">
        <v>744</v>
      </c>
      <c r="G265" s="65">
        <v>742</v>
      </c>
      <c r="H265" s="66">
        <v>0.99</v>
      </c>
      <c r="I265" s="66">
        <v>1</v>
      </c>
      <c r="J265" s="65" t="s">
        <v>266</v>
      </c>
    </row>
    <row r="266" customHeight="1" spans="1:10">
      <c r="A266" s="64"/>
      <c r="B266" s="5"/>
      <c r="C266" s="65" t="s">
        <v>191</v>
      </c>
      <c r="D266" s="65">
        <v>31</v>
      </c>
      <c r="E266" s="65">
        <v>24</v>
      </c>
      <c r="F266" s="65">
        <v>744</v>
      </c>
      <c r="G266" s="65">
        <v>742</v>
      </c>
      <c r="H266" s="66">
        <v>0.99</v>
      </c>
      <c r="I266" s="66">
        <v>1</v>
      </c>
      <c r="J266" s="65" t="s">
        <v>267</v>
      </c>
    </row>
    <row r="267" ht="19" customHeight="1" spans="1:10">
      <c r="A267" s="67" t="s">
        <v>70</v>
      </c>
      <c r="B267" s="67"/>
      <c r="C267" s="15"/>
      <c r="D267" s="15"/>
      <c r="E267" s="68" t="s">
        <v>71</v>
      </c>
      <c r="F267" s="68"/>
      <c r="G267" s="69"/>
      <c r="H267" s="10" t="str">
        <f>H38</f>
        <v>制表时间：2023/4/6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166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44986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167</v>
      </c>
      <c r="B271" s="6" t="s">
        <v>168</v>
      </c>
      <c r="C271" s="6" t="s">
        <v>169</v>
      </c>
      <c r="D271" s="6" t="s">
        <v>170</v>
      </c>
      <c r="E271" s="60" t="s">
        <v>171</v>
      </c>
      <c r="F271" s="60" t="s">
        <v>172</v>
      </c>
      <c r="G271" s="61" t="s">
        <v>173</v>
      </c>
      <c r="H271" s="62" t="s">
        <v>174</v>
      </c>
      <c r="I271" s="60" t="s">
        <v>175</v>
      </c>
      <c r="J271" s="6" t="s">
        <v>176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177</v>
      </c>
      <c r="E273" s="60" t="s">
        <v>178</v>
      </c>
      <c r="F273" s="60" t="s">
        <v>179</v>
      </c>
      <c r="G273" s="61" t="s">
        <v>179</v>
      </c>
      <c r="H273" s="62" t="s">
        <v>180</v>
      </c>
      <c r="I273" s="60" t="s">
        <v>180</v>
      </c>
      <c r="J273" s="6"/>
    </row>
    <row r="274" customHeight="1" spans="1:10">
      <c r="A274" s="64" t="s">
        <v>251</v>
      </c>
      <c r="B274" s="64" t="s">
        <v>262</v>
      </c>
      <c r="C274" s="65" t="s">
        <v>193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204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205</v>
      </c>
      <c r="D276" s="65">
        <v>31</v>
      </c>
      <c r="E276" s="65">
        <v>24</v>
      </c>
      <c r="F276" s="65">
        <v>744</v>
      </c>
      <c r="G276" s="65">
        <v>742</v>
      </c>
      <c r="H276" s="66">
        <v>0.99</v>
      </c>
      <c r="I276" s="66">
        <v>1</v>
      </c>
      <c r="J276" s="65" t="s">
        <v>263</v>
      </c>
    </row>
    <row r="277" customHeight="1" spans="1:10">
      <c r="A277" s="65"/>
      <c r="B277" s="64" t="s">
        <v>268</v>
      </c>
      <c r="C277" s="65" t="s">
        <v>206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207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208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209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210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211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212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213</v>
      </c>
      <c r="D284" s="65">
        <v>31</v>
      </c>
      <c r="E284" s="65">
        <v>24</v>
      </c>
      <c r="F284" s="65">
        <v>744</v>
      </c>
      <c r="G284" s="65">
        <v>742</v>
      </c>
      <c r="H284" s="66">
        <v>0.99</v>
      </c>
      <c r="I284" s="66">
        <v>1</v>
      </c>
      <c r="J284" s="65" t="s">
        <v>269</v>
      </c>
    </row>
    <row r="285" customHeight="1" spans="1:10">
      <c r="A285" s="65"/>
      <c r="B285" s="65" t="s">
        <v>270</v>
      </c>
      <c r="C285" s="65" t="s">
        <v>183</v>
      </c>
      <c r="D285" s="65">
        <v>31</v>
      </c>
      <c r="E285" s="65">
        <v>24</v>
      </c>
      <c r="F285" s="65">
        <v>744</v>
      </c>
      <c r="G285" s="65">
        <v>47.2</v>
      </c>
      <c r="H285" s="66">
        <v>0.0634408602150538</v>
      </c>
      <c r="I285" s="66">
        <v>1</v>
      </c>
      <c r="J285" s="65"/>
    </row>
    <row r="286" customHeight="1" spans="1:10">
      <c r="A286" s="65"/>
      <c r="B286" s="65"/>
      <c r="C286" s="65" t="s">
        <v>184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189</v>
      </c>
      <c r="D287" s="65">
        <v>31</v>
      </c>
      <c r="E287" s="65">
        <v>24</v>
      </c>
      <c r="F287" s="65">
        <v>744</v>
      </c>
      <c r="G287" s="65">
        <v>46.5</v>
      </c>
      <c r="H287" s="66">
        <v>0.0625</v>
      </c>
      <c r="I287" s="66">
        <v>1</v>
      </c>
      <c r="J287" s="65"/>
    </row>
    <row r="288" customHeight="1" spans="1:10">
      <c r="A288" s="65"/>
      <c r="B288" s="65" t="s">
        <v>271</v>
      </c>
      <c r="C288" s="65" t="s">
        <v>183</v>
      </c>
      <c r="D288" s="65">
        <v>31</v>
      </c>
      <c r="E288" s="65">
        <v>24</v>
      </c>
      <c r="F288" s="65">
        <v>744</v>
      </c>
      <c r="G288" s="65">
        <v>36.3</v>
      </c>
      <c r="H288" s="66">
        <v>0.0487903225806452</v>
      </c>
      <c r="I288" s="66">
        <v>1</v>
      </c>
      <c r="J288" s="65"/>
    </row>
    <row r="289" customHeight="1" spans="1:10">
      <c r="A289" s="65"/>
      <c r="B289" s="65"/>
      <c r="C289" s="65" t="s">
        <v>184</v>
      </c>
      <c r="D289" s="65">
        <v>31</v>
      </c>
      <c r="E289" s="65">
        <v>24</v>
      </c>
      <c r="F289" s="65">
        <v>744</v>
      </c>
      <c r="G289" s="65">
        <v>34.4</v>
      </c>
      <c r="H289" s="66">
        <v>0.0462365591397849</v>
      </c>
      <c r="I289" s="66">
        <v>1</v>
      </c>
      <c r="J289" s="65"/>
    </row>
    <row r="290" customHeight="1" spans="1:10">
      <c r="A290" s="65"/>
      <c r="B290" s="65"/>
      <c r="C290" s="65" t="s">
        <v>189</v>
      </c>
      <c r="D290" s="65">
        <v>31</v>
      </c>
      <c r="E290" s="65">
        <v>24</v>
      </c>
      <c r="F290" s="65">
        <v>744</v>
      </c>
      <c r="G290" s="65">
        <v>35.1</v>
      </c>
      <c r="H290" s="66">
        <v>0.0471774193548387</v>
      </c>
      <c r="I290" s="66">
        <v>1</v>
      </c>
      <c r="J290" s="65"/>
    </row>
    <row r="291" ht="17" customHeight="1" spans="1:10">
      <c r="A291" s="64" t="s">
        <v>272</v>
      </c>
      <c r="B291" s="80" t="s">
        <v>273</v>
      </c>
      <c r="C291" s="65" t="s">
        <v>183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2"/>
      <c r="C292" s="65" t="s">
        <v>184</v>
      </c>
      <c r="D292" s="65">
        <v>31</v>
      </c>
      <c r="E292" s="65">
        <v>24</v>
      </c>
      <c r="F292" s="65">
        <v>744</v>
      </c>
      <c r="G292" s="65">
        <v>626</v>
      </c>
      <c r="H292" s="66">
        <v>0.841397849462366</v>
      </c>
      <c r="I292" s="66">
        <v>1</v>
      </c>
      <c r="J292" s="65"/>
    </row>
    <row r="293" customHeight="1" spans="1:10">
      <c r="A293" s="65"/>
      <c r="B293" s="82"/>
      <c r="C293" s="65" t="s">
        <v>189</v>
      </c>
      <c r="D293" s="65">
        <v>31</v>
      </c>
      <c r="E293" s="65">
        <v>24</v>
      </c>
      <c r="F293" s="65">
        <v>744</v>
      </c>
      <c r="G293" s="65">
        <v>730</v>
      </c>
      <c r="H293" s="66">
        <v>0.981182795698925</v>
      </c>
      <c r="I293" s="66">
        <v>1</v>
      </c>
      <c r="J293" s="65"/>
    </row>
    <row r="294" customHeight="1" spans="1:10">
      <c r="A294" s="65"/>
      <c r="B294" s="82"/>
      <c r="C294" s="65" t="s">
        <v>190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/>
    </row>
    <row r="295" customHeight="1" spans="1:10">
      <c r="A295" s="65"/>
      <c r="B295" s="82"/>
      <c r="C295" s="65" t="s">
        <v>191</v>
      </c>
      <c r="D295" s="65">
        <v>31</v>
      </c>
      <c r="E295" s="65">
        <v>24</v>
      </c>
      <c r="F295" s="65">
        <v>744</v>
      </c>
      <c r="G295" s="65">
        <v>744</v>
      </c>
      <c r="H295" s="66">
        <v>1</v>
      </c>
      <c r="I295" s="66">
        <v>1</v>
      </c>
      <c r="J295" s="65"/>
    </row>
    <row r="296" customHeight="1" spans="1:10">
      <c r="A296" s="65"/>
      <c r="B296" s="82"/>
      <c r="C296" s="65" t="s">
        <v>193</v>
      </c>
      <c r="D296" s="65">
        <v>31</v>
      </c>
      <c r="E296" s="65">
        <v>24</v>
      </c>
      <c r="F296" s="65">
        <v>744</v>
      </c>
      <c r="G296" s="65">
        <v>168</v>
      </c>
      <c r="H296" s="66">
        <v>0.225806451612903</v>
      </c>
      <c r="I296" s="66">
        <v>1</v>
      </c>
      <c r="J296" s="65" t="s">
        <v>274</v>
      </c>
    </row>
    <row r="297" customHeight="1" spans="1:10">
      <c r="A297" s="65"/>
      <c r="B297" s="82"/>
      <c r="C297" s="65" t="s">
        <v>204</v>
      </c>
      <c r="D297" s="65">
        <v>31</v>
      </c>
      <c r="E297" s="65">
        <v>24</v>
      </c>
      <c r="F297" s="65">
        <v>744</v>
      </c>
      <c r="G297" s="65">
        <v>160</v>
      </c>
      <c r="H297" s="66">
        <v>0.21505376344086</v>
      </c>
      <c r="I297" s="66">
        <v>1</v>
      </c>
      <c r="J297" s="65"/>
    </row>
    <row r="298" customHeight="1" spans="1:10">
      <c r="A298" s="65"/>
      <c r="B298" s="84"/>
      <c r="C298" s="65" t="s">
        <v>205</v>
      </c>
      <c r="D298" s="65">
        <v>31</v>
      </c>
      <c r="E298" s="65">
        <v>24</v>
      </c>
      <c r="F298" s="65">
        <v>744</v>
      </c>
      <c r="G298" s="65">
        <v>142</v>
      </c>
      <c r="H298" s="66">
        <v>0.190860215053763</v>
      </c>
      <c r="I298" s="66">
        <v>1</v>
      </c>
      <c r="J298" s="65"/>
    </row>
    <row r="299" customHeight="1" spans="1:10">
      <c r="A299" s="65"/>
      <c r="B299" s="80" t="s">
        <v>275</v>
      </c>
      <c r="C299" s="65" t="s">
        <v>206</v>
      </c>
      <c r="D299" s="65">
        <v>31</v>
      </c>
      <c r="E299" s="65">
        <v>24</v>
      </c>
      <c r="F299" s="65">
        <v>744</v>
      </c>
      <c r="G299" s="65">
        <v>624</v>
      </c>
      <c r="H299" s="66">
        <v>0.838709677419355</v>
      </c>
      <c r="I299" s="66">
        <v>1</v>
      </c>
      <c r="J299" s="65" t="s">
        <v>274</v>
      </c>
    </row>
    <row r="300" customHeight="1" spans="1:10">
      <c r="A300" s="65"/>
      <c r="B300" s="82"/>
      <c r="C300" s="65" t="s">
        <v>207</v>
      </c>
      <c r="D300" s="65">
        <v>31</v>
      </c>
      <c r="E300" s="65">
        <v>24</v>
      </c>
      <c r="F300" s="65">
        <v>744</v>
      </c>
      <c r="G300" s="65">
        <v>150</v>
      </c>
      <c r="H300" s="66">
        <v>0.201612903225806</v>
      </c>
      <c r="I300" s="66">
        <v>1</v>
      </c>
      <c r="J300" s="65"/>
    </row>
    <row r="301" customHeight="1" spans="1:10">
      <c r="A301" s="65"/>
      <c r="B301" s="82"/>
      <c r="C301" s="65" t="s">
        <v>208</v>
      </c>
      <c r="D301" s="65">
        <v>31</v>
      </c>
      <c r="E301" s="65">
        <v>24</v>
      </c>
      <c r="F301" s="65">
        <v>744</v>
      </c>
      <c r="G301" s="65">
        <v>302</v>
      </c>
      <c r="H301" s="66">
        <v>0.405913978494624</v>
      </c>
      <c r="I301" s="66">
        <v>1</v>
      </c>
      <c r="J301" s="65" t="s">
        <v>274</v>
      </c>
    </row>
    <row r="302" customHeight="1" spans="1:10">
      <c r="A302" s="65"/>
      <c r="B302" s="82"/>
      <c r="C302" s="65" t="s">
        <v>209</v>
      </c>
      <c r="D302" s="65">
        <v>31</v>
      </c>
      <c r="E302" s="65">
        <v>24</v>
      </c>
      <c r="F302" s="65">
        <v>744</v>
      </c>
      <c r="G302" s="65">
        <v>740</v>
      </c>
      <c r="H302" s="66">
        <v>0.994623655913978</v>
      </c>
      <c r="I302" s="66">
        <v>1</v>
      </c>
      <c r="J302" s="65"/>
    </row>
    <row r="303" customHeight="1" spans="1:10">
      <c r="A303" s="65"/>
      <c r="B303" s="5" t="s">
        <v>276</v>
      </c>
      <c r="C303" s="65" t="s">
        <v>183</v>
      </c>
      <c r="D303" s="65">
        <v>31</v>
      </c>
      <c r="E303" s="65">
        <v>24</v>
      </c>
      <c r="F303" s="65">
        <v>744</v>
      </c>
      <c r="G303" s="65">
        <v>0</v>
      </c>
      <c r="H303" s="66">
        <v>0</v>
      </c>
      <c r="I303" s="66">
        <v>1</v>
      </c>
      <c r="J303" s="65"/>
    </row>
    <row r="304" customHeight="1" spans="1:10">
      <c r="A304" s="65"/>
      <c r="B304" s="5"/>
      <c r="C304" s="65" t="s">
        <v>184</v>
      </c>
      <c r="D304" s="65">
        <v>31</v>
      </c>
      <c r="E304" s="65">
        <v>24</v>
      </c>
      <c r="F304" s="65">
        <v>744</v>
      </c>
      <c r="G304" s="65">
        <v>744</v>
      </c>
      <c r="H304" s="66">
        <v>1</v>
      </c>
      <c r="I304" s="66">
        <v>1</v>
      </c>
      <c r="J304" s="65"/>
    </row>
    <row r="305" customHeight="1" spans="1:10">
      <c r="A305" s="65"/>
      <c r="B305" s="5"/>
      <c r="C305" s="65" t="s">
        <v>189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277</v>
      </c>
      <c r="B306" s="65" t="s">
        <v>278</v>
      </c>
      <c r="C306" s="65" t="s">
        <v>183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184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279</v>
      </c>
      <c r="C308" s="65" t="s">
        <v>183</v>
      </c>
      <c r="D308" s="65">
        <v>31</v>
      </c>
      <c r="E308" s="65">
        <v>24</v>
      </c>
      <c r="F308" s="65">
        <v>744</v>
      </c>
      <c r="G308" s="65">
        <v>80</v>
      </c>
      <c r="H308" s="66">
        <v>0.10752688172043</v>
      </c>
      <c r="I308" s="66">
        <v>0.94</v>
      </c>
      <c r="J308" s="65" t="s">
        <v>280</v>
      </c>
    </row>
    <row r="309" customHeight="1" spans="1:10">
      <c r="A309" s="65"/>
      <c r="B309" s="65"/>
      <c r="C309" s="65" t="s">
        <v>184</v>
      </c>
      <c r="D309" s="65">
        <v>31</v>
      </c>
      <c r="E309" s="65">
        <v>24</v>
      </c>
      <c r="F309" s="65">
        <v>744</v>
      </c>
      <c r="G309" s="65">
        <v>394</v>
      </c>
      <c r="H309" s="66">
        <v>0.529569892473118</v>
      </c>
      <c r="I309" s="66">
        <v>1</v>
      </c>
      <c r="J309" s="65"/>
    </row>
    <row r="310" customHeight="1" spans="1:10">
      <c r="A310" s="65"/>
      <c r="B310" s="65"/>
      <c r="C310" s="65" t="s">
        <v>189</v>
      </c>
      <c r="D310" s="65">
        <v>31</v>
      </c>
      <c r="E310" s="65">
        <v>24</v>
      </c>
      <c r="F310" s="65">
        <v>744</v>
      </c>
      <c r="G310" s="65">
        <v>424</v>
      </c>
      <c r="H310" s="66">
        <v>0.56989247311828</v>
      </c>
      <c r="I310" s="66">
        <v>1</v>
      </c>
      <c r="J310" s="65"/>
    </row>
    <row r="311" ht="18" customHeight="1" spans="1:10">
      <c r="A311" s="65"/>
      <c r="B311" s="65" t="s">
        <v>281</v>
      </c>
      <c r="C311" s="65" t="s">
        <v>183</v>
      </c>
      <c r="D311" s="65">
        <v>31</v>
      </c>
      <c r="E311" s="65">
        <v>24</v>
      </c>
      <c r="F311" s="65">
        <v>744</v>
      </c>
      <c r="G311" s="65">
        <v>162</v>
      </c>
      <c r="H311" s="66">
        <v>0.217741935483871</v>
      </c>
      <c r="I311" s="66">
        <v>0.94</v>
      </c>
      <c r="J311" s="64" t="s">
        <v>282</v>
      </c>
    </row>
    <row r="312" ht="28" customHeight="1" spans="1:10">
      <c r="A312" s="65"/>
      <c r="B312" s="65"/>
      <c r="C312" s="65" t="s">
        <v>184</v>
      </c>
      <c r="D312" s="65">
        <v>31</v>
      </c>
      <c r="E312" s="65">
        <v>24</v>
      </c>
      <c r="F312" s="65">
        <v>744</v>
      </c>
      <c r="G312" s="65">
        <v>736</v>
      </c>
      <c r="H312" s="66">
        <v>0.989247311827957</v>
      </c>
      <c r="I312" s="66">
        <v>1</v>
      </c>
      <c r="J312" s="64" t="s">
        <v>283</v>
      </c>
    </row>
    <row r="313" ht="24" customHeight="1" spans="1:10">
      <c r="A313" s="67" t="s">
        <v>70</v>
      </c>
      <c r="B313" s="67"/>
      <c r="C313" s="15"/>
      <c r="D313" s="15"/>
      <c r="E313" s="68" t="s">
        <v>71</v>
      </c>
      <c r="F313" s="68"/>
      <c r="G313" s="69"/>
      <c r="H313" s="10" t="str">
        <f>H38</f>
        <v>制表时间：2023/4/6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0" workbookViewId="0">
      <selection activeCell="I29" sqref="I2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75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44986</v>
      </c>
      <c r="E2" s="33"/>
      <c r="F2" s="31"/>
    </row>
    <row r="3" ht="20.25" customHeight="1" spans="1:7">
      <c r="A3" s="34" t="s">
        <v>284</v>
      </c>
      <c r="B3" s="34" t="s">
        <v>169</v>
      </c>
      <c r="C3" s="34" t="s">
        <v>285</v>
      </c>
      <c r="D3" s="34" t="s">
        <v>286</v>
      </c>
      <c r="E3" s="34" t="s">
        <v>287</v>
      </c>
      <c r="F3" s="34" t="s">
        <v>288</v>
      </c>
      <c r="G3" s="35" t="s">
        <v>130</v>
      </c>
    </row>
    <row r="4" ht="22.5" spans="1:8">
      <c r="A4" s="36" t="s">
        <v>289</v>
      </c>
      <c r="B4" s="37" t="s">
        <v>290</v>
      </c>
      <c r="C4" s="37" t="s">
        <v>291</v>
      </c>
      <c r="D4" s="34" t="s">
        <v>292</v>
      </c>
      <c r="E4" s="34" t="s">
        <v>293</v>
      </c>
      <c r="F4" s="38" t="s">
        <v>294</v>
      </c>
      <c r="G4" s="39" t="s">
        <v>295</v>
      </c>
      <c r="H4" s="40"/>
    </row>
    <row r="5" ht="22.5" spans="1:7">
      <c r="A5" s="41"/>
      <c r="B5" s="37" t="s">
        <v>296</v>
      </c>
      <c r="C5" s="37" t="s">
        <v>291</v>
      </c>
      <c r="D5" s="34" t="s">
        <v>292</v>
      </c>
      <c r="E5" s="34" t="s">
        <v>293</v>
      </c>
      <c r="F5" s="34" t="s">
        <v>294</v>
      </c>
      <c r="G5" s="39" t="str">
        <f>G4</f>
        <v>2023-03-02 2023-03-09 2023-03-16 2023-03-30</v>
      </c>
    </row>
    <row r="6" ht="22.5" spans="1:7">
      <c r="A6" s="41"/>
      <c r="B6" s="37" t="s">
        <v>297</v>
      </c>
      <c r="C6" s="37" t="s">
        <v>291</v>
      </c>
      <c r="D6" s="34" t="s">
        <v>292</v>
      </c>
      <c r="E6" s="34" t="s">
        <v>293</v>
      </c>
      <c r="F6" s="34" t="s">
        <v>294</v>
      </c>
      <c r="G6" s="39" t="str">
        <f t="shared" ref="G6:G20" si="0">G5</f>
        <v>2023-03-02 2023-03-09 2023-03-16 2023-03-30</v>
      </c>
    </row>
    <row r="7" ht="22.5" spans="1:7">
      <c r="A7" s="42"/>
      <c r="B7" s="37" t="s">
        <v>298</v>
      </c>
      <c r="C7" s="37" t="s">
        <v>291</v>
      </c>
      <c r="D7" s="34" t="s">
        <v>292</v>
      </c>
      <c r="E7" s="34" t="s">
        <v>293</v>
      </c>
      <c r="F7" s="34" t="s">
        <v>294</v>
      </c>
      <c r="G7" s="39" t="str">
        <f t="shared" si="0"/>
        <v>2023-03-02 2023-03-09 2023-03-16 2023-03-30</v>
      </c>
    </row>
    <row r="8" ht="22.5" spans="1:7">
      <c r="A8" s="36" t="s">
        <v>299</v>
      </c>
      <c r="B8" s="37" t="s">
        <v>290</v>
      </c>
      <c r="C8" s="37" t="s">
        <v>300</v>
      </c>
      <c r="D8" s="34" t="s">
        <v>292</v>
      </c>
      <c r="E8" s="34" t="s">
        <v>293</v>
      </c>
      <c r="F8" s="34" t="s">
        <v>294</v>
      </c>
      <c r="G8" s="39" t="str">
        <f t="shared" si="0"/>
        <v>2023-03-02 2023-03-09 2023-03-16 2023-03-30</v>
      </c>
    </row>
    <row r="9" ht="22.5" spans="1:7">
      <c r="A9" s="41"/>
      <c r="B9" s="37" t="s">
        <v>296</v>
      </c>
      <c r="C9" s="37" t="s">
        <v>300</v>
      </c>
      <c r="D9" s="34" t="s">
        <v>292</v>
      </c>
      <c r="E9" s="34" t="s">
        <v>293</v>
      </c>
      <c r="F9" s="34" t="s">
        <v>294</v>
      </c>
      <c r="G9" s="39" t="str">
        <f t="shared" si="0"/>
        <v>2023-03-02 2023-03-09 2023-03-16 2023-03-30</v>
      </c>
    </row>
    <row r="10" ht="22.5" spans="1:7">
      <c r="A10" s="41"/>
      <c r="B10" s="37" t="s">
        <v>297</v>
      </c>
      <c r="C10" s="37" t="s">
        <v>300</v>
      </c>
      <c r="D10" s="34" t="s">
        <v>292</v>
      </c>
      <c r="E10" s="34" t="s">
        <v>293</v>
      </c>
      <c r="F10" s="34" t="s">
        <v>294</v>
      </c>
      <c r="G10" s="39" t="str">
        <f t="shared" si="0"/>
        <v>2023-03-02 2023-03-09 2023-03-16 2023-03-30</v>
      </c>
    </row>
    <row r="11" ht="22.5" spans="1:7">
      <c r="A11" s="42"/>
      <c r="B11" s="37" t="s">
        <v>298</v>
      </c>
      <c r="C11" s="37" t="s">
        <v>300</v>
      </c>
      <c r="D11" s="34" t="s">
        <v>292</v>
      </c>
      <c r="E11" s="34" t="s">
        <v>293</v>
      </c>
      <c r="F11" s="34" t="s">
        <v>294</v>
      </c>
      <c r="G11" s="39" t="str">
        <f t="shared" si="0"/>
        <v>2023-03-02 2023-03-09 2023-03-16 2023-03-30</v>
      </c>
    </row>
    <row r="12" ht="24" customHeight="1" spans="1:7">
      <c r="A12" s="37" t="s">
        <v>301</v>
      </c>
      <c r="B12" s="37" t="s">
        <v>183</v>
      </c>
      <c r="C12" s="34" t="s">
        <v>302</v>
      </c>
      <c r="D12" s="34" t="s">
        <v>303</v>
      </c>
      <c r="E12" s="34" t="s">
        <v>293</v>
      </c>
      <c r="F12" s="34" t="s">
        <v>304</v>
      </c>
      <c r="G12" s="39" t="str">
        <f t="shared" si="0"/>
        <v>2023-03-02 2023-03-09 2023-03-16 2023-03-30</v>
      </c>
    </row>
    <row r="13" ht="22.5" spans="1:7">
      <c r="A13" s="36" t="s">
        <v>305</v>
      </c>
      <c r="B13" s="37" t="s">
        <v>290</v>
      </c>
      <c r="C13" s="34" t="s">
        <v>306</v>
      </c>
      <c r="D13" s="34" t="s">
        <v>307</v>
      </c>
      <c r="E13" s="34" t="s">
        <v>293</v>
      </c>
      <c r="F13" s="34" t="s">
        <v>294</v>
      </c>
      <c r="G13" s="39" t="str">
        <f t="shared" si="0"/>
        <v>2023-03-02 2023-03-09 2023-03-16 2023-03-30</v>
      </c>
    </row>
    <row r="14" ht="22.5" spans="1:7">
      <c r="A14" s="41"/>
      <c r="B14" s="37" t="s">
        <v>296</v>
      </c>
      <c r="C14" s="34" t="s">
        <v>306</v>
      </c>
      <c r="D14" s="34" t="s">
        <v>307</v>
      </c>
      <c r="E14" s="34" t="s">
        <v>293</v>
      </c>
      <c r="F14" s="34" t="s">
        <v>294</v>
      </c>
      <c r="G14" s="39" t="str">
        <f t="shared" si="0"/>
        <v>2023-03-02 2023-03-09 2023-03-16 2023-03-30</v>
      </c>
    </row>
    <row r="15" ht="22.5" spans="1:7">
      <c r="A15" s="41"/>
      <c r="B15" s="37" t="s">
        <v>297</v>
      </c>
      <c r="C15" s="34" t="s">
        <v>306</v>
      </c>
      <c r="D15" s="34" t="s">
        <v>307</v>
      </c>
      <c r="E15" s="34" t="s">
        <v>293</v>
      </c>
      <c r="F15" s="34" t="s">
        <v>294</v>
      </c>
      <c r="G15" s="39" t="str">
        <f t="shared" si="0"/>
        <v>2023-03-02 2023-03-09 2023-03-16 2023-03-30</v>
      </c>
    </row>
    <row r="16" ht="22.5" spans="1:7">
      <c r="A16" s="42"/>
      <c r="B16" s="37" t="s">
        <v>298</v>
      </c>
      <c r="C16" s="34" t="s">
        <v>306</v>
      </c>
      <c r="D16" s="34" t="s">
        <v>307</v>
      </c>
      <c r="E16" s="34" t="s">
        <v>293</v>
      </c>
      <c r="F16" s="34" t="s">
        <v>294</v>
      </c>
      <c r="G16" s="39" t="str">
        <f t="shared" si="0"/>
        <v>2023-03-02 2023-03-09 2023-03-16 2023-03-30</v>
      </c>
    </row>
    <row r="17" ht="22.5" spans="1:7">
      <c r="A17" s="34" t="s">
        <v>308</v>
      </c>
      <c r="B17" s="37" t="s">
        <v>290</v>
      </c>
      <c r="C17" s="34" t="s">
        <v>309</v>
      </c>
      <c r="D17" s="34" t="s">
        <v>307</v>
      </c>
      <c r="E17" s="34" t="s">
        <v>293</v>
      </c>
      <c r="F17" s="34" t="s">
        <v>294</v>
      </c>
      <c r="G17" s="39" t="str">
        <f t="shared" si="0"/>
        <v>2023-03-02 2023-03-09 2023-03-16 2023-03-30</v>
      </c>
    </row>
    <row r="18" ht="22.5" spans="1:7">
      <c r="A18" s="34"/>
      <c r="B18" s="37" t="s">
        <v>296</v>
      </c>
      <c r="C18" s="37" t="s">
        <v>300</v>
      </c>
      <c r="D18" s="34" t="s">
        <v>307</v>
      </c>
      <c r="E18" s="34" t="s">
        <v>293</v>
      </c>
      <c r="F18" s="34" t="s">
        <v>294</v>
      </c>
      <c r="G18" s="39" t="str">
        <f t="shared" si="0"/>
        <v>2023-03-02 2023-03-09 2023-03-16 2023-03-30</v>
      </c>
    </row>
    <row r="19" ht="22.5" spans="1:7">
      <c r="A19" s="34"/>
      <c r="B19" s="37" t="s">
        <v>297</v>
      </c>
      <c r="C19" s="34" t="s">
        <v>309</v>
      </c>
      <c r="D19" s="34" t="s">
        <v>307</v>
      </c>
      <c r="E19" s="34" t="s">
        <v>293</v>
      </c>
      <c r="F19" s="34" t="s">
        <v>294</v>
      </c>
      <c r="G19" s="39" t="str">
        <f t="shared" si="0"/>
        <v>2023-03-02 2023-03-09 2023-03-16 2023-03-30</v>
      </c>
    </row>
    <row r="20" ht="22.5" spans="1:7">
      <c r="A20" s="34"/>
      <c r="B20" s="37" t="s">
        <v>298</v>
      </c>
      <c r="C20" s="37" t="s">
        <v>300</v>
      </c>
      <c r="D20" s="34" t="s">
        <v>307</v>
      </c>
      <c r="E20" s="34" t="s">
        <v>293</v>
      </c>
      <c r="F20" s="34" t="s">
        <v>294</v>
      </c>
      <c r="G20" s="39" t="str">
        <f t="shared" si="0"/>
        <v>2023-03-02 2023-03-09 2023-03-16 2023-03-30</v>
      </c>
    </row>
    <row r="21" ht="20.25" customHeight="1" spans="1:7">
      <c r="A21" s="43" t="s">
        <v>70</v>
      </c>
      <c r="B21" s="43"/>
      <c r="C21" s="43"/>
      <c r="D21" s="43" t="s">
        <v>71</v>
      </c>
      <c r="E21" s="43"/>
      <c r="F21" s="43" t="s">
        <v>310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75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44986</v>
      </c>
      <c r="E26" s="50"/>
      <c r="F26" s="31"/>
    </row>
    <row r="27" ht="18.75" customHeight="1" spans="1:7">
      <c r="A27" s="34" t="s">
        <v>284</v>
      </c>
      <c r="B27" s="34" t="s">
        <v>169</v>
      </c>
      <c r="C27" s="34" t="s">
        <v>285</v>
      </c>
      <c r="D27" s="34" t="s">
        <v>286</v>
      </c>
      <c r="E27" s="34" t="s">
        <v>287</v>
      </c>
      <c r="F27" s="34" t="s">
        <v>288</v>
      </c>
      <c r="G27" s="34" t="s">
        <v>130</v>
      </c>
    </row>
    <row r="28" ht="19.5" customHeight="1" spans="1:7">
      <c r="A28" s="34" t="s">
        <v>311</v>
      </c>
      <c r="B28" s="51" t="s">
        <v>290</v>
      </c>
      <c r="C28" s="51" t="s">
        <v>300</v>
      </c>
      <c r="D28" s="34" t="s">
        <v>292</v>
      </c>
      <c r="E28" s="37" t="s">
        <v>293</v>
      </c>
      <c r="F28" s="34" t="s">
        <v>304</v>
      </c>
      <c r="G28" s="52">
        <v>44995</v>
      </c>
    </row>
    <row r="29" ht="19.5" customHeight="1" spans="1:7">
      <c r="A29" s="34"/>
      <c r="B29" s="51" t="s">
        <v>298</v>
      </c>
      <c r="C29" s="51" t="s">
        <v>300</v>
      </c>
      <c r="D29" s="34" t="s">
        <v>292</v>
      </c>
      <c r="E29" s="37" t="s">
        <v>293</v>
      </c>
      <c r="F29" s="34" t="s">
        <v>304</v>
      </c>
      <c r="G29" s="52">
        <f>G28</f>
        <v>44995</v>
      </c>
    </row>
    <row r="30" ht="19.5" customHeight="1" spans="1:7">
      <c r="A30" s="34" t="s">
        <v>312</v>
      </c>
      <c r="B30" s="51" t="s">
        <v>290</v>
      </c>
      <c r="C30" s="37" t="s">
        <v>302</v>
      </c>
      <c r="D30" s="34" t="s">
        <v>307</v>
      </c>
      <c r="E30" s="37" t="s">
        <v>293</v>
      </c>
      <c r="F30" s="34" t="s">
        <v>304</v>
      </c>
      <c r="G30" s="52">
        <f>G29</f>
        <v>44995</v>
      </c>
    </row>
    <row r="31" ht="19.5" customHeight="1" spans="1:7">
      <c r="A31" s="34"/>
      <c r="B31" s="51" t="s">
        <v>298</v>
      </c>
      <c r="C31" s="37" t="s">
        <v>302</v>
      </c>
      <c r="D31" s="34" t="s">
        <v>307</v>
      </c>
      <c r="E31" s="37" t="s">
        <v>293</v>
      </c>
      <c r="F31" s="34" t="s">
        <v>304</v>
      </c>
      <c r="G31" s="52">
        <f>G30</f>
        <v>44995</v>
      </c>
    </row>
    <row r="32" ht="20.25" customHeight="1" spans="1:7">
      <c r="A32" s="43" t="s">
        <v>70</v>
      </c>
      <c r="B32" s="43"/>
      <c r="C32" s="43"/>
      <c r="D32" s="43" t="s">
        <v>71</v>
      </c>
      <c r="E32" s="43"/>
      <c r="F32" s="43" t="str">
        <f>F21</f>
        <v>制表日期：2023/4/4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O11" sqref="O11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313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314</v>
      </c>
      <c r="B3" s="5"/>
      <c r="C3" s="5"/>
      <c r="D3" s="5"/>
      <c r="E3" s="5" t="s">
        <v>315</v>
      </c>
      <c r="F3" s="5"/>
      <c r="G3" s="5"/>
      <c r="H3" s="5"/>
      <c r="I3" s="3"/>
    </row>
    <row r="4" customHeight="1" spans="1:9">
      <c r="A4" s="5" t="s">
        <v>316</v>
      </c>
      <c r="B4" s="5"/>
      <c r="C4" s="5"/>
      <c r="D4" s="5"/>
      <c r="E4" s="5" t="s">
        <v>317</v>
      </c>
      <c r="F4" s="5"/>
      <c r="G4" s="5" t="s">
        <v>318</v>
      </c>
      <c r="H4" s="5"/>
      <c r="I4" s="25"/>
    </row>
    <row r="5" customHeight="1" spans="1:8">
      <c r="A5" s="5" t="s">
        <v>319</v>
      </c>
      <c r="B5" s="5" t="s">
        <v>320</v>
      </c>
      <c r="C5" s="5" t="s">
        <v>321</v>
      </c>
      <c r="D5" s="5" t="s">
        <v>322</v>
      </c>
      <c r="E5" s="5" t="s">
        <v>319</v>
      </c>
      <c r="F5" s="5" t="s">
        <v>320</v>
      </c>
      <c r="G5" s="5" t="s">
        <v>319</v>
      </c>
      <c r="H5" s="5" t="s">
        <v>322</v>
      </c>
    </row>
    <row r="6" customHeight="1" spans="1:15">
      <c r="A6" s="6" t="s">
        <v>323</v>
      </c>
      <c r="B6" s="7">
        <v>2.51</v>
      </c>
      <c r="C6" s="7">
        <v>10.5</v>
      </c>
      <c r="D6" s="7">
        <v>5.68</v>
      </c>
      <c r="E6" s="6" t="s">
        <v>323</v>
      </c>
      <c r="F6" s="7">
        <v>8.35</v>
      </c>
      <c r="G6" s="6" t="s">
        <v>323</v>
      </c>
      <c r="H6" s="7">
        <v>3.03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324</v>
      </c>
      <c r="B7" s="7">
        <v>4.16</v>
      </c>
      <c r="C7" s="7">
        <v>4.81</v>
      </c>
      <c r="D7" s="7">
        <v>4.19</v>
      </c>
      <c r="E7" s="6" t="s">
        <v>324</v>
      </c>
      <c r="F7" s="7">
        <v>6.24</v>
      </c>
      <c r="G7" s="6" t="s">
        <v>325</v>
      </c>
      <c r="H7" s="7">
        <v>3.19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325</v>
      </c>
      <c r="B8" s="7">
        <v>7.18</v>
      </c>
      <c r="C8" s="7">
        <v>3.33</v>
      </c>
      <c r="D8" s="7">
        <v>2.02</v>
      </c>
      <c r="E8" s="6" t="s">
        <v>325</v>
      </c>
      <c r="F8" s="7">
        <v>3.08</v>
      </c>
      <c r="G8" s="6" t="s">
        <v>326</v>
      </c>
      <c r="H8" s="7">
        <v>4.19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326</v>
      </c>
      <c r="B9" s="7">
        <v>8.38</v>
      </c>
      <c r="C9" s="7">
        <v>1.61</v>
      </c>
      <c r="D9" s="7">
        <v>1.15</v>
      </c>
      <c r="E9" s="6" t="s">
        <v>327</v>
      </c>
      <c r="F9" s="7">
        <v>2.88</v>
      </c>
      <c r="G9" s="6" t="s">
        <v>328</v>
      </c>
      <c r="H9" s="7">
        <v>5.33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329</v>
      </c>
      <c r="B10" s="9">
        <v>6424</v>
      </c>
      <c r="C10" s="10"/>
      <c r="D10" s="11"/>
      <c r="E10" s="6" t="s">
        <v>326</v>
      </c>
      <c r="F10" s="7">
        <v>2.06</v>
      </c>
      <c r="G10" s="5" t="s">
        <v>329</v>
      </c>
      <c r="H10" s="12">
        <v>5246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328</v>
      </c>
      <c r="F11" s="7">
        <v>1.08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329</v>
      </c>
      <c r="F12" s="5">
        <v>5862</v>
      </c>
      <c r="G12" s="5"/>
      <c r="H12" s="22"/>
      <c r="M12" s="26"/>
    </row>
    <row r="13" s="1" customFormat="1" customHeight="1" spans="1:14">
      <c r="A13" s="23" t="s">
        <v>70</v>
      </c>
      <c r="B13" s="23"/>
      <c r="C13" s="23"/>
      <c r="D13" s="23" t="s">
        <v>71</v>
      </c>
      <c r="E13" s="24"/>
      <c r="F13" s="24"/>
      <c r="G13" s="23" t="s">
        <v>310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2023-04-07T06:22:17Z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AC0587F76FD54565A1D1EFF08F6CA2B5</vt:lpwstr>
  </property>
</Properties>
</file>