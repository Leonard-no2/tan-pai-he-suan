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处理量!$A$1:$R$35</definedName>
    <definedName name="_xlnm.Print_Area" localSheetId="1">汇总!$A$1:$M$21</definedName>
    <definedName name="_xlnm.Print_Area" localSheetId="2">进出水!$A$1:$U$36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<sst xmlns="http://schemas.openxmlformats.org/spreadsheetml/2006/main" count="930" uniqueCount="321">
  <si>
    <t>常州市深水江边污水处理有限公司污水处理运行月报表</t>
  </si>
  <si>
    <t>2023年 2月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</si>
  <si>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</si>
  <si>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</si>
  <si>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</si>
  <si>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</si>
  <si>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</si>
  <si>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</si>
  <si>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</si>
  <si>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</si>
  <si>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</si>
  <si>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</si>
  <si>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</si>
  <si>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</si>
  <si>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</si>
  <si>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</si>
  <si>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</si>
  <si>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</si>
  <si>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</si>
  <si>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</si>
  <si>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</si>
  <si>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</si>
  <si>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</si>
  <si>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</si>
  <si>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</si>
  <si>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</si>
  <si>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</si>
  <si>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</si>
  <si>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</si>
  <si>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</si>
  <si>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</si>
  <si>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</si>
  <si>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</si>
  <si>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</si>
  <si>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</si>
  <si>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</si>
  <si>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</si>
  <si>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</si>
  <si>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</si>
  <si>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</si>
  <si>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</si>
  <si>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</si>
  <si>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</si>
  <si>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</si>
  <si>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阴</t>
  </si>
  <si>
    <t>聚丙烯酰阴离子</t>
  </si>
  <si>
    <t>工业盐酸</t>
  </si>
  <si>
    <t>工业氯酸钠</t>
  </si>
  <si>
    <t>混凝药剂</t>
  </si>
  <si>
    <t>雨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</si>
  <si>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</si>
  <si>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</si>
  <si>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</si>
  <si>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</si>
  <si>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</si>
  <si>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</si>
  <si>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</si>
  <si>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</si>
  <si>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</si>
  <si>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</si>
  <si>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</si>
  <si>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</si>
  <si>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</si>
  <si>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</si>
  <si>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</si>
  <si>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</si>
  <si>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</si>
  <si>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</si>
  <si>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</si>
  <si>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</si>
  <si>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</si>
  <si>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</si>
  <si>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</si>
  <si>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</si>
  <si>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</si>
  <si>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</si>
  <si>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</si>
  <si>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</si>
  <si>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</si>
  <si>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</si>
  <si>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</si>
  <si>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</si>
  <si>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</si>
  <si>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</si>
  <si>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</si>
  <si>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</si>
  <si>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</si>
  <si>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</si>
  <si>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</si>
  <si>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</si>
  <si>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</si>
  <si>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</si>
  <si>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</si>
  <si>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</si>
  <si>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</si>
  <si>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</si>
  <si>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</si>
  <si>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</si>
  <si>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</si>
  <si>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</si>
  <si>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</si>
  <si>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</si>
  <si>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</si>
  <si>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</si>
  <si>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</si>
  <si>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</si>
  <si>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</si>
  <si>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</si>
  <si>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</si>
  <si>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</si>
  <si>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</si>
  <si>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</si>
  <si>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</si>
  <si>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</si>
  <si>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</si>
  <si>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</si>
  <si>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</si>
  <si>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</si>
  <si>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</si>
  <si>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</si>
  <si>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</si>
  <si>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</si>
  <si>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</si>
  <si>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</si>
  <si>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</si>
  <si>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</si>
  <si>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</si>
  <si>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</si>
  <si>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</si>
  <si>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</si>
  <si>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</si>
  <si>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</si>
  <si>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</si>
  <si>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2763.58吨，其中运往常州市英科环境科技有限公司344.12吨，国电常州发电有限公司2141.46吨，外运接种278.00吨：常州市百丈污水处理有限公司120.00吨、常州东方诺亚印染有限公司105.00吨、常州市华艺植绒材料有限公司8.00吨、常州西源污水处理有限公司30.00吨、常州千红生化制药股份有限公司15.00吨。
</t>
  </si>
  <si>
    <t>审核：                                               制表：                               制表日期：2023/3/6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</si>
  <si>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</si>
  <si>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</si>
  <si>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</si>
  <si>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</si>
  <si>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</si>
  <si>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</si>
  <si>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</si>
  <si>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</si>
  <si>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</si>
  <si>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</si>
  <si>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</si>
  <si>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</si>
  <si>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</si>
  <si>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</si>
  <si>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</si>
  <si>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制表时间：2023/3/6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</si>
  <si>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</si>
  <si>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</si>
  <si>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</si>
  <si>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</si>
  <si>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</si>
  <si>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</si>
  <si>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</si>
  <si>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</si>
  <si>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</si>
  <si>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</si>
  <si>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&lt;2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</si>
  <si>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</si>
  <si>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</si>
  <si>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</si>
  <si>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</si>
  <si>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</si>
  <si>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</si>
  <si>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</si>
  <si>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</si>
  <si>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</si>
  <si>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</si>
  <si>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</si>
  <si>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</si>
  <si>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</si>
  <si>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</si>
  <si>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</si>
  <si>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</si>
  <si>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</si>
  <si>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</si>
  <si>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</si>
  <si>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</si>
  <si>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</si>
  <si>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</si>
  <si>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</si>
  <si>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</si>
  <si>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</si>
  <si>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</si>
  <si>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</si>
  <si>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</si>
  <si>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</si>
  <si>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</si>
  <si>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</si>
  <si>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</si>
  <si>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</si>
  <si>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</si>
  <si>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</si>
  <si>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</si>
  <si>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</si>
  <si>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</si>
  <si>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</si>
  <si>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</si>
  <si>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</si>
  <si>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</si>
  <si>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</si>
  <si>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</si>
  <si>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</si>
  <si>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</si>
  <si>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</si>
  <si>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</si>
  <si>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</si>
  <si>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</si>
  <si>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</si>
  <si>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</si>
  <si>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</si>
  <si>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</si>
  <si>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</si>
  <si>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</si>
  <si>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</si>
  <si>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</si>
  <si>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</si>
  <si>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</si>
  <si>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</si>
  <si>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</si>
  <si>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</si>
  <si>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</si>
  <si>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</si>
  <si>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</si>
  <si>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</si>
  <si>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17日保养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</si>
  <si>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</si>
  <si>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</si>
  <si>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</si>
  <si>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</si>
  <si>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</si>
  <si>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工艺调整，关停</t>
  </si>
  <si>
    <t>一期
厌、缺
、好氧
区搅拌
器</t>
  </si>
  <si>
    <t>二沉池
刮吸泥机</t>
  </si>
  <si>
    <t>14日配合更换1-1主动轴轴承、17日保养</t>
  </si>
  <si>
    <t>17日保养、24日配合更换行走轮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</si>
  <si>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</si>
  <si>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</si>
  <si>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</si>
  <si>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</si>
  <si>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</si>
  <si>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</si>
  <si>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</si>
  <si>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</si>
  <si>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</si>
  <si>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</si>
  <si>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24日更换齿轮油</t>
  </si>
  <si>
    <t>高沉池
剩余污泥泵</t>
  </si>
  <si>
    <t>23日盘根更换</t>
  </si>
  <si>
    <t>PAC
投加泵</t>
  </si>
  <si>
    <t>PAM
投加泵</t>
  </si>
  <si>
    <t>提标
空压机</t>
  </si>
  <si>
    <t>14日保养</t>
  </si>
  <si>
    <t>V型滤池
（南）</t>
  </si>
  <si>
    <t>1日更换清水阀气缸</t>
  </si>
  <si>
    <t>20日更换排气阀电磁阀</t>
  </si>
  <si>
    <t>V型滤池
（北）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</si>
  <si>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</si>
  <si>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</si>
  <si>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</si>
  <si>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</si>
  <si>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</si>
  <si>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增压水泵</t>
  </si>
  <si>
    <t>脱
水
机
房</t>
  </si>
  <si>
    <t>浓缩池刮泥机</t>
  </si>
  <si>
    <t>24-26日配合更好浓缩机齿轮</t>
  </si>
  <si>
    <t>16日保养</t>
  </si>
  <si>
    <t>进泥泵</t>
  </si>
  <si>
    <t>脱水离心机</t>
  </si>
  <si>
    <t>24日保养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</si>
  <si>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</si>
  <si>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</si>
  <si>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</si>
  <si>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</si>
  <si>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</si>
  <si>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</si>
  <si>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</si>
  <si>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</si>
  <si>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</si>
  <si>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</si>
  <si>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</si>
  <si>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2022-02-07 2022-02-14 2022-02-21 2022-02-28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</si>
  <si>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</si>
  <si>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</si>
  <si>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</si>
  <si>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</si>
  <si>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</si>
  <si>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</si>
  <si>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</si>
  <si>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</si>
  <si>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</si>
  <si>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</si>
  <si>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</si>
  <si>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</si>
  <si>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</si>
  <si>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</si>
  <si>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制表日期：2023/3/6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</si>
  <si>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</si>
  <si>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</si>
  <si>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</si>
  <si>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</si>
  <si>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采样时间：2023-2-2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</si>
  <si>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</si>
  <si>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</si>
  <si>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</si>
  <si>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</si>
  <si>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</si>
  <si>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</si>
  <si>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</si>
  <si>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</si>
  <si>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</si>
  <si>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</si>
  <si>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</si>
  <si>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</si>
  <si>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</si>
  <si>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</si>
  <si>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制表日期：2022/3/3</t>
  </si>
</sst>
</file>

<file path=xl/styles.xml><?xml version="1.0" encoding="utf-8"?>
<styleSheet xmlns="http://schemas.openxmlformats.org/spreadsheetml/2006/main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.00;_ﰀ"/>
    <numFmt numFmtId="179" formatCode="0_ "/>
    <numFmt numFmtId="180" formatCode="#,##0.00_ "/>
    <numFmt numFmtId="181" formatCode="yyyy&quot;年&quot;m&quot;月&quot;;@"/>
    <numFmt numFmtId="182" formatCode="0;[Red]0"/>
    <numFmt numFmtId="183" formatCode="0.00;[Red]0.00"/>
    <numFmt numFmtId="184" formatCode="0.000;_ﰀ"/>
    <numFmt numFmtId="185" formatCode="0;_䠀"/>
    <numFmt numFmtId="186" formatCode="0.0_);[Red]\(0.0\)"/>
    <numFmt numFmtId="187" formatCode="0.0_ "/>
    <numFmt numFmtId="188" formatCode="0.0_);\(0.0\)"/>
    <numFmt numFmtId="189" formatCode="0.0;[Red]0.0"/>
    <numFmt numFmtId="190" formatCode="0.00_ "/>
    <numFmt numFmtId="191" formatCode="0.0%"/>
    <numFmt numFmtId="192" formatCode="0.000_ "/>
    <numFmt numFmtId="193" formatCode="0.000;_鰀"/>
    <numFmt numFmtId="194" formatCode="0;_鰀"/>
    <numFmt numFmtId="195" formatCode="0.00;_鰀"/>
    <numFmt numFmtId="196" formatCode="0;_ﰀ"/>
    <numFmt numFmtId="197" formatCode="0.000_);[Red]\(0.000\)"/>
    <numFmt numFmtId="198" formatCode="0.0000_);[Red]\(0.0000\)"/>
    <numFmt numFmtId="199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4" fillId="1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>
      <alignment vertical="top"/>
      <protection locked="0"/>
    </xf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0" borderId="0"/>
    <xf numFmtId="0" fontId="34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>
      <alignment vertical="top"/>
      <protection locked="0"/>
    </xf>
    <xf numFmtId="0" fontId="34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7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8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2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/>
    <xf numFmtId="0" fontId="50" fillId="0" borderId="27" applyNumberFormat="0" applyFill="0" applyAlignment="0" applyProtection="0">
      <alignment vertical="center"/>
    </xf>
    <xf numFmtId="0" fontId="0" fillId="0" borderId="0"/>
    <xf numFmtId="0" fontId="34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5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5" fillId="5" borderId="19" applyNumberFormat="0" applyAlignment="0" applyProtection="0">
      <alignment vertical="center"/>
    </xf>
    <xf numFmtId="0" fontId="0" fillId="0" borderId="0"/>
    <xf numFmtId="0" fontId="35" fillId="5" borderId="19" applyNumberFormat="0" applyAlignment="0" applyProtection="0">
      <alignment vertical="center"/>
    </xf>
    <xf numFmtId="0" fontId="0" fillId="0" borderId="0"/>
    <xf numFmtId="0" fontId="0" fillId="0" borderId="0"/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</cellStyleXfs>
  <cellXfs count="32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/>
    <xf numFmtId="180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89" applyFont="1" applyAlignment="1">
      <alignment horizontal="center" vertical="center"/>
    </xf>
    <xf numFmtId="0" fontId="7" fillId="0" borderId="0" xfId="489" applyFont="1" applyAlignment="1">
      <alignment horizontal="center" vertical="center"/>
    </xf>
    <xf numFmtId="0" fontId="8" fillId="0" borderId="0" xfId="489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9" fontId="13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9" fontId="1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177" fontId="13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7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2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90" fontId="18" fillId="0" borderId="4" xfId="0" applyNumberFormat="1" applyFont="1" applyBorder="1" applyAlignment="1">
      <alignment vertical="center"/>
    </xf>
    <xf numFmtId="189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82" fontId="18" fillId="0" borderId="0" xfId="0" applyNumberFormat="1" applyFont="1" applyBorder="1" applyAlignment="1">
      <alignment vertical="center"/>
    </xf>
    <xf numFmtId="182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190" fontId="18" fillId="0" borderId="0" xfId="0" applyNumberFormat="1" applyFont="1" applyAlignment="1">
      <alignment vertical="center"/>
    </xf>
    <xf numFmtId="189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7" fontId="20" fillId="0" borderId="4" xfId="0" applyNumberFormat="1" applyFont="1" applyFill="1" applyBorder="1" applyAlignment="1">
      <alignment horizontal="center" vertical="center"/>
    </xf>
    <xf numFmtId="187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187" fontId="21" fillId="0" borderId="0" xfId="0" applyNumberFormat="1" applyFont="1" applyFill="1" applyAlignment="1">
      <alignment horizontal="center" vertical="center"/>
    </xf>
    <xf numFmtId="190" fontId="20" fillId="0" borderId="0" xfId="0" applyNumberFormat="1" applyFont="1" applyFill="1" applyAlignment="1">
      <alignment horizontal="center" vertical="center"/>
    </xf>
    <xf numFmtId="190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7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90" fontId="20" fillId="0" borderId="11" xfId="0" applyNumberFormat="1" applyFont="1" applyFill="1" applyBorder="1" applyAlignment="1">
      <alignment horizontal="center" vertical="center"/>
    </xf>
    <xf numFmtId="190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3" fontId="1" fillId="0" borderId="1" xfId="10" applyNumberFormat="1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1" fontId="21" fillId="0" borderId="5" xfId="20" applyNumberFormat="1" applyFont="1" applyFill="1" applyBorder="1" applyAlignment="1">
      <alignment horizontal="center" vertical="center"/>
    </xf>
    <xf numFmtId="192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1" fontId="21" fillId="0" borderId="8" xfId="20" applyNumberFormat="1" applyFont="1" applyFill="1" applyBorder="1" applyAlignment="1">
      <alignment horizontal="center" vertical="center"/>
    </xf>
    <xf numFmtId="190" fontId="21" fillId="0" borderId="8" xfId="0" applyNumberFormat="1" applyFont="1" applyFill="1" applyBorder="1" applyAlignment="1">
      <alignment horizontal="center" vertical="center"/>
    </xf>
    <xf numFmtId="187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91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2" fontId="0" fillId="0" borderId="0" xfId="0" applyNumberFormat="1"/>
    <xf numFmtId="191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7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89" applyFont="1" applyAlignment="1">
      <alignment horizontal="center" vertical="center"/>
    </xf>
    <xf numFmtId="57" fontId="9" fillId="0" borderId="11" xfId="489" applyNumberFormat="1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 wrapText="1"/>
    </xf>
    <xf numFmtId="0" fontId="9" fillId="0" borderId="1" xfId="489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 wrapText="1"/>
    </xf>
    <xf numFmtId="190" fontId="9" fillId="0" borderId="1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9" fillId="0" borderId="6" xfId="489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87" fontId="9" fillId="0" borderId="9" xfId="0" applyNumberFormat="1" applyFont="1" applyBorder="1" applyAlignment="1">
      <alignment horizontal="center" vertical="center" wrapText="1"/>
    </xf>
    <xf numFmtId="194" fontId="9" fillId="0" borderId="1" xfId="506" applyNumberFormat="1" applyFont="1" applyBorder="1" applyAlignment="1">
      <alignment horizontal="center" vertical="center" wrapText="1"/>
    </xf>
    <xf numFmtId="0" fontId="9" fillId="0" borderId="9" xfId="489" applyFont="1" applyBorder="1" applyAlignment="1">
      <alignment horizontal="center" vertical="center" wrapText="1"/>
    </xf>
    <xf numFmtId="179" fontId="9" fillId="0" borderId="1" xfId="489" applyNumberFormat="1" applyFont="1" applyBorder="1" applyAlignment="1">
      <alignment horizontal="center" vertical="center" wrapText="1"/>
    </xf>
    <xf numFmtId="190" fontId="9" fillId="0" borderId="1" xfId="489" applyNumberFormat="1" applyFont="1" applyBorder="1" applyAlignment="1">
      <alignment horizontal="center" vertical="center" wrapText="1"/>
    </xf>
    <xf numFmtId="0" fontId="9" fillId="0" borderId="1" xfId="489" applyFont="1" applyFill="1" applyBorder="1" applyAlignment="1">
      <alignment horizontal="center" vertical="center" wrapText="1"/>
    </xf>
    <xf numFmtId="187" fontId="9" fillId="0" borderId="1" xfId="489" applyNumberFormat="1" applyFont="1" applyBorder="1" applyAlignment="1">
      <alignment horizontal="center" vertical="center" wrapText="1"/>
    </xf>
    <xf numFmtId="0" fontId="9" fillId="0" borderId="2" xfId="489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89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89" applyFont="1" applyFill="1" applyBorder="1" applyAlignment="1">
      <alignment horizontal="center" vertical="center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90" fontId="9" fillId="0" borderId="13" xfId="0" applyNumberFormat="1" applyFont="1" applyBorder="1" applyAlignment="1">
      <alignment horizontal="center" vertical="center" wrapText="1"/>
    </xf>
    <xf numFmtId="190" fontId="9" fillId="0" borderId="14" xfId="0" applyNumberFormat="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9" fontId="0" fillId="0" borderId="0" xfId="0" applyNumberFormat="1" applyFont="1"/>
    <xf numFmtId="192" fontId="9" fillId="0" borderId="1" xfId="489" applyNumberFormat="1" applyFont="1" applyBorder="1" applyAlignment="1">
      <alignment horizontal="center" vertical="center" wrapText="1"/>
    </xf>
    <xf numFmtId="190" fontId="9" fillId="0" borderId="2" xfId="489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0" fontId="9" fillId="0" borderId="9" xfId="489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/>
    </xf>
    <xf numFmtId="0" fontId="9" fillId="0" borderId="2" xfId="489" applyFont="1" applyFill="1" applyBorder="1" applyAlignment="1">
      <alignment horizontal="center" vertical="center" wrapText="1"/>
    </xf>
    <xf numFmtId="176" fontId="9" fillId="0" borderId="1" xfId="489" applyNumberFormat="1" applyFont="1" applyFill="1" applyBorder="1" applyAlignment="1">
      <alignment horizontal="center" vertical="center" wrapText="1"/>
    </xf>
    <xf numFmtId="180" fontId="9" fillId="0" borderId="0" xfId="0" applyNumberFormat="1" applyFont="1"/>
    <xf numFmtId="190" fontId="9" fillId="0" borderId="1" xfId="0" applyNumberFormat="1" applyFont="1" applyBorder="1" applyAlignment="1">
      <alignment horizontal="center" vertical="center"/>
    </xf>
    <xf numFmtId="0" fontId="9" fillId="0" borderId="0" xfId="489" applyFont="1" applyFill="1" applyBorder="1" applyAlignment="1">
      <alignment horizontal="center" vertical="center"/>
    </xf>
    <xf numFmtId="0" fontId="9" fillId="0" borderId="13" xfId="489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5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94" fontId="1" fillId="0" borderId="1" xfId="340" applyNumberFormat="1" applyFont="1" applyFill="1" applyBorder="1" applyAlignment="1">
      <alignment horizontal="center" vertical="center" wrapText="1"/>
    </xf>
    <xf numFmtId="195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94" fontId="1" fillId="0" borderId="1" xfId="479" applyNumberFormat="1" applyFont="1" applyFill="1" applyBorder="1" applyAlignment="1">
      <alignment horizontal="center" vertical="center" wrapText="1"/>
    </xf>
    <xf numFmtId="195" fontId="1" fillId="0" borderId="1" xfId="479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3" fillId="0" borderId="1" xfId="340" applyFont="1" applyFill="1" applyBorder="1" applyAlignment="1">
      <alignment horizontal="center" vertical="center" wrapText="1"/>
    </xf>
    <xf numFmtId="179" fontId="13" fillId="0" borderId="1" xfId="340" applyNumberFormat="1" applyFont="1" applyFill="1" applyBorder="1" applyAlignment="1">
      <alignment horizontal="center" vertical="center" wrapText="1"/>
    </xf>
    <xf numFmtId="197" fontId="1" fillId="0" borderId="1" xfId="340" applyNumberFormat="1" applyFont="1" applyFill="1" applyBorder="1" applyAlignment="1">
      <alignment horizontal="center" vertical="center" wrapText="1"/>
    </xf>
    <xf numFmtId="176" fontId="1" fillId="0" borderId="1" xfId="340" applyNumberFormat="1" applyFont="1" applyFill="1" applyBorder="1" applyAlignment="1">
      <alignment horizontal="center" vertical="center" wrapText="1"/>
    </xf>
    <xf numFmtId="0" fontId="13" fillId="0" borderId="1" xfId="34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97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194" fontId="13" fillId="0" borderId="1" xfId="340" applyNumberFormat="1" applyFont="1" applyFill="1" applyBorder="1" applyAlignment="1">
      <alignment horizontal="center" vertical="center" wrapText="1"/>
    </xf>
    <xf numFmtId="194" fontId="13" fillId="0" borderId="1" xfId="506" applyNumberFormat="1" applyFont="1" applyFill="1" applyBorder="1" applyAlignment="1">
      <alignment horizontal="center" vertical="center" wrapText="1"/>
    </xf>
    <xf numFmtId="195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76" fontId="2" fillId="0" borderId="0" xfId="483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4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98" fontId="2" fillId="0" borderId="0" xfId="483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90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0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87" fontId="2" fillId="3" borderId="1" xfId="0" applyNumberFormat="1" applyFont="1" applyFill="1" applyBorder="1" applyAlignment="1">
      <alignment horizontal="center" vertical="center"/>
    </xf>
    <xf numFmtId="190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94" fontId="1" fillId="0" borderId="1" xfId="506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95" fontId="29" fillId="0" borderId="0" xfId="20" applyNumberFormat="1" applyFont="1" applyFill="1" applyBorder="1" applyAlignment="1">
      <alignment horizontal="center" vertical="center" wrapText="1"/>
    </xf>
    <xf numFmtId="193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9" fontId="2" fillId="0" borderId="0" xfId="0" applyNumberFormat="1" applyFont="1" applyFill="1" applyAlignment="1">
      <alignment horizontal="center" vertical="center"/>
    </xf>
    <xf numFmtId="190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适中 2 5" xfId="61"/>
    <cellStyle name="强调文字颜色 3 2 4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适中 2" xfId="96"/>
    <cellStyle name="计算 5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60% - 强调文字颜色 5 2 4" xfId="366"/>
    <cellStyle name="强调文字颜色 4 2 5" xfId="367"/>
    <cellStyle name="百分比 2 11" xfId="368"/>
    <cellStyle name="标题 4 2" xfId="369"/>
    <cellStyle name="60% - 强调文字颜色 5 2 5" xfId="370"/>
    <cellStyle name="标题 4 3" xfId="371"/>
    <cellStyle name="60% - 强调文字颜色 5 2 6" xfId="372"/>
    <cellStyle name="汇总 2 2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60% - 强调文字颜色 6 2" xfId="379"/>
    <cellStyle name="好_汇总二 3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汇总 3" xfId="401"/>
    <cellStyle name="标题 1 3 2" xfId="402"/>
    <cellStyle name="标题 1 4" xfId="403"/>
    <cellStyle name="标题 1 5" xfId="404"/>
    <cellStyle name="标题 2 2" xfId="405"/>
    <cellStyle name="标题 2 2 2" xfId="406"/>
    <cellStyle name="好 3 2" xfId="407"/>
    <cellStyle name="标题 2 2 3" xfId="408"/>
    <cellStyle name="标题 2 3" xfId="409"/>
    <cellStyle name="常规 11" xfId="410"/>
    <cellStyle name="标题 2 3 2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常规 9" xfId="430"/>
    <cellStyle name="标题 3 5 2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解释性文本 2 3" xfId="438"/>
    <cellStyle name="标题 5" xfId="439"/>
    <cellStyle name="标题 5 2" xfId="440"/>
    <cellStyle name="强调文字颜色 1 4" xfId="441"/>
    <cellStyle name="标题 5 3" xfId="442"/>
    <cellStyle name="强调文字颜色 1 5" xfId="443"/>
    <cellStyle name="汇总 3 2" xfId="444"/>
    <cellStyle name="解释性文本 2 4" xfId="445"/>
    <cellStyle name="标题 6" xfId="446"/>
    <cellStyle name="标题 6 2" xfId="447"/>
    <cellStyle name="解释性文本 2 5" xfId="448"/>
    <cellStyle name="标题 7" xfId="449"/>
    <cellStyle name="输入 2 6" xfId="450"/>
    <cellStyle name="标题 7 2" xfId="451"/>
    <cellStyle name="强调文字颜色 3 4" xfId="452"/>
    <cellStyle name="常规 2 11" xfId="453"/>
    <cellStyle name="解释性文本 2 6" xfId="454"/>
    <cellStyle name="标题 8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适中 3 2" xfId="476"/>
    <cellStyle name="计算 6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汇总 5 2" xfId="488"/>
    <cellStyle name="常规_Sheet1" xfId="489"/>
    <cellStyle name="强调文字颜色 3 5" xfId="490"/>
    <cellStyle name="常规 2 12" xfId="491"/>
    <cellStyle name="常规 2 14" xfId="492"/>
    <cellStyle name="常规 2 15" xfId="493"/>
    <cellStyle name="常规 2 16" xfId="494"/>
    <cellStyle name="强调文字颜色 5 3 2" xfId="495"/>
    <cellStyle name="常规 2 19 3" xfId="496"/>
    <cellStyle name="常规 2 2" xfId="497"/>
    <cellStyle name="输入 3 2" xfId="498"/>
    <cellStyle name="常规 2 3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1"/>
  <sheetViews>
    <sheetView zoomScale="85" zoomScaleNormal="85" workbookViewId="0">
      <selection activeCell="U11" sqref="U11"/>
    </sheetView>
  </sheetViews>
  <sheetFormatPr defaultColWidth="8.75" defaultRowHeight="14.25"/>
  <cols>
    <col min="1" max="1" width="3.75" style="3" customWidth="1"/>
    <col min="2" max="3" width="4.25" style="257" customWidth="1"/>
    <col min="4" max="4" width="7.8" style="257" customWidth="1"/>
    <col min="5" max="5" width="7.5" style="257" customWidth="1"/>
    <col min="6" max="6" width="7.16666666666667" style="257" customWidth="1"/>
    <col min="7" max="7" width="6.94166666666667" style="258" customWidth="1"/>
    <col min="8" max="8" width="5.625" style="258" customWidth="1"/>
    <col min="9" max="9" width="6" style="257" customWidth="1"/>
    <col min="10" max="10" width="6.46666666666667" style="257" customWidth="1"/>
    <col min="11" max="11" width="6.5" style="257" customWidth="1"/>
    <col min="12" max="12" width="6.375" style="257" customWidth="1"/>
    <col min="13" max="13" width="6.11666666666667" style="257" customWidth="1"/>
    <col min="14" max="14" width="6.125" style="257" customWidth="1"/>
    <col min="15" max="15" width="7.49166666666667" style="257" customWidth="1"/>
    <col min="16" max="16" width="6.46666666666667" style="257" customWidth="1"/>
    <col min="17" max="17" width="7.5" style="257" customWidth="1"/>
    <col min="18" max="18" width="10.125" style="257" customWidth="1"/>
    <col min="19" max="19" width="10" style="259" customWidth="1"/>
    <col min="20" max="20" width="15.875" style="259" customWidth="1"/>
    <col min="21" max="21" width="12.875" style="259" customWidth="1"/>
    <col min="22" max="22" width="12.25" style="259" customWidth="1"/>
    <col min="23" max="25" width="12.625" style="259"/>
    <col min="26" max="26" width="15" style="259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</row>
    <row r="2" ht="14" customHeight="1" spans="1:18">
      <c r="A2" s="261" t="s">
        <v>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</row>
    <row r="3" ht="20.25" customHeight="1" spans="1:38">
      <c r="A3" s="262" t="s">
        <v>2</v>
      </c>
      <c r="B3" s="263" t="s">
        <v>3</v>
      </c>
      <c r="C3" s="263" t="s">
        <v>4</v>
      </c>
      <c r="D3" s="8" t="s">
        <v>5</v>
      </c>
      <c r="E3" s="5" t="s">
        <v>6</v>
      </c>
      <c r="F3" s="5"/>
      <c r="G3" s="5"/>
      <c r="H3" s="263" t="s">
        <v>7</v>
      </c>
      <c r="I3" s="263" t="s">
        <v>8</v>
      </c>
      <c r="J3" s="263" t="s">
        <v>9</v>
      </c>
      <c r="K3" s="263" t="s">
        <v>10</v>
      </c>
      <c r="L3" s="8" t="s">
        <v>11</v>
      </c>
      <c r="M3" s="263" t="s">
        <v>12</v>
      </c>
      <c r="N3" s="263" t="s">
        <v>13</v>
      </c>
      <c r="O3" s="5" t="s">
        <v>14</v>
      </c>
      <c r="P3" s="5"/>
      <c r="Q3" s="8" t="s">
        <v>15</v>
      </c>
      <c r="R3" s="8" t="s">
        <v>16</v>
      </c>
      <c r="T3" s="259" t="s">
        <v>17</v>
      </c>
      <c r="U3" s="259" t="s">
        <v>18</v>
      </c>
      <c r="W3" s="286" t="s">
        <v>19</v>
      </c>
      <c r="X3" s="286" t="s">
        <v>20</v>
      </c>
      <c r="Y3" s="286" t="s">
        <v>21</v>
      </c>
      <c r="Z3" s="286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4"/>
      <c r="B4" s="265" t="s">
        <v>30</v>
      </c>
      <c r="C4" s="265" t="s">
        <v>31</v>
      </c>
      <c r="D4" s="265"/>
      <c r="E4" s="265" t="s">
        <v>32</v>
      </c>
      <c r="F4" s="265" t="s">
        <v>33</v>
      </c>
      <c r="G4" s="265" t="s">
        <v>34</v>
      </c>
      <c r="H4" s="265" t="s">
        <v>35</v>
      </c>
      <c r="I4" s="265" t="s">
        <v>36</v>
      </c>
      <c r="J4" s="265" t="s">
        <v>37</v>
      </c>
      <c r="K4" s="265" t="s">
        <v>35</v>
      </c>
      <c r="L4" s="265"/>
      <c r="M4" s="265" t="s">
        <v>35</v>
      </c>
      <c r="N4" s="265" t="s">
        <v>35</v>
      </c>
      <c r="O4" s="265" t="s">
        <v>38</v>
      </c>
      <c r="P4" s="265" t="s">
        <v>39</v>
      </c>
      <c r="Q4" s="265"/>
      <c r="R4" s="265"/>
      <c r="T4" s="58" t="s">
        <v>40</v>
      </c>
      <c r="U4" s="287">
        <f>ROUND(J34*W4,2)</f>
        <v>968456.46</v>
      </c>
      <c r="V4" s="287"/>
      <c r="W4" s="288">
        <v>0.680191362761028</v>
      </c>
      <c r="X4" s="289">
        <f>J33/R33</f>
        <v>0.307253937891461</v>
      </c>
      <c r="Y4" s="286"/>
      <c r="Z4" s="320">
        <v>44960</v>
      </c>
      <c r="AA4" s="321"/>
      <c r="AB4" s="3" t="s">
        <v>41</v>
      </c>
    </row>
    <row r="5" ht="18.6" customHeight="1" spans="1:38">
      <c r="A5" s="6">
        <v>1</v>
      </c>
      <c r="B5" s="266">
        <v>14.4</v>
      </c>
      <c r="C5" s="267" t="s">
        <v>42</v>
      </c>
      <c r="D5" s="268">
        <v>144613</v>
      </c>
      <c r="E5" s="269">
        <v>0</v>
      </c>
      <c r="F5" s="269">
        <v>0</v>
      </c>
      <c r="G5" s="269">
        <v>0</v>
      </c>
      <c r="H5" s="270">
        <v>125</v>
      </c>
      <c r="I5" s="6">
        <v>5008</v>
      </c>
      <c r="J5" s="277">
        <v>49700.0000000116</v>
      </c>
      <c r="K5" s="278">
        <v>0</v>
      </c>
      <c r="L5" s="278">
        <v>0.2</v>
      </c>
      <c r="M5" s="278">
        <v>1491</v>
      </c>
      <c r="N5" s="278">
        <v>576</v>
      </c>
      <c r="O5" s="279">
        <v>3.49999999999989</v>
      </c>
      <c r="P5" s="280">
        <v>0</v>
      </c>
      <c r="Q5" s="290">
        <v>5432</v>
      </c>
      <c r="R5" s="291">
        <f>D5-Q5</f>
        <v>139181</v>
      </c>
      <c r="S5" s="292">
        <v>190000</v>
      </c>
      <c r="T5" s="293" t="s">
        <v>43</v>
      </c>
      <c r="U5" s="294">
        <f>H34*W5/1000</f>
        <v>123900</v>
      </c>
      <c r="V5" s="287"/>
      <c r="W5" s="295">
        <v>28000</v>
      </c>
      <c r="X5" s="287">
        <f>H33/R33*1000</f>
        <v>0.954908466898235</v>
      </c>
      <c r="Y5" s="286"/>
      <c r="Z5" s="322">
        <v>44652</v>
      </c>
      <c r="AB5" s="323">
        <f>E5+F5+G5</f>
        <v>0</v>
      </c>
      <c r="AD5" s="3">
        <f>$W$9*K5/1000/R5</f>
        <v>0</v>
      </c>
      <c r="AE5" s="3">
        <f>$W$5*H5/1000/R5</f>
        <v>0.0251471105969924</v>
      </c>
      <c r="AF5" s="3">
        <f>$W$6*L5/1000/R5</f>
        <v>1.49445685833555e-5</v>
      </c>
      <c r="AG5" s="3">
        <f>$W$7*M5/1000/R5</f>
        <v>0.00501352914550118</v>
      </c>
      <c r="AH5" s="3">
        <f>$W$8*N5/1000/R5</f>
        <v>0.0250130693126217</v>
      </c>
      <c r="AI5" s="3">
        <f>AD5+AE5+AF5+AG5+AH5</f>
        <v>0.0551886536236986</v>
      </c>
      <c r="AK5" s="3">
        <f>AB5*(100-进出水!T7)/100</f>
        <v>0</v>
      </c>
      <c r="AL5" s="3" t="e">
        <f>H5/AK5</f>
        <v>#DIV/0!</v>
      </c>
    </row>
    <row r="6" ht="18.6" customHeight="1" spans="1:38">
      <c r="A6" s="6">
        <v>2</v>
      </c>
      <c r="B6" s="266">
        <v>13</v>
      </c>
      <c r="C6" s="267" t="s">
        <v>44</v>
      </c>
      <c r="D6" s="268">
        <v>147687</v>
      </c>
      <c r="E6" s="269">
        <v>35.72</v>
      </c>
      <c r="F6" s="269">
        <v>34.1</v>
      </c>
      <c r="G6" s="269">
        <v>0</v>
      </c>
      <c r="H6" s="270">
        <v>100</v>
      </c>
      <c r="I6" s="6">
        <v>4742</v>
      </c>
      <c r="J6" s="277">
        <v>45999.9999999854</v>
      </c>
      <c r="K6" s="278">
        <v>0</v>
      </c>
      <c r="L6" s="278">
        <v>0</v>
      </c>
      <c r="M6" s="278">
        <v>2627</v>
      </c>
      <c r="N6" s="278">
        <v>840</v>
      </c>
      <c r="O6" s="279">
        <v>3.35000000000002</v>
      </c>
      <c r="P6" s="280">
        <v>0</v>
      </c>
      <c r="Q6" s="290">
        <v>5438</v>
      </c>
      <c r="R6" s="291">
        <f t="shared" ref="R6:R36" si="0">D6-Q6</f>
        <v>142249</v>
      </c>
      <c r="S6" s="292">
        <v>190000</v>
      </c>
      <c r="T6" s="293" t="s">
        <v>45</v>
      </c>
      <c r="U6" s="294">
        <f>L34*W6/1000</f>
        <v>22.88</v>
      </c>
      <c r="V6" s="287">
        <f>U5+U6</f>
        <v>123922.88</v>
      </c>
      <c r="W6" s="58">
        <v>10400</v>
      </c>
      <c r="X6" s="287">
        <f>L33/R33*1000</f>
        <v>0.000474756751904207</v>
      </c>
      <c r="Y6" s="286"/>
      <c r="Z6" s="322">
        <v>44256</v>
      </c>
      <c r="AB6" s="323">
        <f t="shared" ref="AB6:AB35" si="1">E6+F6+G6</f>
        <v>69.82</v>
      </c>
      <c r="AD6" s="3">
        <f t="shared" ref="AD6:AD35" si="2">$W$9*K6/1000/R6</f>
        <v>0</v>
      </c>
      <c r="AE6" s="3">
        <f t="shared" ref="AE6:AE35" si="3">$W$5*H6/1000/R6</f>
        <v>0.0196837939106778</v>
      </c>
      <c r="AF6" s="3">
        <f t="shared" ref="AF6:AF35" si="4">$W$6*L6/1000/R6</f>
        <v>0</v>
      </c>
      <c r="AG6" s="3">
        <f t="shared" ref="AG6:AG35" si="5">$W$7*M6/1000/R6</f>
        <v>0.00864284458941715</v>
      </c>
      <c r="AH6" s="3">
        <f t="shared" ref="AH6:AH35" si="6">$W$8*N6/1000/R6</f>
        <v>0.0356906551188409</v>
      </c>
      <c r="AI6" s="3">
        <f t="shared" ref="AI6:AI35" si="7">AD6+AE6+AF6+AG6+AH6</f>
        <v>0.0640172936189358</v>
      </c>
      <c r="AK6" s="3">
        <f>AB6*(100-进出水!T8)/100</f>
        <v>15.0113</v>
      </c>
      <c r="AL6" s="3">
        <f t="shared" ref="AL6:AL35" si="8">H6/AK6</f>
        <v>6.66164822500383</v>
      </c>
    </row>
    <row r="7" ht="18.6" customHeight="1" spans="1:38">
      <c r="A7" s="6">
        <v>3</v>
      </c>
      <c r="B7" s="266">
        <v>14.4</v>
      </c>
      <c r="C7" s="267" t="s">
        <v>42</v>
      </c>
      <c r="D7" s="268">
        <v>143268</v>
      </c>
      <c r="E7" s="269">
        <v>35.5</v>
      </c>
      <c r="F7" s="269">
        <v>34.24</v>
      </c>
      <c r="G7" s="269">
        <v>0</v>
      </c>
      <c r="H7" s="270">
        <v>100</v>
      </c>
      <c r="I7" s="6">
        <v>5432</v>
      </c>
      <c r="J7" s="277">
        <v>45400.0000000087</v>
      </c>
      <c r="K7" s="278">
        <v>0</v>
      </c>
      <c r="L7" s="278">
        <v>0</v>
      </c>
      <c r="M7" s="278">
        <v>1775</v>
      </c>
      <c r="N7" s="278">
        <v>648</v>
      </c>
      <c r="O7" s="279">
        <v>3.20000000000005</v>
      </c>
      <c r="P7" s="280">
        <v>0</v>
      </c>
      <c r="Q7" s="290">
        <v>5435</v>
      </c>
      <c r="R7" s="291">
        <f t="shared" si="0"/>
        <v>137833</v>
      </c>
      <c r="S7" s="292">
        <v>190000</v>
      </c>
      <c r="T7" s="293" t="s">
        <v>46</v>
      </c>
      <c r="U7" s="294">
        <f>M34*W7/1000</f>
        <v>38677.392</v>
      </c>
      <c r="V7" s="287"/>
      <c r="W7" s="58">
        <v>468</v>
      </c>
      <c r="X7" s="287">
        <f>M33/R33*1000</f>
        <v>17.8344531838051</v>
      </c>
      <c r="Y7" s="286"/>
      <c r="Z7" s="322">
        <v>44927</v>
      </c>
      <c r="AB7" s="323">
        <f t="shared" si="1"/>
        <v>69.74</v>
      </c>
      <c r="AD7" s="3">
        <f t="shared" si="2"/>
        <v>0</v>
      </c>
      <c r="AE7" s="3">
        <f t="shared" si="3"/>
        <v>0.0203144384871547</v>
      </c>
      <c r="AF7" s="3">
        <f t="shared" si="4"/>
        <v>0</v>
      </c>
      <c r="AG7" s="3">
        <f t="shared" si="5"/>
        <v>0.00602685858974266</v>
      </c>
      <c r="AH7" s="3">
        <f t="shared" si="6"/>
        <v>0.0284149078957869</v>
      </c>
      <c r="AI7" s="3">
        <f t="shared" si="7"/>
        <v>0.0547562049726843</v>
      </c>
      <c r="AK7" s="3">
        <f>AB7*(100-进出水!T9)/100</f>
        <v>14.78488</v>
      </c>
      <c r="AL7" s="3">
        <f t="shared" si="8"/>
        <v>6.76366666486302</v>
      </c>
    </row>
    <row r="8" ht="18.6" customHeight="1" spans="1:38">
      <c r="A8" s="6">
        <v>4</v>
      </c>
      <c r="B8" s="266">
        <v>14.3</v>
      </c>
      <c r="C8" s="267" t="s">
        <v>42</v>
      </c>
      <c r="D8" s="268">
        <v>144783</v>
      </c>
      <c r="E8" s="269">
        <v>36.14</v>
      </c>
      <c r="F8" s="269">
        <v>52.36</v>
      </c>
      <c r="G8" s="269">
        <v>30</v>
      </c>
      <c r="H8" s="270">
        <v>100</v>
      </c>
      <c r="I8" s="6">
        <v>5126</v>
      </c>
      <c r="J8" s="277">
        <v>46599.9999999985</v>
      </c>
      <c r="K8" s="278">
        <v>0</v>
      </c>
      <c r="L8" s="278">
        <v>0.2</v>
      </c>
      <c r="M8" s="278">
        <v>1420</v>
      </c>
      <c r="N8" s="278">
        <v>600</v>
      </c>
      <c r="O8" s="279">
        <v>3.50000000000011</v>
      </c>
      <c r="P8" s="280">
        <v>0</v>
      </c>
      <c r="Q8" s="290">
        <v>5433</v>
      </c>
      <c r="R8" s="291">
        <f t="shared" si="0"/>
        <v>139350</v>
      </c>
      <c r="S8" s="292">
        <v>190000</v>
      </c>
      <c r="T8" s="293" t="s">
        <v>47</v>
      </c>
      <c r="U8" s="294">
        <f>N34*W8/1000</f>
        <v>174647.424</v>
      </c>
      <c r="V8" s="287">
        <f>U7+U8</f>
        <v>213324.816</v>
      </c>
      <c r="W8" s="58">
        <v>6044</v>
      </c>
      <c r="X8" s="287">
        <f>N33/R33*1000</f>
        <v>6.23571413773817</v>
      </c>
      <c r="Y8" s="58"/>
      <c r="Z8" s="322">
        <v>44929</v>
      </c>
      <c r="AB8" s="323">
        <f t="shared" si="1"/>
        <v>118.5</v>
      </c>
      <c r="AD8" s="3">
        <f t="shared" si="2"/>
        <v>0</v>
      </c>
      <c r="AE8" s="3">
        <f t="shared" si="3"/>
        <v>0.0200932902762827</v>
      </c>
      <c r="AF8" s="3">
        <f t="shared" si="4"/>
        <v>1.49264442052386e-5</v>
      </c>
      <c r="AG8" s="3">
        <f t="shared" si="5"/>
        <v>0.00476899892357373</v>
      </c>
      <c r="AH8" s="3">
        <f t="shared" si="6"/>
        <v>0.0260236813778256</v>
      </c>
      <c r="AI8" s="3">
        <f t="shared" si="7"/>
        <v>0.0509008970218873</v>
      </c>
      <c r="AK8" s="3">
        <f>AB8*(100-进出水!T10)/100</f>
        <v>25.7145</v>
      </c>
      <c r="AL8" s="3">
        <f t="shared" si="8"/>
        <v>3.88885648175154</v>
      </c>
    </row>
    <row r="9" ht="18.6" customHeight="1" spans="1:38">
      <c r="A9" s="6">
        <v>5</v>
      </c>
      <c r="B9" s="266">
        <v>14.5</v>
      </c>
      <c r="C9" s="267" t="s">
        <v>44</v>
      </c>
      <c r="D9" s="268">
        <v>142460</v>
      </c>
      <c r="E9" s="269">
        <v>54.04</v>
      </c>
      <c r="F9" s="269">
        <v>51.66</v>
      </c>
      <c r="G9" s="269">
        <v>15</v>
      </c>
      <c r="H9" s="270">
        <v>125</v>
      </c>
      <c r="I9" s="6">
        <v>5006</v>
      </c>
      <c r="J9" s="281">
        <v>48499.9999999854</v>
      </c>
      <c r="K9" s="278">
        <v>0</v>
      </c>
      <c r="L9" s="278">
        <v>0</v>
      </c>
      <c r="M9" s="278">
        <v>2485</v>
      </c>
      <c r="N9" s="278">
        <v>912</v>
      </c>
      <c r="O9" s="279">
        <v>3.44999999999993</v>
      </c>
      <c r="P9" s="280">
        <v>0</v>
      </c>
      <c r="Q9" s="290">
        <v>5525</v>
      </c>
      <c r="R9" s="291">
        <f t="shared" si="0"/>
        <v>136935</v>
      </c>
      <c r="S9" s="292">
        <v>190000</v>
      </c>
      <c r="T9" s="293" t="s">
        <v>48</v>
      </c>
      <c r="U9" s="294">
        <f>K34*W9/1000</f>
        <v>14027.52</v>
      </c>
      <c r="V9" s="287"/>
      <c r="W9" s="58">
        <v>416</v>
      </c>
      <c r="X9" s="287">
        <f>K33/R33*1000</f>
        <v>7.27672621554994</v>
      </c>
      <c r="Y9" s="286"/>
      <c r="Z9" s="322">
        <v>44927</v>
      </c>
      <c r="AB9" s="323">
        <f t="shared" si="1"/>
        <v>120.7</v>
      </c>
      <c r="AD9" s="3">
        <f t="shared" si="2"/>
        <v>0</v>
      </c>
      <c r="AE9" s="3">
        <f t="shared" si="3"/>
        <v>0.0255595720597364</v>
      </c>
      <c r="AF9" s="3">
        <f t="shared" si="4"/>
        <v>0</v>
      </c>
      <c r="AG9" s="3">
        <f t="shared" si="5"/>
        <v>0.0084929346040092</v>
      </c>
      <c r="AH9" s="3">
        <f t="shared" si="6"/>
        <v>0.0402536093767116</v>
      </c>
      <c r="AI9" s="3">
        <f t="shared" si="7"/>
        <v>0.0743061160404572</v>
      </c>
      <c r="AK9" s="3">
        <f>AB9*(100-进出水!T11)/100</f>
        <v>25.5884</v>
      </c>
      <c r="AL9" s="3">
        <f t="shared" si="8"/>
        <v>4.88502602741867</v>
      </c>
    </row>
    <row r="10" ht="18.6" customHeight="1" spans="1:38">
      <c r="A10" s="6">
        <v>6</v>
      </c>
      <c r="B10" s="266">
        <v>14.2</v>
      </c>
      <c r="C10" s="267" t="s">
        <v>49</v>
      </c>
      <c r="D10" s="268">
        <v>152134</v>
      </c>
      <c r="E10" s="269">
        <v>87.22</v>
      </c>
      <c r="F10" s="269">
        <v>16.52</v>
      </c>
      <c r="G10" s="269">
        <v>0</v>
      </c>
      <c r="H10" s="270">
        <v>75</v>
      </c>
      <c r="I10" s="6">
        <v>4758</v>
      </c>
      <c r="J10" s="277">
        <v>48500.0000000218</v>
      </c>
      <c r="K10" s="278">
        <v>0</v>
      </c>
      <c r="L10" s="278">
        <v>0.2</v>
      </c>
      <c r="M10" s="278">
        <v>3266</v>
      </c>
      <c r="N10" s="278">
        <v>1128</v>
      </c>
      <c r="O10" s="279">
        <v>3.34999999999991</v>
      </c>
      <c r="P10" s="280">
        <v>0</v>
      </c>
      <c r="Q10" s="290">
        <v>5446</v>
      </c>
      <c r="R10" s="291">
        <f t="shared" si="0"/>
        <v>146688</v>
      </c>
      <c r="S10" s="292">
        <v>190000</v>
      </c>
      <c r="T10" s="293" t="s">
        <v>50</v>
      </c>
      <c r="U10" s="294">
        <f>T18</f>
        <v>24358.69</v>
      </c>
      <c r="V10" s="287" t="s">
        <v>51</v>
      </c>
      <c r="W10" s="296"/>
      <c r="X10" s="296"/>
      <c r="Y10" s="324"/>
      <c r="Z10" s="324"/>
      <c r="AB10" s="323">
        <f t="shared" si="1"/>
        <v>103.74</v>
      </c>
      <c r="AD10" s="3">
        <f t="shared" si="2"/>
        <v>0</v>
      </c>
      <c r="AE10" s="3">
        <f t="shared" si="3"/>
        <v>0.0143160994764398</v>
      </c>
      <c r="AF10" s="3">
        <f t="shared" si="4"/>
        <v>1.41797556719023e-5</v>
      </c>
      <c r="AG10" s="3">
        <f t="shared" si="5"/>
        <v>0.0104199934554974</v>
      </c>
      <c r="AH10" s="3">
        <f t="shared" si="6"/>
        <v>0.0464770942408377</v>
      </c>
      <c r="AI10" s="3">
        <f t="shared" si="7"/>
        <v>0.0712273669284468</v>
      </c>
      <c r="AK10" s="3">
        <f>AB10*(100-进出水!T12)/100</f>
        <v>21.88914</v>
      </c>
      <c r="AL10" s="3">
        <f t="shared" si="8"/>
        <v>3.42635663164473</v>
      </c>
    </row>
    <row r="11" ht="18.6" customHeight="1" spans="1:38">
      <c r="A11" s="6">
        <v>7</v>
      </c>
      <c r="B11" s="266">
        <v>15.2</v>
      </c>
      <c r="C11" s="267" t="s">
        <v>44</v>
      </c>
      <c r="D11" s="268">
        <v>147959</v>
      </c>
      <c r="E11" s="269">
        <v>88.2</v>
      </c>
      <c r="F11" s="269">
        <v>0</v>
      </c>
      <c r="G11" s="269">
        <v>0</v>
      </c>
      <c r="H11" s="270">
        <v>200</v>
      </c>
      <c r="I11" s="13">
        <v>5394</v>
      </c>
      <c r="J11" s="281">
        <v>47500</v>
      </c>
      <c r="K11" s="278">
        <v>0</v>
      </c>
      <c r="L11" s="278">
        <v>0</v>
      </c>
      <c r="M11" s="278">
        <v>5325</v>
      </c>
      <c r="N11" s="278">
        <v>1752</v>
      </c>
      <c r="O11" s="279">
        <v>2.14999999999998</v>
      </c>
      <c r="P11" s="280">
        <v>0</v>
      </c>
      <c r="Q11" s="290">
        <v>5446</v>
      </c>
      <c r="R11" s="291">
        <f t="shared" si="0"/>
        <v>142513</v>
      </c>
      <c r="S11" s="292">
        <v>190000</v>
      </c>
      <c r="T11" s="293" t="s">
        <v>52</v>
      </c>
      <c r="U11" s="294">
        <f>汇总!J5*4.21</f>
        <v>14928.66</v>
      </c>
      <c r="V11" s="287"/>
      <c r="W11" s="58">
        <v>4.2</v>
      </c>
      <c r="X11" s="58"/>
      <c r="Y11" s="58"/>
      <c r="Z11" s="286"/>
      <c r="AB11" s="323">
        <f t="shared" si="1"/>
        <v>88.2</v>
      </c>
      <c r="AD11" s="3">
        <f t="shared" si="2"/>
        <v>0</v>
      </c>
      <c r="AE11" s="3">
        <f t="shared" si="3"/>
        <v>0.0392946608379586</v>
      </c>
      <c r="AF11" s="3">
        <f t="shared" si="4"/>
        <v>0</v>
      </c>
      <c r="AG11" s="3">
        <f t="shared" si="5"/>
        <v>0.0174868257632637</v>
      </c>
      <c r="AH11" s="3">
        <f t="shared" si="6"/>
        <v>0.0743026109898746</v>
      </c>
      <c r="AI11" s="3">
        <f t="shared" si="7"/>
        <v>0.131084097591097</v>
      </c>
      <c r="AK11" s="3">
        <f>AB11*(100-进出水!T13)/100</f>
        <v>19.1394</v>
      </c>
      <c r="AL11" s="3">
        <f t="shared" si="8"/>
        <v>10.4496483693324</v>
      </c>
    </row>
    <row r="12" ht="18.6" customHeight="1" spans="1:38">
      <c r="A12" s="6">
        <v>8</v>
      </c>
      <c r="B12" s="266">
        <v>15.6</v>
      </c>
      <c r="C12" s="267" t="s">
        <v>44</v>
      </c>
      <c r="D12" s="270">
        <v>150832</v>
      </c>
      <c r="E12" s="269">
        <v>50.22</v>
      </c>
      <c r="F12" s="269">
        <v>0</v>
      </c>
      <c r="G12" s="269">
        <v>0</v>
      </c>
      <c r="H12" s="270">
        <v>150</v>
      </c>
      <c r="I12" s="6">
        <v>5728</v>
      </c>
      <c r="J12" s="277">
        <v>48799.9999999738</v>
      </c>
      <c r="K12" s="278">
        <v>0</v>
      </c>
      <c r="L12" s="278">
        <v>0</v>
      </c>
      <c r="M12" s="278">
        <v>3266</v>
      </c>
      <c r="N12" s="278">
        <v>1152</v>
      </c>
      <c r="O12" s="279">
        <v>1.80000000000007</v>
      </c>
      <c r="P12" s="280">
        <v>0</v>
      </c>
      <c r="Q12" s="290">
        <v>5348</v>
      </c>
      <c r="R12" s="291">
        <f t="shared" si="0"/>
        <v>145484</v>
      </c>
      <c r="S12" s="292">
        <v>190000</v>
      </c>
      <c r="T12" s="297"/>
      <c r="U12" s="298"/>
      <c r="V12" s="296"/>
      <c r="W12" s="296"/>
      <c r="X12" s="296"/>
      <c r="AB12" s="323">
        <f t="shared" si="1"/>
        <v>50.22</v>
      </c>
      <c r="AD12" s="3">
        <f t="shared" si="2"/>
        <v>0</v>
      </c>
      <c r="AE12" s="3">
        <f t="shared" si="3"/>
        <v>0.0288691539963157</v>
      </c>
      <c r="AF12" s="3">
        <f t="shared" si="4"/>
        <v>0</v>
      </c>
      <c r="AG12" s="3">
        <f t="shared" si="5"/>
        <v>0.0105062274889335</v>
      </c>
      <c r="AH12" s="3">
        <f t="shared" si="6"/>
        <v>0.0478587885953095</v>
      </c>
      <c r="AI12" s="3">
        <f t="shared" si="7"/>
        <v>0.0872341700805587</v>
      </c>
      <c r="AK12" s="3">
        <f>AB12*(100-进出水!T14)/100</f>
        <v>10.89774</v>
      </c>
      <c r="AL12" s="3">
        <f t="shared" si="8"/>
        <v>13.7643217768088</v>
      </c>
    </row>
    <row r="13" ht="18.6" customHeight="1" spans="1:38">
      <c r="A13" s="6">
        <v>9</v>
      </c>
      <c r="B13" s="266">
        <v>15.5</v>
      </c>
      <c r="C13" s="267" t="s">
        <v>49</v>
      </c>
      <c r="D13" s="268">
        <v>157832</v>
      </c>
      <c r="E13" s="269">
        <v>70.7</v>
      </c>
      <c r="F13" s="269">
        <v>0</v>
      </c>
      <c r="G13" s="269">
        <v>0</v>
      </c>
      <c r="H13" s="270">
        <v>100</v>
      </c>
      <c r="I13" s="6">
        <v>5322</v>
      </c>
      <c r="J13" s="277">
        <v>49200.0000000189</v>
      </c>
      <c r="K13" s="278">
        <v>0</v>
      </c>
      <c r="L13" s="278">
        <v>0.2</v>
      </c>
      <c r="M13" s="278">
        <v>2840</v>
      </c>
      <c r="N13" s="278">
        <v>1008</v>
      </c>
      <c r="O13" s="279">
        <v>1.75000000000011</v>
      </c>
      <c r="P13" s="280">
        <v>0</v>
      </c>
      <c r="Q13" s="290">
        <v>5906</v>
      </c>
      <c r="R13" s="291">
        <f t="shared" si="0"/>
        <v>151926</v>
      </c>
      <c r="S13" s="292">
        <v>190000</v>
      </c>
      <c r="T13" s="293"/>
      <c r="U13" s="299">
        <f>U14/R34</f>
        <v>0.0758046729875493</v>
      </c>
      <c r="V13" s="58"/>
      <c r="W13" s="58"/>
      <c r="X13" s="296"/>
      <c r="AB13" s="323">
        <f t="shared" si="1"/>
        <v>70.7</v>
      </c>
      <c r="AD13" s="3">
        <f t="shared" si="2"/>
        <v>0</v>
      </c>
      <c r="AE13" s="3">
        <f t="shared" si="3"/>
        <v>0.01843002514382</v>
      </c>
      <c r="AF13" s="3">
        <f t="shared" si="4"/>
        <v>1.36908758211234e-5</v>
      </c>
      <c r="AG13" s="3">
        <f t="shared" si="5"/>
        <v>0.00874846964969788</v>
      </c>
      <c r="AH13" s="3">
        <f t="shared" si="6"/>
        <v>0.0401007859089293</v>
      </c>
      <c r="AI13" s="3">
        <f t="shared" si="7"/>
        <v>0.0672929715782683</v>
      </c>
      <c r="AK13" s="3">
        <f>AB13*(100-进出水!T15)/100</f>
        <v>15.0591</v>
      </c>
      <c r="AL13" s="3">
        <f t="shared" si="8"/>
        <v>6.64050308451368</v>
      </c>
    </row>
    <row r="14" ht="18.6" customHeight="1" spans="1:38">
      <c r="A14" s="6">
        <v>10</v>
      </c>
      <c r="B14" s="266">
        <v>14</v>
      </c>
      <c r="C14" s="267" t="s">
        <v>44</v>
      </c>
      <c r="D14" s="268">
        <v>178453</v>
      </c>
      <c r="E14" s="269">
        <v>91.28</v>
      </c>
      <c r="F14" s="269">
        <v>0</v>
      </c>
      <c r="G14" s="269">
        <v>60</v>
      </c>
      <c r="H14" s="270">
        <v>125</v>
      </c>
      <c r="I14" s="6">
        <v>5188</v>
      </c>
      <c r="J14" s="277">
        <v>49500.0000000073</v>
      </c>
      <c r="K14" s="278">
        <v>0</v>
      </c>
      <c r="L14" s="278">
        <v>0</v>
      </c>
      <c r="M14" s="278">
        <v>2698</v>
      </c>
      <c r="N14" s="278">
        <v>864</v>
      </c>
      <c r="O14" s="279">
        <v>0.550000000000068</v>
      </c>
      <c r="P14" s="280">
        <v>0</v>
      </c>
      <c r="Q14" s="290">
        <v>5197</v>
      </c>
      <c r="R14" s="291">
        <f t="shared" si="0"/>
        <v>173256</v>
      </c>
      <c r="S14" s="292">
        <v>190000</v>
      </c>
      <c r="T14" s="300" t="s">
        <v>53</v>
      </c>
      <c r="U14" s="301">
        <f>U5+U6+U7+U8+U9</f>
        <v>351275.216</v>
      </c>
      <c r="V14" s="302" t="s">
        <v>54</v>
      </c>
      <c r="W14" s="303">
        <f>U6+U9</f>
        <v>14050.4</v>
      </c>
      <c r="X14" s="296"/>
      <c r="AB14" s="323">
        <f t="shared" si="1"/>
        <v>151.28</v>
      </c>
      <c r="AD14" s="3">
        <f t="shared" si="2"/>
        <v>0</v>
      </c>
      <c r="AE14" s="3">
        <f t="shared" si="3"/>
        <v>0.0202013205891859</v>
      </c>
      <c r="AF14" s="3">
        <f t="shared" si="4"/>
        <v>0</v>
      </c>
      <c r="AG14" s="3">
        <f t="shared" si="5"/>
        <v>0.00728785150297825</v>
      </c>
      <c r="AH14" s="3">
        <f t="shared" si="6"/>
        <v>0.0301404626679595</v>
      </c>
      <c r="AI14" s="3">
        <f t="shared" si="7"/>
        <v>0.0576296347601237</v>
      </c>
      <c r="AK14" s="3">
        <f>AB14*(100-进出水!T16)/100</f>
        <v>32.22264</v>
      </c>
      <c r="AL14" s="3">
        <f t="shared" si="8"/>
        <v>3.87926004821455</v>
      </c>
    </row>
    <row r="15" ht="18.6" customHeight="1" spans="1:38">
      <c r="A15" s="6">
        <v>11</v>
      </c>
      <c r="B15" s="266">
        <v>15.2</v>
      </c>
      <c r="C15" s="267" t="s">
        <v>49</v>
      </c>
      <c r="D15" s="268">
        <v>192947</v>
      </c>
      <c r="E15" s="269">
        <v>37.16</v>
      </c>
      <c r="F15" s="269">
        <v>0</v>
      </c>
      <c r="G15" s="269">
        <v>0</v>
      </c>
      <c r="H15" s="270">
        <v>125</v>
      </c>
      <c r="I15" s="6">
        <v>4710</v>
      </c>
      <c r="J15" s="281">
        <v>52399.9999999796</v>
      </c>
      <c r="K15" s="278">
        <v>0</v>
      </c>
      <c r="L15" s="278">
        <v>0</v>
      </c>
      <c r="M15" s="278">
        <v>1491</v>
      </c>
      <c r="N15" s="278">
        <v>552</v>
      </c>
      <c r="O15" s="279">
        <v>0</v>
      </c>
      <c r="P15" s="280">
        <v>0</v>
      </c>
      <c r="Q15" s="290">
        <v>5463</v>
      </c>
      <c r="R15" s="291">
        <f t="shared" si="0"/>
        <v>187484</v>
      </c>
      <c r="S15" s="292">
        <v>190000</v>
      </c>
      <c r="T15" s="300" t="s">
        <v>55</v>
      </c>
      <c r="U15" s="304" t="s">
        <v>56</v>
      </c>
      <c r="V15" s="304" t="s">
        <v>57</v>
      </c>
      <c r="W15" s="305" t="s">
        <v>58</v>
      </c>
      <c r="X15" s="296"/>
      <c r="AB15" s="323">
        <f t="shared" si="1"/>
        <v>37.16</v>
      </c>
      <c r="AD15" s="3">
        <f t="shared" si="2"/>
        <v>0</v>
      </c>
      <c r="AE15" s="3">
        <f t="shared" si="3"/>
        <v>0.0186682596914937</v>
      </c>
      <c r="AF15" s="3">
        <f t="shared" si="4"/>
        <v>0</v>
      </c>
      <c r="AG15" s="3">
        <f t="shared" si="5"/>
        <v>0.00372185359817371</v>
      </c>
      <c r="AH15" s="3">
        <f t="shared" si="6"/>
        <v>0.0177950545113183</v>
      </c>
      <c r="AI15" s="3">
        <f t="shared" si="7"/>
        <v>0.0401851678009857</v>
      </c>
      <c r="AK15" s="3">
        <f>AB15*(100-进出水!T17)/100</f>
        <v>7.87792</v>
      </c>
      <c r="AL15" s="3">
        <f t="shared" si="8"/>
        <v>15.8671324410504</v>
      </c>
    </row>
    <row r="16" ht="18.6" customHeight="1" spans="1:38">
      <c r="A16" s="6">
        <v>12</v>
      </c>
      <c r="B16" s="266">
        <v>15.4</v>
      </c>
      <c r="C16" s="267" t="s">
        <v>49</v>
      </c>
      <c r="D16" s="268">
        <v>187286</v>
      </c>
      <c r="E16" s="269">
        <v>72.56</v>
      </c>
      <c r="F16" s="269">
        <v>0</v>
      </c>
      <c r="G16" s="269">
        <v>90</v>
      </c>
      <c r="H16" s="270">
        <v>225</v>
      </c>
      <c r="I16" s="6">
        <v>4264</v>
      </c>
      <c r="J16" s="282">
        <v>51300.0000000102</v>
      </c>
      <c r="K16" s="278">
        <v>0</v>
      </c>
      <c r="L16" s="278">
        <v>0.2</v>
      </c>
      <c r="M16" s="278">
        <v>3124</v>
      </c>
      <c r="N16" s="278">
        <v>1080</v>
      </c>
      <c r="O16" s="279">
        <v>0</v>
      </c>
      <c r="P16" s="280">
        <v>0</v>
      </c>
      <c r="Q16" s="290">
        <v>5489</v>
      </c>
      <c r="R16" s="291">
        <f t="shared" si="0"/>
        <v>181797</v>
      </c>
      <c r="S16" s="292">
        <v>190000</v>
      </c>
      <c r="T16" s="306">
        <f>U16+V16+W16</f>
        <v>2763.58</v>
      </c>
      <c r="U16" s="303">
        <f>F34</f>
        <v>344.12</v>
      </c>
      <c r="V16" s="303">
        <f>E34</f>
        <v>2141.46</v>
      </c>
      <c r="W16" s="303">
        <f>G34</f>
        <v>278</v>
      </c>
      <c r="X16" s="296"/>
      <c r="AB16" s="323">
        <f t="shared" si="1"/>
        <v>162.56</v>
      </c>
      <c r="AD16" s="3">
        <f t="shared" si="2"/>
        <v>0</v>
      </c>
      <c r="AE16" s="3">
        <f t="shared" si="3"/>
        <v>0.0346540371953333</v>
      </c>
      <c r="AF16" s="3">
        <f t="shared" si="4"/>
        <v>1.14413329152846e-5</v>
      </c>
      <c r="AG16" s="3">
        <f t="shared" si="5"/>
        <v>0.00804211290615357</v>
      </c>
      <c r="AH16" s="3">
        <f t="shared" si="6"/>
        <v>0.035905542995759</v>
      </c>
      <c r="AI16" s="3">
        <f t="shared" si="7"/>
        <v>0.0786131344301612</v>
      </c>
      <c r="AK16" s="3">
        <f>AB16*(100-进出水!T18)/100</f>
        <v>34.78784</v>
      </c>
      <c r="AL16" s="3">
        <f t="shared" si="8"/>
        <v>6.46777724630215</v>
      </c>
    </row>
    <row r="17" ht="18.6" customHeight="1" spans="1:38">
      <c r="A17" s="6">
        <v>13</v>
      </c>
      <c r="B17" s="266">
        <v>15.1</v>
      </c>
      <c r="C17" s="267" t="s">
        <v>49</v>
      </c>
      <c r="D17" s="268">
        <v>185915</v>
      </c>
      <c r="E17" s="269">
        <v>32.44</v>
      </c>
      <c r="F17" s="269">
        <v>0</v>
      </c>
      <c r="G17" s="269">
        <v>0</v>
      </c>
      <c r="H17" s="270">
        <v>150</v>
      </c>
      <c r="I17" s="6">
        <v>5112</v>
      </c>
      <c r="J17" s="282">
        <v>50800.0000000175</v>
      </c>
      <c r="K17" s="278">
        <v>0</v>
      </c>
      <c r="L17" s="278">
        <v>0</v>
      </c>
      <c r="M17" s="278">
        <v>3266</v>
      </c>
      <c r="N17" s="278">
        <v>1128</v>
      </c>
      <c r="O17" s="279">
        <v>0</v>
      </c>
      <c r="P17" s="280">
        <v>0</v>
      </c>
      <c r="Q17" s="290">
        <v>5468</v>
      </c>
      <c r="R17" s="291">
        <f t="shared" si="0"/>
        <v>180447</v>
      </c>
      <c r="S17" s="292">
        <v>190000</v>
      </c>
      <c r="T17" s="300" t="s">
        <v>59</v>
      </c>
      <c r="U17" s="307">
        <v>9.8</v>
      </c>
      <c r="V17" s="307">
        <v>9.8</v>
      </c>
      <c r="W17" s="302"/>
      <c r="X17" s="296"/>
      <c r="AB17" s="323">
        <f t="shared" si="1"/>
        <v>32.44</v>
      </c>
      <c r="AD17" s="3">
        <f t="shared" si="2"/>
        <v>0</v>
      </c>
      <c r="AE17" s="3">
        <f t="shared" si="3"/>
        <v>0.0232755324278043</v>
      </c>
      <c r="AF17" s="3">
        <f t="shared" si="4"/>
        <v>0</v>
      </c>
      <c r="AG17" s="3">
        <f t="shared" si="5"/>
        <v>0.00847056476416898</v>
      </c>
      <c r="AH17" s="3">
        <f t="shared" si="6"/>
        <v>0.0377819082611515</v>
      </c>
      <c r="AI17" s="3">
        <f t="shared" si="7"/>
        <v>0.0695280054531248</v>
      </c>
      <c r="AK17" s="3">
        <f>AB17*(100-进出水!T19)/100</f>
        <v>7.00704</v>
      </c>
      <c r="AL17" s="3">
        <f t="shared" si="8"/>
        <v>21.4070420605563</v>
      </c>
    </row>
    <row r="18" ht="18.6" customHeight="1" spans="1:38">
      <c r="A18" s="6">
        <v>14</v>
      </c>
      <c r="B18" s="266">
        <v>14.7</v>
      </c>
      <c r="C18" s="267" t="s">
        <v>42</v>
      </c>
      <c r="D18" s="268">
        <v>183062</v>
      </c>
      <c r="E18" s="269">
        <v>71.1</v>
      </c>
      <c r="F18" s="269">
        <v>0</v>
      </c>
      <c r="G18" s="269">
        <v>0</v>
      </c>
      <c r="H18" s="270">
        <v>125</v>
      </c>
      <c r="I18" s="6">
        <v>4328</v>
      </c>
      <c r="J18" s="282">
        <v>47699.999999968</v>
      </c>
      <c r="K18" s="278">
        <v>1560</v>
      </c>
      <c r="L18" s="278">
        <v>0.2</v>
      </c>
      <c r="M18" s="278">
        <v>3337</v>
      </c>
      <c r="N18" s="278">
        <v>1176</v>
      </c>
      <c r="O18" s="279">
        <v>0</v>
      </c>
      <c r="P18" s="280">
        <v>0</v>
      </c>
      <c r="Q18" s="290">
        <v>5484</v>
      </c>
      <c r="R18" s="291">
        <f t="shared" si="0"/>
        <v>177578</v>
      </c>
      <c r="S18" s="292">
        <v>190000</v>
      </c>
      <c r="T18" s="306">
        <f>U18+V18</f>
        <v>24358.69</v>
      </c>
      <c r="U18" s="308">
        <f>ROUND(U16*U17,2)</f>
        <v>3372.38</v>
      </c>
      <c r="V18" s="305">
        <f>ROUND(V16*V17,2)</f>
        <v>20986.31</v>
      </c>
      <c r="W18" s="302"/>
      <c r="X18" s="296"/>
      <c r="AB18" s="323">
        <f t="shared" si="1"/>
        <v>71.1</v>
      </c>
      <c r="AD18" s="3">
        <f t="shared" si="2"/>
        <v>0.00365450675196252</v>
      </c>
      <c r="AE18" s="3">
        <f t="shared" si="3"/>
        <v>0.0197096487177466</v>
      </c>
      <c r="AF18" s="3">
        <f t="shared" si="4"/>
        <v>1.17131626665465e-5</v>
      </c>
      <c r="AG18" s="3">
        <f t="shared" si="5"/>
        <v>0.0087945353591098</v>
      </c>
      <c r="AH18" s="3">
        <f t="shared" si="6"/>
        <v>0.0400260392616202</v>
      </c>
      <c r="AI18" s="3">
        <f t="shared" si="7"/>
        <v>0.0721964432531057</v>
      </c>
      <c r="AK18" s="3">
        <f>AB18*(100-进出水!T20)/100</f>
        <v>15.1443</v>
      </c>
      <c r="AL18" s="3">
        <f t="shared" si="8"/>
        <v>8.25393052171444</v>
      </c>
    </row>
    <row r="19" ht="18.6" customHeight="1" spans="1:38">
      <c r="A19" s="6">
        <v>15</v>
      </c>
      <c r="B19" s="266">
        <v>15.2</v>
      </c>
      <c r="C19" s="267" t="s">
        <v>42</v>
      </c>
      <c r="D19" s="268">
        <v>181934</v>
      </c>
      <c r="E19" s="269">
        <v>72.52</v>
      </c>
      <c r="F19" s="269">
        <v>0</v>
      </c>
      <c r="G19" s="269">
        <v>8</v>
      </c>
      <c r="H19" s="270">
        <v>125</v>
      </c>
      <c r="I19" s="6">
        <v>4372</v>
      </c>
      <c r="J19" s="282">
        <v>49800.000000032</v>
      </c>
      <c r="K19" s="278">
        <v>0</v>
      </c>
      <c r="L19" s="278">
        <v>0</v>
      </c>
      <c r="M19" s="278">
        <v>3479</v>
      </c>
      <c r="N19" s="278">
        <v>1200</v>
      </c>
      <c r="O19" s="279">
        <v>0</v>
      </c>
      <c r="P19" s="280">
        <v>0</v>
      </c>
      <c r="Q19" s="290">
        <v>5470</v>
      </c>
      <c r="R19" s="291">
        <f t="shared" si="0"/>
        <v>176464</v>
      </c>
      <c r="S19" s="292">
        <v>190000</v>
      </c>
      <c r="T19" s="300" t="s">
        <v>60</v>
      </c>
      <c r="U19" s="304"/>
      <c r="V19" s="307">
        <v>0</v>
      </c>
      <c r="W19" s="302"/>
      <c r="X19" s="296"/>
      <c r="AB19" s="323">
        <f t="shared" si="1"/>
        <v>80.52</v>
      </c>
      <c r="AD19" s="3">
        <f t="shared" si="2"/>
        <v>0</v>
      </c>
      <c r="AE19" s="3">
        <f t="shared" si="3"/>
        <v>0.0198340738054221</v>
      </c>
      <c r="AF19" s="3">
        <f t="shared" si="4"/>
        <v>0</v>
      </c>
      <c r="AG19" s="3">
        <f t="shared" si="5"/>
        <v>0.0092266524616919</v>
      </c>
      <c r="AH19" s="3">
        <f t="shared" si="6"/>
        <v>0.0411007344274186</v>
      </c>
      <c r="AI19" s="3">
        <f t="shared" si="7"/>
        <v>0.0701614606945326</v>
      </c>
      <c r="AK19" s="3">
        <f>AB19*(100-进出水!T21)/100</f>
        <v>17.3118</v>
      </c>
      <c r="AL19" s="3">
        <f t="shared" si="8"/>
        <v>7.22050855485854</v>
      </c>
    </row>
    <row r="20" ht="18.6" customHeight="1" spans="1:38">
      <c r="A20" s="6">
        <v>16</v>
      </c>
      <c r="B20" s="266">
        <v>15.5</v>
      </c>
      <c r="C20" s="267" t="s">
        <v>42</v>
      </c>
      <c r="D20" s="268">
        <v>204424</v>
      </c>
      <c r="E20" s="269">
        <v>85.14</v>
      </c>
      <c r="F20" s="269">
        <v>17.04</v>
      </c>
      <c r="G20" s="269">
        <v>30</v>
      </c>
      <c r="H20" s="270">
        <v>125</v>
      </c>
      <c r="I20" s="6">
        <v>4632</v>
      </c>
      <c r="J20" s="282">
        <v>55599.9999999767</v>
      </c>
      <c r="K20" s="278">
        <v>0</v>
      </c>
      <c r="L20" s="278">
        <v>0</v>
      </c>
      <c r="M20" s="278">
        <v>3266</v>
      </c>
      <c r="N20" s="278">
        <v>1128</v>
      </c>
      <c r="O20" s="279">
        <v>0</v>
      </c>
      <c r="P20" s="280">
        <v>0</v>
      </c>
      <c r="Q20" s="290">
        <v>5487</v>
      </c>
      <c r="R20" s="291">
        <f t="shared" si="0"/>
        <v>198937</v>
      </c>
      <c r="S20" s="292">
        <v>198936</v>
      </c>
      <c r="T20" s="306">
        <f>U20+V20</f>
        <v>0</v>
      </c>
      <c r="U20" s="304"/>
      <c r="V20" s="305">
        <f>ROUND(V16*V19,2)</f>
        <v>0</v>
      </c>
      <c r="W20" s="302"/>
      <c r="X20" s="296"/>
      <c r="AB20" s="323">
        <f t="shared" si="1"/>
        <v>132.18</v>
      </c>
      <c r="AD20" s="3">
        <f t="shared" si="2"/>
        <v>0</v>
      </c>
      <c r="AE20" s="3">
        <f t="shared" si="3"/>
        <v>0.0175935095030085</v>
      </c>
      <c r="AF20" s="3">
        <f t="shared" si="4"/>
        <v>0</v>
      </c>
      <c r="AG20" s="3">
        <f t="shared" si="5"/>
        <v>0.00768327661520984</v>
      </c>
      <c r="AH20" s="3">
        <f t="shared" si="6"/>
        <v>0.0342703066800042</v>
      </c>
      <c r="AI20" s="3">
        <f t="shared" si="7"/>
        <v>0.0595470927982225</v>
      </c>
      <c r="AK20" s="3">
        <f>AB20*(100-进出水!T22)/100</f>
        <v>28.81524</v>
      </c>
      <c r="AL20" s="3">
        <f t="shared" si="8"/>
        <v>4.33798226216405</v>
      </c>
    </row>
    <row r="21" ht="18.6" customHeight="1" spans="1:38">
      <c r="A21" s="6">
        <v>17</v>
      </c>
      <c r="B21" s="266">
        <v>15.8</v>
      </c>
      <c r="C21" s="267" t="s">
        <v>44</v>
      </c>
      <c r="D21" s="268">
        <v>201762</v>
      </c>
      <c r="E21" s="269">
        <v>91.22</v>
      </c>
      <c r="F21" s="269">
        <v>0</v>
      </c>
      <c r="G21" s="269">
        <v>0</v>
      </c>
      <c r="H21" s="270">
        <v>125</v>
      </c>
      <c r="I21" s="6">
        <v>4544</v>
      </c>
      <c r="J21" s="282">
        <v>56900.0000000233</v>
      </c>
      <c r="K21" s="278">
        <v>0</v>
      </c>
      <c r="L21" s="278">
        <v>0.2</v>
      </c>
      <c r="M21" s="278">
        <v>2840</v>
      </c>
      <c r="N21" s="278">
        <v>1008</v>
      </c>
      <c r="O21" s="279">
        <v>0</v>
      </c>
      <c r="P21" s="280">
        <v>0</v>
      </c>
      <c r="Q21" s="290">
        <v>5188</v>
      </c>
      <c r="R21" s="291">
        <f t="shared" si="0"/>
        <v>196574</v>
      </c>
      <c r="S21" s="292">
        <v>196570</v>
      </c>
      <c r="T21" s="300" t="s">
        <v>61</v>
      </c>
      <c r="U21" s="309" t="s">
        <v>62</v>
      </c>
      <c r="V21" s="288">
        <v>9.8</v>
      </c>
      <c r="W21" s="58" t="s">
        <v>63</v>
      </c>
      <c r="X21" s="296"/>
      <c r="AB21" s="323">
        <f t="shared" si="1"/>
        <v>91.22</v>
      </c>
      <c r="AD21" s="3">
        <f t="shared" si="2"/>
        <v>0</v>
      </c>
      <c r="AE21" s="3">
        <f t="shared" si="3"/>
        <v>0.0178049996439</v>
      </c>
      <c r="AF21" s="3">
        <f t="shared" si="4"/>
        <v>1.0581256931232e-5</v>
      </c>
      <c r="AG21" s="3">
        <f t="shared" si="5"/>
        <v>0.00676142317905725</v>
      </c>
      <c r="AH21" s="3">
        <f t="shared" si="6"/>
        <v>0.0309926643401467</v>
      </c>
      <c r="AI21" s="3">
        <f t="shared" si="7"/>
        <v>0.0555696684200352</v>
      </c>
      <c r="AK21" s="3">
        <f>AB21*(100-进出水!T23)/100</f>
        <v>19.79474</v>
      </c>
      <c r="AL21" s="3">
        <f t="shared" si="8"/>
        <v>6.3148088835721</v>
      </c>
    </row>
    <row r="22" ht="18.6" customHeight="1" spans="1:38">
      <c r="A22" s="6">
        <v>18</v>
      </c>
      <c r="B22" s="266">
        <v>15.5</v>
      </c>
      <c r="C22" s="267" t="s">
        <v>44</v>
      </c>
      <c r="D22" s="268">
        <v>192924</v>
      </c>
      <c r="E22" s="269">
        <v>106.26</v>
      </c>
      <c r="F22" s="269">
        <v>0</v>
      </c>
      <c r="G22" s="269">
        <v>30</v>
      </c>
      <c r="H22" s="270">
        <v>200</v>
      </c>
      <c r="I22" s="6">
        <v>4366</v>
      </c>
      <c r="J22" s="65">
        <v>58199.9999999971</v>
      </c>
      <c r="K22" s="278">
        <v>0</v>
      </c>
      <c r="L22" s="278">
        <v>0</v>
      </c>
      <c r="M22" s="278">
        <v>852</v>
      </c>
      <c r="N22" s="278">
        <v>360</v>
      </c>
      <c r="O22" s="279">
        <v>0</v>
      </c>
      <c r="P22" s="280">
        <v>0</v>
      </c>
      <c r="Q22" s="290">
        <v>4765</v>
      </c>
      <c r="R22" s="291">
        <f t="shared" si="0"/>
        <v>188159</v>
      </c>
      <c r="S22" s="292">
        <v>190000</v>
      </c>
      <c r="T22" s="306">
        <f>T18+T20</f>
        <v>24358.69</v>
      </c>
      <c r="U22" s="309"/>
      <c r="V22" s="58"/>
      <c r="W22" s="310">
        <f>T16-E34-F34-G34</f>
        <v>0</v>
      </c>
      <c r="X22" s="296"/>
      <c r="AB22" s="323">
        <f t="shared" si="1"/>
        <v>136.26</v>
      </c>
      <c r="AD22" s="3">
        <f t="shared" si="2"/>
        <v>0</v>
      </c>
      <c r="AE22" s="3">
        <f t="shared" si="3"/>
        <v>0.0297620629361338</v>
      </c>
      <c r="AF22" s="3">
        <f t="shared" si="4"/>
        <v>0</v>
      </c>
      <c r="AG22" s="3">
        <f t="shared" si="5"/>
        <v>0.00211914391551826</v>
      </c>
      <c r="AH22" s="3">
        <f t="shared" si="6"/>
        <v>0.011563836967671</v>
      </c>
      <c r="AI22" s="3">
        <f t="shared" si="7"/>
        <v>0.0434450438193231</v>
      </c>
      <c r="AK22" s="3">
        <f>AB22*(100-进出水!T24)/100</f>
        <v>29.15964</v>
      </c>
      <c r="AL22" s="3">
        <f t="shared" si="8"/>
        <v>6.8587952388987</v>
      </c>
    </row>
    <row r="23" ht="18.6" customHeight="1" spans="1:38">
      <c r="A23" s="6">
        <v>19</v>
      </c>
      <c r="B23" s="266">
        <v>15.2</v>
      </c>
      <c r="C23" s="267" t="s">
        <v>42</v>
      </c>
      <c r="D23" s="268">
        <v>188315</v>
      </c>
      <c r="E23" s="269">
        <v>0</v>
      </c>
      <c r="F23" s="269">
        <v>33.42</v>
      </c>
      <c r="G23" s="269">
        <v>0</v>
      </c>
      <c r="H23" s="270">
        <v>125</v>
      </c>
      <c r="I23" s="6">
        <v>3888</v>
      </c>
      <c r="J23" s="65">
        <v>56699.9999999825</v>
      </c>
      <c r="K23" s="278">
        <v>0</v>
      </c>
      <c r="L23" s="278">
        <v>0.2</v>
      </c>
      <c r="M23" s="278">
        <v>1775</v>
      </c>
      <c r="N23" s="278">
        <v>720</v>
      </c>
      <c r="O23" s="279">
        <v>0</v>
      </c>
      <c r="P23" s="280">
        <v>0</v>
      </c>
      <c r="Q23" s="290">
        <v>5488</v>
      </c>
      <c r="R23" s="291">
        <f t="shared" si="0"/>
        <v>182827</v>
      </c>
      <c r="S23" s="292">
        <v>190000</v>
      </c>
      <c r="T23" s="293"/>
      <c r="U23" s="311"/>
      <c r="V23" s="58"/>
      <c r="W23" s="58"/>
      <c r="X23" s="58"/>
      <c r="AB23" s="323">
        <f t="shared" si="1"/>
        <v>33.42</v>
      </c>
      <c r="AD23" s="3">
        <f t="shared" si="2"/>
        <v>0</v>
      </c>
      <c r="AE23" s="3">
        <f t="shared" si="3"/>
        <v>0.0191437807326051</v>
      </c>
      <c r="AF23" s="3">
        <f t="shared" si="4"/>
        <v>1.13768754068053e-5</v>
      </c>
      <c r="AG23" s="3">
        <f t="shared" si="5"/>
        <v>0.00454363961559288</v>
      </c>
      <c r="AH23" s="3">
        <f t="shared" si="6"/>
        <v>0.0238021736395609</v>
      </c>
      <c r="AI23" s="3">
        <f t="shared" si="7"/>
        <v>0.0475009708631657</v>
      </c>
      <c r="AK23" s="3">
        <f>AB23*(100-进出水!T25)/100</f>
        <v>7.08504</v>
      </c>
      <c r="AL23" s="3">
        <f t="shared" si="8"/>
        <v>17.642807944627</v>
      </c>
    </row>
    <row r="24" ht="18.6" customHeight="1" spans="1:38">
      <c r="A24" s="6">
        <v>20</v>
      </c>
      <c r="B24" s="266">
        <v>16.3</v>
      </c>
      <c r="C24" s="267" t="s">
        <v>42</v>
      </c>
      <c r="D24" s="268">
        <v>177606</v>
      </c>
      <c r="E24" s="269">
        <v>85.94</v>
      </c>
      <c r="F24" s="269">
        <v>36.56</v>
      </c>
      <c r="G24" s="269">
        <v>0</v>
      </c>
      <c r="H24" s="270">
        <v>125</v>
      </c>
      <c r="I24" s="6">
        <v>4100</v>
      </c>
      <c r="J24" s="65">
        <v>52000.0000000073</v>
      </c>
      <c r="K24" s="278">
        <v>0</v>
      </c>
      <c r="L24" s="278">
        <v>0</v>
      </c>
      <c r="M24" s="278">
        <v>2840</v>
      </c>
      <c r="N24" s="278">
        <v>1032</v>
      </c>
      <c r="O24" s="279">
        <v>0</v>
      </c>
      <c r="P24" s="280">
        <v>0</v>
      </c>
      <c r="Q24" s="290">
        <v>5475</v>
      </c>
      <c r="R24" s="291">
        <f t="shared" si="0"/>
        <v>172131</v>
      </c>
      <c r="S24" s="292">
        <v>190000</v>
      </c>
      <c r="T24" s="293" t="s">
        <v>64</v>
      </c>
      <c r="U24" s="311" t="s">
        <v>65</v>
      </c>
      <c r="V24" s="312">
        <f>H34</f>
        <v>4425</v>
      </c>
      <c r="W24" s="58">
        <f>L34</f>
        <v>2.2</v>
      </c>
      <c r="X24" s="58"/>
      <c r="AB24" s="323">
        <f t="shared" si="1"/>
        <v>122.5</v>
      </c>
      <c r="AD24" s="3">
        <f t="shared" si="2"/>
        <v>0</v>
      </c>
      <c r="AE24" s="3">
        <f t="shared" si="3"/>
        <v>0.0203333507619197</v>
      </c>
      <c r="AF24" s="3">
        <f t="shared" si="4"/>
        <v>0</v>
      </c>
      <c r="AG24" s="3">
        <f t="shared" si="5"/>
        <v>0.00772156090419506</v>
      </c>
      <c r="AH24" s="3">
        <f t="shared" si="6"/>
        <v>0.0362364013454869</v>
      </c>
      <c r="AI24" s="3">
        <f t="shared" si="7"/>
        <v>0.0642913130116017</v>
      </c>
      <c r="AK24" s="3">
        <f>AB24*(100-进出水!T26)/100</f>
        <v>26.3375</v>
      </c>
      <c r="AL24" s="3">
        <f t="shared" si="8"/>
        <v>4.74608448030375</v>
      </c>
    </row>
    <row r="25" ht="18.6" customHeight="1" spans="1:38">
      <c r="A25" s="6">
        <v>21</v>
      </c>
      <c r="B25" s="266">
        <v>16.5</v>
      </c>
      <c r="C25" s="267" t="s">
        <v>42</v>
      </c>
      <c r="D25" s="268">
        <v>169823</v>
      </c>
      <c r="E25" s="269">
        <v>83.34</v>
      </c>
      <c r="F25" s="269">
        <v>0</v>
      </c>
      <c r="G25" s="269">
        <v>15</v>
      </c>
      <c r="H25" s="270">
        <v>125</v>
      </c>
      <c r="I25" s="6">
        <v>4442</v>
      </c>
      <c r="J25" s="282">
        <v>51399.9999999942</v>
      </c>
      <c r="K25" s="278">
        <v>0</v>
      </c>
      <c r="L25" s="278">
        <v>0</v>
      </c>
      <c r="M25" s="278">
        <v>4615</v>
      </c>
      <c r="N25" s="278">
        <v>1536</v>
      </c>
      <c r="O25" s="279">
        <v>0</v>
      </c>
      <c r="P25" s="280">
        <v>0</v>
      </c>
      <c r="Q25" s="290">
        <v>5485</v>
      </c>
      <c r="R25" s="291">
        <f t="shared" si="0"/>
        <v>164338</v>
      </c>
      <c r="S25" s="292">
        <v>190000</v>
      </c>
      <c r="T25" s="293"/>
      <c r="U25" s="311" t="s">
        <v>66</v>
      </c>
      <c r="V25" s="287">
        <f>汇总!F6</f>
        <v>7.47518193984691</v>
      </c>
      <c r="W25" s="287">
        <f>W24/R34*1000</f>
        <v>0.000474756751904206</v>
      </c>
      <c r="X25" s="58"/>
      <c r="AB25" s="323">
        <f t="shared" si="1"/>
        <v>98.34</v>
      </c>
      <c r="AD25" s="3">
        <f t="shared" si="2"/>
        <v>0</v>
      </c>
      <c r="AE25" s="3">
        <f t="shared" si="3"/>
        <v>0.0212975696430527</v>
      </c>
      <c r="AF25" s="3">
        <f t="shared" si="4"/>
        <v>0</v>
      </c>
      <c r="AG25" s="3">
        <f t="shared" si="5"/>
        <v>0.0131425476761309</v>
      </c>
      <c r="AH25" s="3">
        <f t="shared" si="6"/>
        <v>0.0564907933648943</v>
      </c>
      <c r="AI25" s="3">
        <f t="shared" si="7"/>
        <v>0.0909309106840779</v>
      </c>
      <c r="AK25" s="3">
        <f>AB25*(100-进出水!T27)/100</f>
        <v>20.84808</v>
      </c>
      <c r="AL25" s="3">
        <f t="shared" si="8"/>
        <v>5.99575596409837</v>
      </c>
    </row>
    <row r="26" ht="18.6" customHeight="1" spans="1:38">
      <c r="A26" s="6">
        <v>22</v>
      </c>
      <c r="B26" s="266">
        <v>16.1</v>
      </c>
      <c r="C26" s="267" t="s">
        <v>44</v>
      </c>
      <c r="D26" s="268">
        <v>164823</v>
      </c>
      <c r="E26" s="269">
        <v>104.84</v>
      </c>
      <c r="F26" s="269">
        <v>0</v>
      </c>
      <c r="G26" s="269">
        <v>0</v>
      </c>
      <c r="H26" s="270">
        <v>125</v>
      </c>
      <c r="I26" s="6">
        <v>4416</v>
      </c>
      <c r="J26" s="65">
        <v>50200.0000000044</v>
      </c>
      <c r="K26" s="278">
        <v>0</v>
      </c>
      <c r="L26" s="278">
        <v>0.2</v>
      </c>
      <c r="M26" s="278">
        <v>4828</v>
      </c>
      <c r="N26" s="278">
        <v>1656</v>
      </c>
      <c r="O26" s="279">
        <v>0</v>
      </c>
      <c r="P26" s="280">
        <v>0</v>
      </c>
      <c r="Q26" s="290">
        <v>5482</v>
      </c>
      <c r="R26" s="291">
        <f t="shared" si="0"/>
        <v>159341</v>
      </c>
      <c r="S26" s="292">
        <v>190000</v>
      </c>
      <c r="T26" s="293" t="s">
        <v>10</v>
      </c>
      <c r="U26" s="311" t="s">
        <v>65</v>
      </c>
      <c r="V26" s="312">
        <f>K34</f>
        <v>33720</v>
      </c>
      <c r="W26" s="58"/>
      <c r="X26" s="58"/>
      <c r="AB26" s="323">
        <f t="shared" si="1"/>
        <v>104.84</v>
      </c>
      <c r="AD26" s="3">
        <f t="shared" si="2"/>
        <v>0</v>
      </c>
      <c r="AE26" s="3">
        <f t="shared" si="3"/>
        <v>0.0219654702807187</v>
      </c>
      <c r="AF26" s="3">
        <f t="shared" si="4"/>
        <v>1.30537651953985e-5</v>
      </c>
      <c r="AG26" s="3">
        <f t="shared" si="5"/>
        <v>0.0141803051317614</v>
      </c>
      <c r="AH26" s="3">
        <f t="shared" si="6"/>
        <v>0.0628141156387872</v>
      </c>
      <c r="AI26" s="3">
        <f t="shared" si="7"/>
        <v>0.0989729448164627</v>
      </c>
      <c r="AK26" s="3">
        <f>AB26*(100-进出水!T28)/100</f>
        <v>22.33092</v>
      </c>
      <c r="AL26" s="3">
        <f t="shared" si="8"/>
        <v>5.59761980249806</v>
      </c>
    </row>
    <row r="27" ht="18.6" customHeight="1" spans="1:38">
      <c r="A27" s="6">
        <v>23</v>
      </c>
      <c r="B27" s="266">
        <v>16.8</v>
      </c>
      <c r="C27" s="267" t="s">
        <v>44</v>
      </c>
      <c r="D27" s="268">
        <v>165919</v>
      </c>
      <c r="E27" s="269">
        <v>120.48</v>
      </c>
      <c r="F27" s="269">
        <v>16.78</v>
      </c>
      <c r="G27" s="269">
        <v>0</v>
      </c>
      <c r="H27" s="270">
        <v>125</v>
      </c>
      <c r="I27" s="6">
        <v>4714</v>
      </c>
      <c r="J27" s="65">
        <v>50200.0000000044</v>
      </c>
      <c r="K27" s="278">
        <v>720</v>
      </c>
      <c r="L27" s="278">
        <v>0</v>
      </c>
      <c r="M27" s="278">
        <v>3408</v>
      </c>
      <c r="N27" s="278">
        <v>1200</v>
      </c>
      <c r="O27" s="279">
        <v>1.29999999999995</v>
      </c>
      <c r="P27" s="280">
        <v>0</v>
      </c>
      <c r="Q27" s="290">
        <v>5468</v>
      </c>
      <c r="R27" s="291">
        <f t="shared" si="0"/>
        <v>160451</v>
      </c>
      <c r="S27" s="292">
        <v>190000</v>
      </c>
      <c r="T27" s="293"/>
      <c r="U27" s="311" t="s">
        <v>67</v>
      </c>
      <c r="V27" s="310">
        <f>ROUND(K34/R34*1000,1)</f>
        <v>7.3</v>
      </c>
      <c r="W27" s="58"/>
      <c r="X27" s="58"/>
      <c r="AB27" s="323">
        <f t="shared" si="1"/>
        <v>137.26</v>
      </c>
      <c r="AD27" s="3">
        <f t="shared" si="2"/>
        <v>0.00186673813189073</v>
      </c>
      <c r="AE27" s="3">
        <f t="shared" si="3"/>
        <v>0.0218135131597809</v>
      </c>
      <c r="AF27" s="3">
        <f t="shared" si="4"/>
        <v>0</v>
      </c>
      <c r="AG27" s="3">
        <f t="shared" si="5"/>
        <v>0.00994038055231815</v>
      </c>
      <c r="AH27" s="3">
        <f t="shared" si="6"/>
        <v>0.0452025852129311</v>
      </c>
      <c r="AI27" s="3">
        <f t="shared" si="7"/>
        <v>0.0788232170569209</v>
      </c>
      <c r="AK27" s="3">
        <f>AB27*(100-进出水!T29)/100</f>
        <v>29.64816</v>
      </c>
      <c r="AL27" s="3">
        <f t="shared" si="8"/>
        <v>4.21611324277797</v>
      </c>
    </row>
    <row r="28" ht="18.6" customHeight="1" spans="1:38">
      <c r="A28" s="6">
        <v>24</v>
      </c>
      <c r="B28" s="266">
        <v>16.5</v>
      </c>
      <c r="C28" s="267" t="s">
        <v>44</v>
      </c>
      <c r="D28" s="268">
        <v>172893</v>
      </c>
      <c r="E28" s="269">
        <v>102.8</v>
      </c>
      <c r="F28" s="269">
        <v>0</v>
      </c>
      <c r="G28" s="269">
        <v>0</v>
      </c>
      <c r="H28" s="270">
        <v>250</v>
      </c>
      <c r="I28" s="6">
        <v>4988</v>
      </c>
      <c r="J28" s="65">
        <v>48999.9999999782</v>
      </c>
      <c r="K28" s="278">
        <v>9480</v>
      </c>
      <c r="L28" s="278">
        <v>0.2</v>
      </c>
      <c r="M28" s="278">
        <v>2556</v>
      </c>
      <c r="N28" s="278">
        <v>912</v>
      </c>
      <c r="O28" s="279">
        <v>1.95000000000005</v>
      </c>
      <c r="P28" s="280">
        <v>0</v>
      </c>
      <c r="Q28" s="290">
        <v>5451</v>
      </c>
      <c r="R28" s="291">
        <f t="shared" si="0"/>
        <v>167442</v>
      </c>
      <c r="S28" s="292">
        <v>190000</v>
      </c>
      <c r="T28" s="293" t="s">
        <v>12</v>
      </c>
      <c r="U28" s="311" t="s">
        <v>65</v>
      </c>
      <c r="V28" s="312">
        <f>M34</f>
        <v>82644</v>
      </c>
      <c r="W28" s="58"/>
      <c r="X28" s="58"/>
      <c r="AB28" s="323">
        <f t="shared" si="1"/>
        <v>102.8</v>
      </c>
      <c r="AD28" s="3">
        <f t="shared" si="2"/>
        <v>0.0235525137062386</v>
      </c>
      <c r="AE28" s="3">
        <f t="shared" si="3"/>
        <v>0.0418055207176216</v>
      </c>
      <c r="AF28" s="3">
        <f t="shared" si="4"/>
        <v>1.2422211870379e-5</v>
      </c>
      <c r="AG28" s="3">
        <f t="shared" si="5"/>
        <v>0.00714401404665496</v>
      </c>
      <c r="AH28" s="3">
        <f t="shared" si="6"/>
        <v>0.0329196259003117</v>
      </c>
      <c r="AI28" s="3">
        <f t="shared" si="7"/>
        <v>0.105434096582697</v>
      </c>
      <c r="AK28" s="3">
        <f>AB28*(100-进出水!T30)/100</f>
        <v>22.3076</v>
      </c>
      <c r="AL28" s="3">
        <f t="shared" si="8"/>
        <v>11.2069429252811</v>
      </c>
    </row>
    <row r="29" ht="18.6" customHeight="1" spans="1:38">
      <c r="A29" s="6">
        <v>25</v>
      </c>
      <c r="B29" s="266">
        <v>16.5</v>
      </c>
      <c r="C29" s="267" t="s">
        <v>42</v>
      </c>
      <c r="D29" s="268">
        <v>179001</v>
      </c>
      <c r="E29" s="269">
        <v>138.16</v>
      </c>
      <c r="F29" s="269">
        <v>0</v>
      </c>
      <c r="G29" s="269">
        <v>0</v>
      </c>
      <c r="H29" s="270">
        <v>300</v>
      </c>
      <c r="I29" s="6">
        <v>5384</v>
      </c>
      <c r="J29" s="65">
        <v>51700.0000000189</v>
      </c>
      <c r="K29" s="278">
        <v>8880</v>
      </c>
      <c r="L29" s="278">
        <v>0</v>
      </c>
      <c r="M29" s="278">
        <v>1775</v>
      </c>
      <c r="N29" s="278">
        <v>648</v>
      </c>
      <c r="O29" s="279">
        <v>2</v>
      </c>
      <c r="P29" s="280">
        <v>0</v>
      </c>
      <c r="Q29" s="290">
        <v>5481</v>
      </c>
      <c r="R29" s="291">
        <f t="shared" si="0"/>
        <v>173520</v>
      </c>
      <c r="S29" s="292">
        <v>190000</v>
      </c>
      <c r="T29" s="293"/>
      <c r="U29" s="311" t="s">
        <v>67</v>
      </c>
      <c r="V29" s="313">
        <f>ROUND(M34/R34*1000,1)</f>
        <v>17.8</v>
      </c>
      <c r="W29" s="58"/>
      <c r="X29" s="58"/>
      <c r="AB29" s="323">
        <f t="shared" si="1"/>
        <v>138.16</v>
      </c>
      <c r="AD29" s="3">
        <f t="shared" si="2"/>
        <v>0.0212890733056708</v>
      </c>
      <c r="AE29" s="3">
        <f t="shared" si="3"/>
        <v>0.0484094052558783</v>
      </c>
      <c r="AF29" s="3">
        <f t="shared" si="4"/>
        <v>0</v>
      </c>
      <c r="AG29" s="3">
        <f t="shared" si="5"/>
        <v>0.00478734439834025</v>
      </c>
      <c r="AH29" s="3">
        <f t="shared" si="6"/>
        <v>0.0225709543568465</v>
      </c>
      <c r="AI29" s="3">
        <f t="shared" si="7"/>
        <v>0.0970567773167359</v>
      </c>
      <c r="AK29" s="3">
        <f>AB29*(100-进出水!T31)/100</f>
        <v>29.7044</v>
      </c>
      <c r="AL29" s="3">
        <f t="shared" si="8"/>
        <v>10.0995138767321</v>
      </c>
    </row>
    <row r="30" ht="18.6" customHeight="1" spans="1:38">
      <c r="A30" s="6">
        <v>26</v>
      </c>
      <c r="B30" s="266">
        <v>16.7</v>
      </c>
      <c r="C30" s="267" t="s">
        <v>42</v>
      </c>
      <c r="D30" s="268">
        <v>176902</v>
      </c>
      <c r="E30" s="269">
        <v>98.32</v>
      </c>
      <c r="F30" s="269">
        <v>34.86</v>
      </c>
      <c r="G30" s="269">
        <v>0</v>
      </c>
      <c r="H30" s="270">
        <v>250</v>
      </c>
      <c r="I30" s="6">
        <v>5420</v>
      </c>
      <c r="J30" s="65">
        <v>53100.0000000131</v>
      </c>
      <c r="K30" s="278">
        <v>0</v>
      </c>
      <c r="L30" s="278">
        <v>0</v>
      </c>
      <c r="M30" s="278">
        <v>3408</v>
      </c>
      <c r="N30" s="278">
        <v>1176</v>
      </c>
      <c r="O30" s="279">
        <v>0.100000000000136</v>
      </c>
      <c r="P30" s="280">
        <v>0</v>
      </c>
      <c r="Q30" s="290">
        <v>5430</v>
      </c>
      <c r="R30" s="291">
        <f t="shared" si="0"/>
        <v>171472</v>
      </c>
      <c r="S30" s="292">
        <v>190000</v>
      </c>
      <c r="T30" s="293" t="s">
        <v>13</v>
      </c>
      <c r="U30" s="311" t="s">
        <v>65</v>
      </c>
      <c r="V30" s="312">
        <f>处理量!N34</f>
        <v>28896</v>
      </c>
      <c r="W30" s="58"/>
      <c r="X30" s="58"/>
      <c r="AB30" s="323">
        <f t="shared" si="1"/>
        <v>133.18</v>
      </c>
      <c r="AD30" s="3">
        <f t="shared" si="2"/>
        <v>0</v>
      </c>
      <c r="AE30" s="3">
        <f t="shared" si="3"/>
        <v>0.0408229915088178</v>
      </c>
      <c r="AF30" s="3">
        <f t="shared" si="4"/>
        <v>0</v>
      </c>
      <c r="AG30" s="3">
        <f t="shared" si="5"/>
        <v>0.00930148362414855</v>
      </c>
      <c r="AH30" s="3">
        <f t="shared" si="6"/>
        <v>0.0414513389941215</v>
      </c>
      <c r="AI30" s="3">
        <f t="shared" si="7"/>
        <v>0.0915758141270878</v>
      </c>
      <c r="AK30" s="3">
        <f>AB30*(100-进出水!T32)/100</f>
        <v>28.50052</v>
      </c>
      <c r="AL30" s="3">
        <f t="shared" si="8"/>
        <v>8.77176977823562</v>
      </c>
    </row>
    <row r="31" ht="18.6" customHeight="1" spans="1:38">
      <c r="A31" s="6">
        <v>27</v>
      </c>
      <c r="B31" s="266">
        <v>16.6</v>
      </c>
      <c r="C31" s="267" t="s">
        <v>42</v>
      </c>
      <c r="D31" s="268">
        <v>176903</v>
      </c>
      <c r="E31" s="269">
        <v>150.38</v>
      </c>
      <c r="F31" s="269">
        <v>16.58</v>
      </c>
      <c r="G31" s="269">
        <v>0</v>
      </c>
      <c r="H31" s="270">
        <v>300</v>
      </c>
      <c r="I31" s="6">
        <v>4500</v>
      </c>
      <c r="J31" s="65">
        <v>52199.9999999753</v>
      </c>
      <c r="K31" s="278">
        <v>0</v>
      </c>
      <c r="L31" s="278">
        <v>0.2</v>
      </c>
      <c r="M31" s="278">
        <v>3621</v>
      </c>
      <c r="N31" s="278">
        <v>1272</v>
      </c>
      <c r="O31" s="279">
        <v>0</v>
      </c>
      <c r="P31" s="280">
        <v>0</v>
      </c>
      <c r="Q31" s="290">
        <v>5463</v>
      </c>
      <c r="R31" s="291">
        <f t="shared" si="0"/>
        <v>171440</v>
      </c>
      <c r="S31" s="292">
        <v>190000</v>
      </c>
      <c r="T31" s="293"/>
      <c r="U31" s="311" t="s">
        <v>67</v>
      </c>
      <c r="V31" s="310">
        <f>ROUND(N34/R34*1000,2)</f>
        <v>6.24</v>
      </c>
      <c r="W31" s="58"/>
      <c r="X31" s="58"/>
      <c r="AB31" s="323">
        <f t="shared" si="1"/>
        <v>166.96</v>
      </c>
      <c r="AD31" s="3">
        <f t="shared" si="2"/>
        <v>0</v>
      </c>
      <c r="AE31" s="3">
        <f t="shared" si="3"/>
        <v>0.0489967335510966</v>
      </c>
      <c r="AF31" s="3">
        <f t="shared" si="4"/>
        <v>1.21325244983668e-5</v>
      </c>
      <c r="AG31" s="3">
        <f t="shared" si="5"/>
        <v>0.00988467102193187</v>
      </c>
      <c r="AH31" s="3">
        <f t="shared" si="6"/>
        <v>0.0448434904339711</v>
      </c>
      <c r="AI31" s="3">
        <f t="shared" si="7"/>
        <v>0.103737027531498</v>
      </c>
      <c r="AK31" s="3">
        <f>AB31*(100-进出水!T33)/100</f>
        <v>35.39552</v>
      </c>
      <c r="AL31" s="3">
        <f t="shared" si="8"/>
        <v>8.47564889567945</v>
      </c>
    </row>
    <row r="32" ht="18.6" customHeight="1" spans="1:38">
      <c r="A32" s="6">
        <v>28</v>
      </c>
      <c r="B32" s="266">
        <v>16.8</v>
      </c>
      <c r="C32" s="267" t="s">
        <v>42</v>
      </c>
      <c r="D32" s="268">
        <v>173582</v>
      </c>
      <c r="E32" s="269">
        <v>139.78</v>
      </c>
      <c r="F32" s="269">
        <v>0</v>
      </c>
      <c r="G32" s="269">
        <v>0</v>
      </c>
      <c r="H32" s="270">
        <v>300</v>
      </c>
      <c r="I32" s="6">
        <v>4224</v>
      </c>
      <c r="J32" s="65">
        <v>54900.000000016</v>
      </c>
      <c r="K32" s="278">
        <v>13080</v>
      </c>
      <c r="L32" s="278">
        <v>0</v>
      </c>
      <c r="M32" s="278">
        <v>4970</v>
      </c>
      <c r="N32" s="278">
        <v>1632</v>
      </c>
      <c r="O32" s="279">
        <v>0</v>
      </c>
      <c r="P32" s="280">
        <v>0</v>
      </c>
      <c r="Q32" s="290">
        <v>5447</v>
      </c>
      <c r="R32" s="291">
        <f t="shared" si="0"/>
        <v>168135</v>
      </c>
      <c r="S32" s="292">
        <v>190000</v>
      </c>
      <c r="T32" s="293" t="s">
        <v>68</v>
      </c>
      <c r="U32" s="311" t="s">
        <v>69</v>
      </c>
      <c r="V32" s="58">
        <f>O34</f>
        <v>31.9500000000003</v>
      </c>
      <c r="W32" s="58"/>
      <c r="X32" s="58"/>
      <c r="AB32" s="323">
        <f t="shared" si="1"/>
        <v>139.78</v>
      </c>
      <c r="AD32" s="3">
        <f t="shared" si="2"/>
        <v>0.032362565795343</v>
      </c>
      <c r="AE32" s="3">
        <f t="shared" si="3"/>
        <v>0.0499598536889999</v>
      </c>
      <c r="AF32" s="3">
        <f t="shared" si="4"/>
        <v>0</v>
      </c>
      <c r="AG32" s="3">
        <f t="shared" si="5"/>
        <v>0.0138338834864841</v>
      </c>
      <c r="AH32" s="3">
        <f t="shared" si="6"/>
        <v>0.0586660005352842</v>
      </c>
      <c r="AI32" s="3">
        <f t="shared" si="7"/>
        <v>0.154822303506111</v>
      </c>
      <c r="AK32" s="3">
        <f>AB32*(100-进出水!T34)/100</f>
        <v>29.91292</v>
      </c>
      <c r="AL32" s="3">
        <f t="shared" si="8"/>
        <v>10.0291111666798</v>
      </c>
    </row>
    <row r="33" ht="19" customHeight="1" spans="1:20">
      <c r="A33" s="5" t="s">
        <v>70</v>
      </c>
      <c r="B33" s="62">
        <f>AVERAGE(B5:B32)</f>
        <v>15.4107142857143</v>
      </c>
      <c r="C33" s="8" t="s">
        <v>71</v>
      </c>
      <c r="D33" s="271">
        <f>AVERAGE(D5:D32)</f>
        <v>170930.071428571</v>
      </c>
      <c r="E33" s="272">
        <f>AVERAGE(E5:E32)</f>
        <v>76.4807142857143</v>
      </c>
      <c r="F33" s="173">
        <f>AVERAGE(F5:F32)</f>
        <v>12.29</v>
      </c>
      <c r="G33" s="173">
        <v>0</v>
      </c>
      <c r="H33" s="271">
        <f t="shared" ref="H33:Q33" si="9">AVERAGE(H5:H32)</f>
        <v>158.035714285714</v>
      </c>
      <c r="I33" s="271">
        <f t="shared" si="9"/>
        <v>4789.57142857143</v>
      </c>
      <c r="J33" s="271">
        <f t="shared" si="9"/>
        <v>50850.0000000004</v>
      </c>
      <c r="K33" s="271">
        <f t="shared" si="9"/>
        <v>1204.28571428571</v>
      </c>
      <c r="L33" s="271">
        <f t="shared" si="9"/>
        <v>0.0785714285714286</v>
      </c>
      <c r="M33" s="271">
        <f t="shared" si="9"/>
        <v>2951.57142857143</v>
      </c>
      <c r="N33" s="271">
        <f t="shared" si="9"/>
        <v>1032</v>
      </c>
      <c r="O33" s="283">
        <f t="shared" si="9"/>
        <v>1.14107142857144</v>
      </c>
      <c r="P33" s="173">
        <f t="shared" si="9"/>
        <v>0</v>
      </c>
      <c r="Q33" s="271">
        <f t="shared" si="9"/>
        <v>5431.78571428571</v>
      </c>
      <c r="R33" s="314">
        <f t="shared" si="0"/>
        <v>165498.285714285</v>
      </c>
      <c r="S33" s="315"/>
      <c r="T33" s="316"/>
    </row>
    <row r="34" ht="17" customHeight="1" spans="1:28">
      <c r="A34" s="5" t="s">
        <v>28</v>
      </c>
      <c r="B34" s="6" t="s">
        <v>71</v>
      </c>
      <c r="C34" s="6" t="s">
        <v>71</v>
      </c>
      <c r="D34" s="273">
        <f>SUM(D5:D32)</f>
        <v>4786042</v>
      </c>
      <c r="E34" s="274">
        <f>SUM(E5:E32)</f>
        <v>2141.46</v>
      </c>
      <c r="F34" s="274">
        <f>SUM(F5:F32)</f>
        <v>344.12</v>
      </c>
      <c r="G34" s="274">
        <f>SUM(G5:G32)</f>
        <v>278</v>
      </c>
      <c r="H34" s="273">
        <f>SUM(H5:H32)</f>
        <v>4425</v>
      </c>
      <c r="I34" s="6" t="s">
        <v>71</v>
      </c>
      <c r="J34" s="271">
        <f t="shared" ref="J34:S34" si="10">SUM(J5:J32)</f>
        <v>1423800.00000001</v>
      </c>
      <c r="K34" s="271">
        <f t="shared" si="10"/>
        <v>33720</v>
      </c>
      <c r="L34" s="271">
        <f t="shared" si="10"/>
        <v>2.2</v>
      </c>
      <c r="M34" s="271">
        <f t="shared" si="10"/>
        <v>82644</v>
      </c>
      <c r="N34" s="271">
        <f t="shared" si="10"/>
        <v>28896</v>
      </c>
      <c r="O34" s="284">
        <f t="shared" si="10"/>
        <v>31.9500000000003</v>
      </c>
      <c r="P34" s="173">
        <f t="shared" si="10"/>
        <v>0</v>
      </c>
      <c r="Q34" s="271">
        <f t="shared" si="10"/>
        <v>152090</v>
      </c>
      <c r="R34" s="271">
        <f t="shared" si="10"/>
        <v>4633952</v>
      </c>
      <c r="S34" s="271">
        <f t="shared" si="10"/>
        <v>5335506</v>
      </c>
      <c r="T34" s="317"/>
      <c r="AB34" s="3">
        <f>SUM(AB5:AB33)</f>
        <v>2763.58</v>
      </c>
    </row>
    <row r="35" ht="18.6" customHeight="1" spans="1:18">
      <c r="A35" s="275" t="s">
        <v>72</v>
      </c>
      <c r="B35" s="275"/>
      <c r="C35" s="275"/>
      <c r="D35" s="275"/>
      <c r="E35" s="276"/>
      <c r="F35" s="276"/>
      <c r="I35" s="285" t="s">
        <v>73</v>
      </c>
      <c r="Q35" s="318" t="s">
        <v>74</v>
      </c>
      <c r="R35" s="319">
        <v>44991</v>
      </c>
    </row>
    <row r="36" ht="18.6" customHeight="1" spans="13:13">
      <c r="M36" s="257">
        <f>M34*0.31</f>
        <v>25619.64</v>
      </c>
    </row>
    <row r="37" spans="7:28">
      <c r="G37" s="257"/>
      <c r="H37" s="257"/>
      <c r="Q37" s="257" t="s">
        <v>75</v>
      </c>
      <c r="R37" s="257">
        <f>MAX(R5:R32)</f>
        <v>198937</v>
      </c>
      <c r="AB37" s="3">
        <f>(100-进出水!T35)*AB34/100</f>
        <v>591.958836</v>
      </c>
    </row>
    <row r="38" spans="7:18">
      <c r="G38" s="257"/>
      <c r="H38" s="257"/>
      <c r="O38" s="257">
        <f>O34*1000</f>
        <v>31950.0000000003</v>
      </c>
      <c r="Q38" s="257" t="s">
        <v>76</v>
      </c>
      <c r="R38" s="257">
        <f>MIN(R5:R32)</f>
        <v>136935</v>
      </c>
    </row>
    <row r="39" spans="12:12">
      <c r="L39" s="257">
        <f>L34*1000/R34</f>
        <v>0.000474756751904206</v>
      </c>
    </row>
    <row r="41" spans="18:18">
      <c r="R41" s="257">
        <f>L34/R34*1000</f>
        <v>0.000474756751904206</v>
      </c>
    </row>
  </sheetData>
  <mergeCells count="10">
    <mergeCell ref="A1:R1"/>
    <mergeCell ref="A2:R2"/>
    <mergeCell ref="E3:G3"/>
    <mergeCell ref="O3:P3"/>
    <mergeCell ref="A35:D35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C3" sqref="C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8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01" t="s">
        <v>77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</row>
    <row r="2" s="197" customFormat="1" ht="20.1" customHeight="1" spans="1:13">
      <c r="A2" s="202">
        <v>44958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="197" customFormat="1" ht="24" customHeight="1" spans="1:22">
      <c r="A3" s="203" t="s">
        <v>78</v>
      </c>
      <c r="B3" s="204" t="s">
        <v>79</v>
      </c>
      <c r="C3" s="205">
        <f>处理量!R34</f>
        <v>4633952</v>
      </c>
      <c r="D3" s="206" t="s">
        <v>80</v>
      </c>
      <c r="E3" s="204" t="s">
        <v>81</v>
      </c>
      <c r="F3" s="207">
        <f>处理量!E34+处理量!F34+处理量!G34</f>
        <v>2763.58</v>
      </c>
      <c r="G3" s="203" t="s">
        <v>82</v>
      </c>
      <c r="H3" s="204" t="s">
        <v>83</v>
      </c>
      <c r="I3" s="204"/>
      <c r="J3" s="37">
        <f>处理量!J34</f>
        <v>1423800.00000001</v>
      </c>
      <c r="K3" s="206" t="s">
        <v>84</v>
      </c>
      <c r="L3" s="204" t="s">
        <v>85</v>
      </c>
      <c r="M3" s="241">
        <f>J3/C3</f>
        <v>0.307253937891461</v>
      </c>
      <c r="P3" s="197" t="s">
        <v>86</v>
      </c>
      <c r="Q3" s="255">
        <v>1773.2</v>
      </c>
      <c r="R3" s="197">
        <f>J5-Q3</f>
        <v>1772.8</v>
      </c>
      <c r="V3" s="197">
        <v>188314</v>
      </c>
    </row>
    <row r="4" s="197" customFormat="1" ht="24" customHeight="1" spans="1:22">
      <c r="A4" s="203"/>
      <c r="B4" s="204" t="s">
        <v>87</v>
      </c>
      <c r="C4" s="208">
        <f>处理量!R33</f>
        <v>165498.285714285</v>
      </c>
      <c r="D4" s="209"/>
      <c r="E4" s="204" t="s">
        <v>88</v>
      </c>
      <c r="F4" s="210">
        <f>处理量!H34</f>
        <v>4425</v>
      </c>
      <c r="G4" s="203"/>
      <c r="H4" s="204" t="s">
        <v>89</v>
      </c>
      <c r="I4" s="204"/>
      <c r="J4" s="210">
        <f>J3/M15</f>
        <v>50850.0000000004</v>
      </c>
      <c r="K4" s="209"/>
      <c r="L4" s="204" t="s">
        <v>90</v>
      </c>
      <c r="M4" s="242">
        <f>J3/I12</f>
        <v>1.18768433665041</v>
      </c>
      <c r="P4" s="197" t="s">
        <v>91</v>
      </c>
      <c r="Q4" s="255">
        <v>50535.9999999999</v>
      </c>
      <c r="V4" s="197">
        <v>193894</v>
      </c>
    </row>
    <row r="5" s="197" customFormat="1" ht="24" customHeight="1" spans="1:22">
      <c r="A5" s="203"/>
      <c r="B5" s="204"/>
      <c r="C5" s="211"/>
      <c r="D5" s="209"/>
      <c r="E5" s="204" t="s">
        <v>92</v>
      </c>
      <c r="F5" s="212">
        <f>进出水!T35</f>
        <v>78.58</v>
      </c>
      <c r="G5" s="203"/>
      <c r="H5" s="204" t="s">
        <v>93</v>
      </c>
      <c r="I5" s="204"/>
      <c r="J5" s="243">
        <v>3546</v>
      </c>
      <c r="K5" s="209"/>
      <c r="L5" s="204"/>
      <c r="M5" s="244"/>
      <c r="V5" s="197">
        <f>V4-V3</f>
        <v>5580</v>
      </c>
    </row>
    <row r="6" s="197" customFormat="1" ht="24" customHeight="1" spans="1:13">
      <c r="A6" s="203"/>
      <c r="B6" s="204" t="s">
        <v>94</v>
      </c>
      <c r="C6" s="213">
        <f>处理量!R37</f>
        <v>198937</v>
      </c>
      <c r="D6" s="209"/>
      <c r="E6" s="203" t="s">
        <v>95</v>
      </c>
      <c r="F6" s="207">
        <f>F4/(F3*(100-F5)/100)</f>
        <v>7.47518193984691</v>
      </c>
      <c r="G6" s="206" t="s">
        <v>96</v>
      </c>
      <c r="H6" s="204" t="s">
        <v>97</v>
      </c>
      <c r="I6" s="204"/>
      <c r="J6" s="216">
        <f>处理量!M34/1000</f>
        <v>82.644</v>
      </c>
      <c r="K6" s="209"/>
      <c r="L6" s="204" t="s">
        <v>98</v>
      </c>
      <c r="M6" s="216">
        <f>J3/I13</f>
        <v>2.42888488451748</v>
      </c>
    </row>
    <row r="7" s="197" customFormat="1" ht="24" customHeight="1" spans="1:13">
      <c r="A7" s="203"/>
      <c r="B7" s="204" t="s">
        <v>99</v>
      </c>
      <c r="C7" s="37">
        <f>处理量!R38</f>
        <v>136935</v>
      </c>
      <c r="D7" s="214"/>
      <c r="E7" s="203" t="s">
        <v>100</v>
      </c>
      <c r="F7" s="215">
        <f>F3*(100-F5)/100*1000/(C3/1000)</f>
        <v>127.743842836525</v>
      </c>
      <c r="G7" s="209"/>
      <c r="H7" s="204" t="s">
        <v>101</v>
      </c>
      <c r="I7" s="204"/>
      <c r="J7" s="230">
        <f>J6*1000/(C3/1000)</f>
        <v>17.8344531838051</v>
      </c>
      <c r="K7" s="209"/>
      <c r="L7" s="245" t="s">
        <v>102</v>
      </c>
      <c r="M7" s="216">
        <f>J3/I14</f>
        <v>2.65928628952277</v>
      </c>
    </row>
    <row r="8" s="197" customFormat="1" ht="24" customHeight="1" spans="1:13">
      <c r="A8" s="203"/>
      <c r="B8" s="204" t="s">
        <v>103</v>
      </c>
      <c r="C8" s="216">
        <f>C4/200000*100</f>
        <v>82.7491428571427</v>
      </c>
      <c r="D8" s="203" t="s">
        <v>104</v>
      </c>
      <c r="E8" s="204" t="s">
        <v>105</v>
      </c>
      <c r="F8" s="216">
        <f>处理量!K34/1000</f>
        <v>33.72</v>
      </c>
      <c r="G8" s="209"/>
      <c r="H8" s="204" t="s">
        <v>106</v>
      </c>
      <c r="I8" s="204"/>
      <c r="J8" s="216">
        <f>处理量!N34/1000</f>
        <v>28.896</v>
      </c>
      <c r="K8" s="246" t="s">
        <v>107</v>
      </c>
      <c r="L8" s="225" t="s">
        <v>108</v>
      </c>
      <c r="M8" s="247">
        <f>处理量!O34</f>
        <v>31.9500000000003</v>
      </c>
    </row>
    <row r="9" s="197" customFormat="1" ht="24" customHeight="1" spans="1:13">
      <c r="A9" s="203"/>
      <c r="B9" s="217" t="s">
        <v>109</v>
      </c>
      <c r="C9" s="218">
        <f>处理量!B33</f>
        <v>15.4107142857143</v>
      </c>
      <c r="D9" s="203"/>
      <c r="E9" s="204" t="s">
        <v>101</v>
      </c>
      <c r="F9" s="216">
        <f>F8*1000/(C3/1000)</f>
        <v>7.27672621554992</v>
      </c>
      <c r="G9" s="214"/>
      <c r="H9" s="204" t="s">
        <v>101</v>
      </c>
      <c r="I9" s="204"/>
      <c r="J9" s="207">
        <f>J8*1000/(C3/1000)</f>
        <v>6.23571413773815</v>
      </c>
      <c r="K9" s="222"/>
      <c r="L9" s="37" t="s">
        <v>101</v>
      </c>
      <c r="M9" s="247">
        <f>M8*1000000/C3</f>
        <v>6.89476282879069</v>
      </c>
    </row>
    <row r="10" s="197" customFormat="1" ht="24" customHeight="1" spans="1:13">
      <c r="A10" s="203" t="s">
        <v>110</v>
      </c>
      <c r="B10" s="219" t="s">
        <v>111</v>
      </c>
      <c r="C10" s="220" t="s">
        <v>112</v>
      </c>
      <c r="D10" s="221"/>
      <c r="E10" s="220" t="s">
        <v>113</v>
      </c>
      <c r="F10" s="221"/>
      <c r="G10" s="220" t="s">
        <v>114</v>
      </c>
      <c r="H10" s="221"/>
      <c r="I10" s="220" t="s">
        <v>115</v>
      </c>
      <c r="J10" s="221"/>
      <c r="K10" s="206" t="s">
        <v>116</v>
      </c>
      <c r="L10" s="225" t="s">
        <v>108</v>
      </c>
      <c r="M10" s="37">
        <v>0</v>
      </c>
    </row>
    <row r="11" s="197" customFormat="1" ht="24" customHeight="1" spans="1:13">
      <c r="A11" s="203"/>
      <c r="B11" s="222"/>
      <c r="C11" s="223"/>
      <c r="D11" s="224"/>
      <c r="E11" s="223"/>
      <c r="F11" s="224"/>
      <c r="G11" s="223"/>
      <c r="H11" s="224"/>
      <c r="I11" s="223"/>
      <c r="J11" s="224"/>
      <c r="K11" s="214"/>
      <c r="L11" s="37" t="s">
        <v>101</v>
      </c>
      <c r="M11" s="37">
        <v>0</v>
      </c>
    </row>
    <row r="12" s="197" customFormat="1" ht="24" customHeight="1" spans="1:19">
      <c r="A12" s="203"/>
      <c r="B12" s="225" t="s">
        <v>117</v>
      </c>
      <c r="C12" s="210">
        <f>进出水!B35</f>
        <v>283</v>
      </c>
      <c r="D12" s="210"/>
      <c r="E12" s="226">
        <f>进出水!N35</f>
        <v>24.3</v>
      </c>
      <c r="F12" s="227"/>
      <c r="G12" s="226">
        <f t="shared" ref="G12:G17" si="0">(C12-E12)/C12*100</f>
        <v>91.4134275618375</v>
      </c>
      <c r="H12" s="227"/>
      <c r="I12" s="210">
        <f>$C$3*(C12-E12)/1000</f>
        <v>1198803.3824</v>
      </c>
      <c r="J12" s="210"/>
      <c r="K12" s="203" t="s">
        <v>118</v>
      </c>
      <c r="L12" s="204" t="s">
        <v>32</v>
      </c>
      <c r="M12" s="207">
        <f>处理量!V16</f>
        <v>2141.46</v>
      </c>
      <c r="P12" s="248">
        <f t="shared" ref="P12:P17" si="1">ROUND(E12,1)</f>
        <v>24.3</v>
      </c>
      <c r="Q12" s="256">
        <f>C3</f>
        <v>4633952</v>
      </c>
      <c r="R12" s="248">
        <f t="shared" ref="R12:R17" si="2">P12*Q12/1000000</f>
        <v>112.6050336</v>
      </c>
      <c r="S12" s="225" t="s">
        <v>117</v>
      </c>
    </row>
    <row r="13" s="197" customFormat="1" ht="24" customHeight="1" spans="1:19">
      <c r="A13" s="203"/>
      <c r="B13" s="225" t="s">
        <v>119</v>
      </c>
      <c r="C13" s="210">
        <f>进出水!C35</f>
        <v>129</v>
      </c>
      <c r="D13" s="210"/>
      <c r="E13" s="228">
        <f>进出水!O35</f>
        <v>2.5</v>
      </c>
      <c r="F13" s="229"/>
      <c r="G13" s="226">
        <f t="shared" si="0"/>
        <v>98.062015503876</v>
      </c>
      <c r="H13" s="227"/>
      <c r="I13" s="210">
        <f>$C$3*(C13-E13)/1000</f>
        <v>586194.928</v>
      </c>
      <c r="J13" s="210"/>
      <c r="K13" s="203"/>
      <c r="L13" s="34" t="s">
        <v>33</v>
      </c>
      <c r="M13" s="249">
        <f>处理量!U16</f>
        <v>344.12</v>
      </c>
      <c r="P13" s="248">
        <f t="shared" si="1"/>
        <v>2.5</v>
      </c>
      <c r="Q13" s="256">
        <f t="shared" ref="Q13:Q17" si="3">Q12</f>
        <v>4633952</v>
      </c>
      <c r="R13" s="248">
        <f t="shared" si="2"/>
        <v>11.58488</v>
      </c>
      <c r="S13" s="225" t="s">
        <v>119</v>
      </c>
    </row>
    <row r="14" s="197" customFormat="1" ht="24" customHeight="1" spans="1:19">
      <c r="A14" s="203"/>
      <c r="B14" s="225" t="s">
        <v>120</v>
      </c>
      <c r="C14" s="210">
        <f>进出水!D35</f>
        <v>121</v>
      </c>
      <c r="D14" s="210"/>
      <c r="E14" s="228">
        <f>进出水!P35</f>
        <v>5.46</v>
      </c>
      <c r="F14" s="229"/>
      <c r="G14" s="226">
        <f t="shared" si="0"/>
        <v>95.4876033057851</v>
      </c>
      <c r="H14" s="227"/>
      <c r="I14" s="210">
        <f>$C$3*(C14-E14)/1000</f>
        <v>535406.81408</v>
      </c>
      <c r="J14" s="210"/>
      <c r="K14" s="203"/>
      <c r="L14" s="34" t="s">
        <v>121</v>
      </c>
      <c r="M14" s="249">
        <f>处理量!W16</f>
        <v>278</v>
      </c>
      <c r="P14" s="248">
        <f t="shared" si="1"/>
        <v>5.5</v>
      </c>
      <c r="Q14" s="256">
        <f t="shared" si="3"/>
        <v>4633952</v>
      </c>
      <c r="R14" s="248">
        <f t="shared" si="2"/>
        <v>25.486736</v>
      </c>
      <c r="S14" s="225" t="s">
        <v>120</v>
      </c>
    </row>
    <row r="15" s="197" customFormat="1" ht="24" customHeight="1" spans="1:19">
      <c r="A15" s="203"/>
      <c r="B15" s="225" t="s">
        <v>122</v>
      </c>
      <c r="C15" s="207">
        <f>进出水!E35</f>
        <v>2.6</v>
      </c>
      <c r="D15" s="207"/>
      <c r="E15" s="228">
        <f>进出水!Q35</f>
        <v>0.16</v>
      </c>
      <c r="F15" s="229"/>
      <c r="G15" s="226">
        <f t="shared" si="0"/>
        <v>93.8461538461538</v>
      </c>
      <c r="H15" s="227"/>
      <c r="I15" s="210">
        <f>$C$3*(C15-E15)/1000</f>
        <v>11306.84288</v>
      </c>
      <c r="J15" s="210"/>
      <c r="K15" s="206" t="s">
        <v>123</v>
      </c>
      <c r="L15" s="250" t="s">
        <v>124</v>
      </c>
      <c r="M15" s="36">
        <v>28</v>
      </c>
      <c r="P15" s="248">
        <f t="shared" si="1"/>
        <v>0.2</v>
      </c>
      <c r="Q15" s="256">
        <f t="shared" si="3"/>
        <v>4633952</v>
      </c>
      <c r="R15" s="248">
        <f t="shared" si="2"/>
        <v>0.9267904</v>
      </c>
      <c r="S15" s="225" t="s">
        <v>122</v>
      </c>
    </row>
    <row r="16" s="197" customFormat="1" ht="24" customHeight="1" spans="1:19">
      <c r="A16" s="203"/>
      <c r="B16" s="225" t="s">
        <v>125</v>
      </c>
      <c r="C16" s="230">
        <f>进出水!G35</f>
        <v>31.5</v>
      </c>
      <c r="D16" s="230"/>
      <c r="E16" s="228">
        <f>进出水!S35</f>
        <v>6.87</v>
      </c>
      <c r="F16" s="229"/>
      <c r="G16" s="226">
        <f t="shared" si="0"/>
        <v>78.1904761904762</v>
      </c>
      <c r="H16" s="227"/>
      <c r="I16" s="210">
        <f>$C$3*(C16-E16)/1000</f>
        <v>114134.23776</v>
      </c>
      <c r="J16" s="210"/>
      <c r="K16" s="209"/>
      <c r="L16" s="251" t="s">
        <v>126</v>
      </c>
      <c r="M16" s="37">
        <v>28</v>
      </c>
      <c r="P16" s="248">
        <f t="shared" si="1"/>
        <v>6.9</v>
      </c>
      <c r="Q16" s="256">
        <f t="shared" si="3"/>
        <v>4633952</v>
      </c>
      <c r="R16" s="248">
        <f t="shared" si="2"/>
        <v>31.9742688</v>
      </c>
      <c r="S16" s="225" t="s">
        <v>125</v>
      </c>
    </row>
    <row r="17" s="197" customFormat="1" ht="24" customHeight="1" spans="1:19">
      <c r="A17" s="203"/>
      <c r="B17" s="225" t="s">
        <v>127</v>
      </c>
      <c r="C17" s="230">
        <f>进出水!F35</f>
        <v>25</v>
      </c>
      <c r="D17" s="230"/>
      <c r="E17" s="228">
        <f>进出水!R35</f>
        <v>0.39</v>
      </c>
      <c r="F17" s="229"/>
      <c r="G17" s="226">
        <f t="shared" si="0"/>
        <v>98.44</v>
      </c>
      <c r="H17" s="227"/>
      <c r="I17" s="210">
        <f>$C$3*(C17-E17)/1000</f>
        <v>114041.55872</v>
      </c>
      <c r="J17" s="210"/>
      <c r="K17" s="209"/>
      <c r="L17" s="251" t="s">
        <v>128</v>
      </c>
      <c r="M17" s="36">
        <v>28</v>
      </c>
      <c r="P17" s="248">
        <f t="shared" si="1"/>
        <v>0.4</v>
      </c>
      <c r="Q17" s="256">
        <f t="shared" si="3"/>
        <v>4633952</v>
      </c>
      <c r="R17" s="248">
        <f t="shared" si="2"/>
        <v>1.8535808</v>
      </c>
      <c r="S17" s="225" t="s">
        <v>127</v>
      </c>
    </row>
    <row r="18" s="197" customFormat="1" ht="24" customHeight="1" spans="1:13">
      <c r="A18" s="203"/>
      <c r="B18" s="217" t="s">
        <v>129</v>
      </c>
      <c r="C18" s="231"/>
      <c r="D18" s="232"/>
      <c r="E18" s="233" t="s">
        <v>130</v>
      </c>
      <c r="F18" s="234"/>
      <c r="G18" s="231"/>
      <c r="H18" s="232"/>
      <c r="I18" s="231"/>
      <c r="J18" s="232"/>
      <c r="K18" s="214"/>
      <c r="L18" s="245" t="s">
        <v>131</v>
      </c>
      <c r="M18" s="37">
        <v>100</v>
      </c>
    </row>
    <row r="19" s="197" customFormat="1" ht="20.1" customHeight="1" spans="1:16">
      <c r="A19" s="203" t="s">
        <v>132</v>
      </c>
      <c r="B19" s="235" t="s">
        <v>133</v>
      </c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52"/>
      <c r="P19" s="197">
        <f>F3*(100-F5)/100</f>
        <v>591.958836</v>
      </c>
    </row>
    <row r="20" s="197" customFormat="1" ht="20.1" customHeight="1" spans="1:13">
      <c r="A20" s="203"/>
      <c r="B20" s="237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53"/>
    </row>
    <row r="21" ht="20.1" customHeight="1" spans="1:13">
      <c r="A21" s="239" t="s">
        <v>134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</row>
    <row r="22" ht="17.25" customHeight="1" spans="3:9">
      <c r="C22" s="27">
        <v>287</v>
      </c>
      <c r="D22" s="27">
        <v>24.2</v>
      </c>
      <c r="E22" s="226">
        <f t="shared" ref="E22:E27" si="4">(C22-D22)/C22*100</f>
        <v>91.5679442508711</v>
      </c>
      <c r="F22" s="227"/>
      <c r="I22" s="254"/>
    </row>
    <row r="23" ht="17.25" customHeight="1" spans="3:9">
      <c r="C23" s="27">
        <v>136</v>
      </c>
      <c r="D23" s="27">
        <v>2.3</v>
      </c>
      <c r="E23" s="226">
        <f t="shared" si="4"/>
        <v>98.3088235294118</v>
      </c>
      <c r="F23" s="227"/>
      <c r="I23" s="254"/>
    </row>
    <row r="24" ht="17.25" customHeight="1" spans="3:9">
      <c r="C24" s="27">
        <v>122</v>
      </c>
      <c r="D24" s="27">
        <v>5.18</v>
      </c>
      <c r="E24" s="226">
        <f t="shared" si="4"/>
        <v>95.7540983606557</v>
      </c>
      <c r="F24" s="227"/>
      <c r="I24" s="254"/>
    </row>
    <row r="25" ht="17.25" customHeight="1" spans="3:9">
      <c r="C25" s="27">
        <v>2.6</v>
      </c>
      <c r="D25" s="27">
        <v>0.16</v>
      </c>
      <c r="E25" s="226">
        <f t="shared" si="4"/>
        <v>93.8461538461538</v>
      </c>
      <c r="F25" s="227"/>
      <c r="I25" s="254"/>
    </row>
    <row r="26" ht="17.25" customHeight="1" spans="3:9">
      <c r="C26" s="27">
        <v>25</v>
      </c>
      <c r="D26" s="27">
        <v>0.39</v>
      </c>
      <c r="E26" s="226">
        <f t="shared" si="4"/>
        <v>98.44</v>
      </c>
      <c r="F26" s="227"/>
      <c r="I26" s="254"/>
    </row>
    <row r="27" ht="17.25" customHeight="1" spans="3:9">
      <c r="C27" s="27">
        <v>31.5</v>
      </c>
      <c r="D27" s="27">
        <v>6.87</v>
      </c>
      <c r="E27" s="226">
        <f t="shared" si="4"/>
        <v>78.1904761904762</v>
      </c>
      <c r="F27" s="227"/>
      <c r="I27" s="254"/>
    </row>
    <row r="28" ht="17.25" customHeight="1" spans="5:9">
      <c r="E28" s="240"/>
      <c r="I28" s="254"/>
    </row>
    <row r="29" ht="17.25" customHeight="1" spans="9:9">
      <c r="I29" s="254"/>
    </row>
    <row r="30" ht="17.25" customHeight="1" spans="9:9">
      <c r="I30" s="254"/>
    </row>
    <row r="31" ht="17.25" customHeight="1" spans="9:9">
      <c r="I31" s="254"/>
    </row>
    <row r="32" ht="17.25" customHeight="1"/>
    <row r="33" ht="17.25" customHeight="1"/>
    <row r="34" ht="17.25" customHeight="1"/>
  </sheetData>
  <mergeCells count="66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E22:F22"/>
    <mergeCell ref="E23:F23"/>
    <mergeCell ref="E24:F24"/>
    <mergeCell ref="E25:F25"/>
    <mergeCell ref="E26:F26"/>
    <mergeCell ref="E27:F27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zoomScale="115" zoomScaleNormal="115" workbookViewId="0">
      <selection activeCell="U7" sqref="U7:U34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4" customWidth="1"/>
    <col min="9" max="9" width="5.5" style="95" customWidth="1"/>
    <col min="10" max="10" width="6.25" style="95" customWidth="1"/>
    <col min="11" max="11" width="7" style="94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6" customWidth="1"/>
    <col min="21" max="21" width="8.75" customWidth="1"/>
    <col min="23" max="23" width="12.625"/>
  </cols>
  <sheetData>
    <row r="1" ht="21.75" customHeight="1" spans="1:21">
      <c r="A1" s="97" t="s">
        <v>135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hidden="1" spans="1:21">
      <c r="A2" s="98"/>
      <c r="B2" s="98"/>
      <c r="C2" s="98"/>
      <c r="D2" s="98"/>
      <c r="E2" s="98"/>
      <c r="F2" s="98"/>
      <c r="G2" s="98"/>
      <c r="H2" s="99"/>
      <c r="I2" s="165"/>
      <c r="J2" s="165"/>
      <c r="K2" s="99"/>
      <c r="L2" s="98"/>
      <c r="M2" s="98"/>
      <c r="N2" s="98"/>
      <c r="O2" s="98"/>
      <c r="P2" s="98"/>
      <c r="Q2" s="98"/>
      <c r="R2" s="98"/>
      <c r="S2" s="98"/>
      <c r="T2" s="98"/>
      <c r="U2" s="27"/>
    </row>
    <row r="3" spans="1:21">
      <c r="A3" s="33" t="s">
        <v>136</v>
      </c>
      <c r="B3" s="33"/>
      <c r="C3" s="33"/>
      <c r="D3" s="33"/>
      <c r="E3" s="33"/>
      <c r="F3" s="33"/>
      <c r="G3" s="33"/>
      <c r="H3" s="100"/>
      <c r="I3" s="166"/>
      <c r="J3" s="167">
        <v>44958</v>
      </c>
      <c r="K3" s="168"/>
      <c r="L3" s="33"/>
      <c r="M3" s="33"/>
      <c r="N3" s="33"/>
      <c r="O3" s="33"/>
      <c r="P3" s="33"/>
      <c r="Q3" s="33"/>
      <c r="R3" s="33"/>
      <c r="S3" s="33"/>
      <c r="T3" s="191"/>
      <c r="U3" s="27"/>
    </row>
    <row r="4" ht="12.75" customHeight="1" spans="1:21">
      <c r="A4" s="101" t="s">
        <v>137</v>
      </c>
      <c r="B4" s="102" t="s">
        <v>112</v>
      </c>
      <c r="C4" s="103"/>
      <c r="D4" s="103"/>
      <c r="E4" s="103"/>
      <c r="F4" s="103"/>
      <c r="G4" s="104"/>
      <c r="H4" s="105" t="s">
        <v>138</v>
      </c>
      <c r="I4" s="105"/>
      <c r="J4" s="105"/>
      <c r="K4" s="105"/>
      <c r="L4" s="105"/>
      <c r="M4" s="105"/>
      <c r="N4" s="169" t="s">
        <v>139</v>
      </c>
      <c r="O4" s="169"/>
      <c r="P4" s="169"/>
      <c r="Q4" s="169"/>
      <c r="R4" s="169"/>
      <c r="S4" s="169"/>
      <c r="T4" s="192" t="s">
        <v>140</v>
      </c>
      <c r="U4" s="192" t="s">
        <v>141</v>
      </c>
    </row>
    <row r="5" ht="15" customHeight="1" spans="1:21">
      <c r="A5" s="106"/>
      <c r="B5" s="107" t="s">
        <v>142</v>
      </c>
      <c r="C5" s="107" t="s">
        <v>119</v>
      </c>
      <c r="D5" s="107" t="s">
        <v>120</v>
      </c>
      <c r="E5" s="107" t="s">
        <v>122</v>
      </c>
      <c r="F5" s="107" t="s">
        <v>127</v>
      </c>
      <c r="G5" s="107" t="s">
        <v>125</v>
      </c>
      <c r="H5" s="108" t="s">
        <v>142</v>
      </c>
      <c r="I5" s="108" t="s">
        <v>119</v>
      </c>
      <c r="J5" s="108" t="s">
        <v>120</v>
      </c>
      <c r="K5" s="108" t="s">
        <v>122</v>
      </c>
      <c r="L5" s="107" t="s">
        <v>127</v>
      </c>
      <c r="M5" s="107" t="s">
        <v>125</v>
      </c>
      <c r="N5" s="101" t="s">
        <v>143</v>
      </c>
      <c r="O5" s="101" t="s">
        <v>144</v>
      </c>
      <c r="P5" s="101" t="s">
        <v>120</v>
      </c>
      <c r="Q5" s="101" t="s">
        <v>122</v>
      </c>
      <c r="R5" s="101" t="s">
        <v>145</v>
      </c>
      <c r="S5" s="101" t="s">
        <v>125</v>
      </c>
      <c r="T5" s="193"/>
      <c r="U5" s="193"/>
    </row>
    <row r="6" ht="22.5" customHeight="1" spans="1:21">
      <c r="A6" s="109"/>
      <c r="B6" s="110" t="s">
        <v>146</v>
      </c>
      <c r="C6" s="110" t="s">
        <v>146</v>
      </c>
      <c r="D6" s="110" t="s">
        <v>146</v>
      </c>
      <c r="E6" s="110" t="s">
        <v>146</v>
      </c>
      <c r="F6" s="110" t="s">
        <v>146</v>
      </c>
      <c r="G6" s="110" t="s">
        <v>146</v>
      </c>
      <c r="H6" s="111" t="s">
        <v>146</v>
      </c>
      <c r="I6" s="111" t="s">
        <v>146</v>
      </c>
      <c r="J6" s="111" t="s">
        <v>146</v>
      </c>
      <c r="K6" s="111" t="s">
        <v>146</v>
      </c>
      <c r="L6" s="110" t="s">
        <v>146</v>
      </c>
      <c r="M6" s="110" t="s">
        <v>146</v>
      </c>
      <c r="N6" s="110" t="s">
        <v>146</v>
      </c>
      <c r="O6" s="110" t="s">
        <v>146</v>
      </c>
      <c r="P6" s="110" t="s">
        <v>146</v>
      </c>
      <c r="Q6" s="110" t="s">
        <v>146</v>
      </c>
      <c r="R6" s="110" t="s">
        <v>146</v>
      </c>
      <c r="S6" s="110" t="s">
        <v>146</v>
      </c>
      <c r="T6" s="109" t="s">
        <v>147</v>
      </c>
      <c r="U6" s="109" t="s">
        <v>148</v>
      </c>
    </row>
    <row r="7" ht="12.95" customHeight="1" spans="1:23">
      <c r="A7" s="112">
        <v>1</v>
      </c>
      <c r="B7" s="113">
        <v>253</v>
      </c>
      <c r="C7" s="114">
        <v>113</v>
      </c>
      <c r="D7" s="115">
        <v>118</v>
      </c>
      <c r="E7" s="116">
        <v>2.66</v>
      </c>
      <c r="F7" s="117">
        <v>30.6</v>
      </c>
      <c r="G7" s="118">
        <v>36.8</v>
      </c>
      <c r="H7" s="119">
        <v>18</v>
      </c>
      <c r="I7" s="116">
        <v>2.55</v>
      </c>
      <c r="J7" s="119">
        <v>12</v>
      </c>
      <c r="K7" s="116">
        <v>0.56</v>
      </c>
      <c r="L7" s="170">
        <v>0.2</v>
      </c>
      <c r="M7" s="170">
        <v>8.24</v>
      </c>
      <c r="N7" s="115" t="s">
        <v>149</v>
      </c>
      <c r="O7" s="171">
        <v>2.33</v>
      </c>
      <c r="P7" s="115">
        <v>5</v>
      </c>
      <c r="Q7" s="170">
        <v>0.11</v>
      </c>
      <c r="R7" s="176">
        <v>0.14</v>
      </c>
      <c r="S7" s="170">
        <v>8.16</v>
      </c>
      <c r="T7" s="122">
        <v>78.7</v>
      </c>
      <c r="U7" s="120" t="s">
        <v>130</v>
      </c>
      <c r="V7" s="194">
        <f>T7-0.5</f>
        <v>78.2</v>
      </c>
      <c r="W7" s="195">
        <f>1-S7/G7</f>
        <v>0.778260869565217</v>
      </c>
    </row>
    <row r="8" ht="12.95" customHeight="1" spans="1:23">
      <c r="A8" s="112">
        <v>2</v>
      </c>
      <c r="B8" s="113">
        <v>338</v>
      </c>
      <c r="C8" s="114">
        <v>152</v>
      </c>
      <c r="D8" s="115">
        <v>158</v>
      </c>
      <c r="E8" s="120">
        <v>3.6</v>
      </c>
      <c r="F8" s="118">
        <v>32.2</v>
      </c>
      <c r="G8" s="118">
        <v>38.1</v>
      </c>
      <c r="H8" s="119">
        <v>23</v>
      </c>
      <c r="I8" s="116">
        <v>2.74</v>
      </c>
      <c r="J8" s="119">
        <v>13</v>
      </c>
      <c r="K8" s="116">
        <v>0.53</v>
      </c>
      <c r="L8" s="170">
        <v>0.28</v>
      </c>
      <c r="M8" s="170">
        <v>6.77</v>
      </c>
      <c r="N8" s="115">
        <v>20</v>
      </c>
      <c r="O8" s="171">
        <v>2.23</v>
      </c>
      <c r="P8" s="115">
        <v>6</v>
      </c>
      <c r="Q8" s="170">
        <v>0.1</v>
      </c>
      <c r="R8" s="176">
        <v>0.2</v>
      </c>
      <c r="S8" s="170">
        <v>6.48</v>
      </c>
      <c r="T8" s="122">
        <v>78.5</v>
      </c>
      <c r="U8" s="120" t="s">
        <v>130</v>
      </c>
      <c r="V8" s="194">
        <f t="shared" ref="V8:V34" si="0">T8-0.5</f>
        <v>78</v>
      </c>
      <c r="W8" s="195">
        <f t="shared" ref="W8:W37" si="1">1-S8/G8</f>
        <v>0.82992125984252</v>
      </c>
    </row>
    <row r="9" ht="12.95" customHeight="1" spans="1:23">
      <c r="A9" s="112">
        <v>3</v>
      </c>
      <c r="B9" s="113">
        <v>192</v>
      </c>
      <c r="C9" s="114">
        <v>87.5</v>
      </c>
      <c r="D9" s="115">
        <v>92</v>
      </c>
      <c r="E9" s="116">
        <v>5.15</v>
      </c>
      <c r="F9" s="118">
        <v>32.3</v>
      </c>
      <c r="G9" s="118">
        <v>38.8</v>
      </c>
      <c r="H9" s="119">
        <v>23</v>
      </c>
      <c r="I9" s="116">
        <v>2.44</v>
      </c>
      <c r="J9" s="119">
        <v>12</v>
      </c>
      <c r="K9" s="116">
        <v>0.55</v>
      </c>
      <c r="L9" s="170">
        <v>0.69</v>
      </c>
      <c r="M9" s="170">
        <v>8.94</v>
      </c>
      <c r="N9" s="115">
        <v>18</v>
      </c>
      <c r="O9" s="171">
        <v>2.2</v>
      </c>
      <c r="P9" s="115">
        <v>6</v>
      </c>
      <c r="Q9" s="170">
        <v>0.12</v>
      </c>
      <c r="R9" s="176">
        <v>0.36</v>
      </c>
      <c r="S9" s="170">
        <v>8.72</v>
      </c>
      <c r="T9" s="122">
        <v>78.8</v>
      </c>
      <c r="U9" s="120">
        <v>60</v>
      </c>
      <c r="V9" s="194">
        <f t="shared" si="0"/>
        <v>78.3</v>
      </c>
      <c r="W9" s="195">
        <f t="shared" si="1"/>
        <v>0.775257731958763</v>
      </c>
    </row>
    <row r="10" ht="12.95" customHeight="1" spans="1:23">
      <c r="A10" s="112">
        <v>4</v>
      </c>
      <c r="B10" s="113">
        <v>200</v>
      </c>
      <c r="C10" s="114">
        <v>91.4</v>
      </c>
      <c r="D10" s="115">
        <v>106</v>
      </c>
      <c r="E10" s="116">
        <v>2.21</v>
      </c>
      <c r="F10" s="118">
        <v>24.5</v>
      </c>
      <c r="G10" s="118">
        <v>30.7</v>
      </c>
      <c r="H10" s="119">
        <v>25</v>
      </c>
      <c r="I10" s="116">
        <v>2.61</v>
      </c>
      <c r="J10" s="119">
        <v>13</v>
      </c>
      <c r="K10" s="116">
        <v>0.51</v>
      </c>
      <c r="L10" s="170">
        <v>0.59</v>
      </c>
      <c r="M10" s="170">
        <v>7.37</v>
      </c>
      <c r="N10" s="115">
        <v>22</v>
      </c>
      <c r="O10" s="171">
        <v>2.39</v>
      </c>
      <c r="P10" s="115">
        <v>5</v>
      </c>
      <c r="Q10" s="170">
        <v>0.13</v>
      </c>
      <c r="R10" s="176">
        <v>0.32</v>
      </c>
      <c r="S10" s="170">
        <v>6.94</v>
      </c>
      <c r="T10" s="122">
        <v>78.3</v>
      </c>
      <c r="U10" s="120" t="s">
        <v>130</v>
      </c>
      <c r="V10" s="194">
        <f t="shared" si="0"/>
        <v>77.8</v>
      </c>
      <c r="W10" s="195">
        <f t="shared" si="1"/>
        <v>0.773941368078176</v>
      </c>
    </row>
    <row r="11" ht="12.95" customHeight="1" spans="1:23">
      <c r="A11" s="112">
        <v>5</v>
      </c>
      <c r="B11" s="113">
        <v>318</v>
      </c>
      <c r="C11" s="114">
        <v>144</v>
      </c>
      <c r="D11" s="115">
        <v>166</v>
      </c>
      <c r="E11" s="116">
        <v>3.87</v>
      </c>
      <c r="F11" s="121">
        <v>33</v>
      </c>
      <c r="G11" s="118">
        <v>42.6</v>
      </c>
      <c r="H11" s="119">
        <v>32</v>
      </c>
      <c r="I11" s="116">
        <v>3.1</v>
      </c>
      <c r="J11" s="119">
        <v>12</v>
      </c>
      <c r="K11" s="116">
        <v>0.51</v>
      </c>
      <c r="L11" s="170">
        <v>0.46</v>
      </c>
      <c r="M11" s="170">
        <v>9.6</v>
      </c>
      <c r="N11" s="115">
        <v>25</v>
      </c>
      <c r="O11" s="171">
        <v>2.67</v>
      </c>
      <c r="P11" s="115">
        <v>5</v>
      </c>
      <c r="Q11" s="170">
        <v>0.13</v>
      </c>
      <c r="R11" s="176">
        <v>0.43</v>
      </c>
      <c r="S11" s="170">
        <v>8.34</v>
      </c>
      <c r="T11" s="122">
        <v>78.8</v>
      </c>
      <c r="U11" s="120" t="s">
        <v>130</v>
      </c>
      <c r="V11" s="194">
        <f t="shared" si="0"/>
        <v>78.3</v>
      </c>
      <c r="W11" s="195">
        <f t="shared" si="1"/>
        <v>0.804225352112676</v>
      </c>
    </row>
    <row r="12" ht="12.95" customHeight="1" spans="1:23">
      <c r="A12" s="112">
        <v>6</v>
      </c>
      <c r="B12" s="113">
        <v>328</v>
      </c>
      <c r="C12" s="114">
        <v>148</v>
      </c>
      <c r="D12" s="115">
        <v>152</v>
      </c>
      <c r="E12" s="116">
        <v>3.28</v>
      </c>
      <c r="F12" s="117">
        <v>28.7</v>
      </c>
      <c r="G12" s="118">
        <v>35.2</v>
      </c>
      <c r="H12" s="119">
        <v>25</v>
      </c>
      <c r="I12" s="116">
        <v>2.43</v>
      </c>
      <c r="J12" s="119">
        <v>13</v>
      </c>
      <c r="K12" s="116">
        <v>0.5</v>
      </c>
      <c r="L12" s="170">
        <v>0.42</v>
      </c>
      <c r="M12" s="170">
        <v>7.63</v>
      </c>
      <c r="N12" s="115">
        <v>19</v>
      </c>
      <c r="O12" s="171">
        <v>2.36</v>
      </c>
      <c r="P12" s="115">
        <v>6</v>
      </c>
      <c r="Q12" s="170">
        <v>0.13</v>
      </c>
      <c r="R12" s="176">
        <v>0.31</v>
      </c>
      <c r="S12" s="170">
        <v>6.68</v>
      </c>
      <c r="T12" s="122">
        <v>78.9</v>
      </c>
      <c r="U12" s="120" t="s">
        <v>130</v>
      </c>
      <c r="V12" s="194">
        <f t="shared" si="0"/>
        <v>78.4</v>
      </c>
      <c r="W12" s="195">
        <f t="shared" si="1"/>
        <v>0.810227272727273</v>
      </c>
    </row>
    <row r="13" ht="12.95" customHeight="1" spans="1:23">
      <c r="A13" s="112">
        <v>7</v>
      </c>
      <c r="B13" s="113">
        <v>306</v>
      </c>
      <c r="C13" s="114">
        <v>136</v>
      </c>
      <c r="D13" s="115">
        <v>150</v>
      </c>
      <c r="E13" s="116">
        <v>2.52</v>
      </c>
      <c r="F13" s="117">
        <v>40</v>
      </c>
      <c r="G13" s="118">
        <v>46.5</v>
      </c>
      <c r="H13" s="119">
        <v>26</v>
      </c>
      <c r="I13" s="116">
        <v>2.25</v>
      </c>
      <c r="J13" s="119">
        <v>14</v>
      </c>
      <c r="K13" s="116">
        <v>0.52</v>
      </c>
      <c r="L13" s="170">
        <v>0.52</v>
      </c>
      <c r="M13" s="170">
        <v>7.98</v>
      </c>
      <c r="N13" s="115">
        <v>19</v>
      </c>
      <c r="O13" s="171">
        <v>2.16</v>
      </c>
      <c r="P13" s="115">
        <v>5</v>
      </c>
      <c r="Q13" s="170">
        <v>0.2</v>
      </c>
      <c r="R13" s="176">
        <v>0.4</v>
      </c>
      <c r="S13" s="170">
        <v>6.9</v>
      </c>
      <c r="T13" s="122">
        <v>78.3</v>
      </c>
      <c r="U13" s="120">
        <v>90</v>
      </c>
      <c r="V13" s="194">
        <f t="shared" si="0"/>
        <v>77.8</v>
      </c>
      <c r="W13" s="195">
        <f t="shared" si="1"/>
        <v>0.851612903225806</v>
      </c>
    </row>
    <row r="14" ht="12.95" customHeight="1" spans="1:23">
      <c r="A14" s="112">
        <v>8</v>
      </c>
      <c r="B14" s="113">
        <v>446</v>
      </c>
      <c r="C14" s="114">
        <v>201</v>
      </c>
      <c r="D14" s="115">
        <v>116</v>
      </c>
      <c r="E14" s="116">
        <v>2.21</v>
      </c>
      <c r="F14" s="122">
        <v>26.5</v>
      </c>
      <c r="G14" s="118">
        <v>32</v>
      </c>
      <c r="H14" s="119">
        <v>26</v>
      </c>
      <c r="I14" s="116">
        <v>2.77</v>
      </c>
      <c r="J14" s="119">
        <v>14</v>
      </c>
      <c r="K14" s="116">
        <v>0.54</v>
      </c>
      <c r="L14" s="170">
        <v>0.49</v>
      </c>
      <c r="M14" s="170">
        <v>8.08</v>
      </c>
      <c r="N14" s="115">
        <v>19</v>
      </c>
      <c r="O14" s="171">
        <v>2.44</v>
      </c>
      <c r="P14" s="115">
        <v>5</v>
      </c>
      <c r="Q14" s="170">
        <v>0.15</v>
      </c>
      <c r="R14" s="176">
        <v>0.33</v>
      </c>
      <c r="S14" s="170">
        <v>6.58</v>
      </c>
      <c r="T14" s="122">
        <v>78.3</v>
      </c>
      <c r="U14" s="120" t="s">
        <v>130</v>
      </c>
      <c r="V14" s="194">
        <f t="shared" si="0"/>
        <v>77.8</v>
      </c>
      <c r="W14" s="195">
        <f t="shared" si="1"/>
        <v>0.794375</v>
      </c>
    </row>
    <row r="15" ht="12.95" customHeight="1" spans="1:23">
      <c r="A15" s="112">
        <v>9</v>
      </c>
      <c r="B15" s="113">
        <v>274</v>
      </c>
      <c r="C15" s="114">
        <v>126</v>
      </c>
      <c r="D15" s="115">
        <v>124</v>
      </c>
      <c r="E15" s="116">
        <v>3.45</v>
      </c>
      <c r="F15" s="118">
        <v>23.5</v>
      </c>
      <c r="G15" s="118">
        <v>34.6</v>
      </c>
      <c r="H15" s="119">
        <v>43</v>
      </c>
      <c r="I15" s="116">
        <v>3.69</v>
      </c>
      <c r="J15" s="119">
        <v>16</v>
      </c>
      <c r="K15" s="116">
        <v>0.54</v>
      </c>
      <c r="L15" s="170">
        <v>0.42</v>
      </c>
      <c r="M15" s="170">
        <v>8.08</v>
      </c>
      <c r="N15" s="115">
        <v>30</v>
      </c>
      <c r="O15" s="171">
        <v>2.94</v>
      </c>
      <c r="P15" s="115">
        <v>6</v>
      </c>
      <c r="Q15" s="170">
        <v>0.09</v>
      </c>
      <c r="R15" s="176">
        <v>0.4</v>
      </c>
      <c r="S15" s="170">
        <v>7.86</v>
      </c>
      <c r="T15" s="122">
        <v>78.7</v>
      </c>
      <c r="U15" s="120" t="s">
        <v>130</v>
      </c>
      <c r="V15" s="194">
        <f t="shared" si="0"/>
        <v>78.2</v>
      </c>
      <c r="W15" s="195">
        <f t="shared" si="1"/>
        <v>0.772832369942197</v>
      </c>
    </row>
    <row r="16" ht="12.95" customHeight="1" spans="1:23">
      <c r="A16" s="112">
        <v>10</v>
      </c>
      <c r="B16" s="113">
        <v>447</v>
      </c>
      <c r="C16" s="123">
        <v>203</v>
      </c>
      <c r="D16" s="115">
        <v>122</v>
      </c>
      <c r="E16" s="116">
        <v>1.97</v>
      </c>
      <c r="F16" s="118">
        <v>23.1</v>
      </c>
      <c r="G16" s="118">
        <v>30.4</v>
      </c>
      <c r="H16" s="119">
        <v>40</v>
      </c>
      <c r="I16" s="172">
        <v>3.05</v>
      </c>
      <c r="J16" s="119">
        <v>15</v>
      </c>
      <c r="K16" s="116">
        <v>0.56</v>
      </c>
      <c r="L16" s="170">
        <v>0.53</v>
      </c>
      <c r="M16" s="170">
        <v>7.32</v>
      </c>
      <c r="N16" s="115">
        <v>30</v>
      </c>
      <c r="O16" s="171">
        <v>3</v>
      </c>
      <c r="P16" s="115">
        <v>6</v>
      </c>
      <c r="Q16" s="170">
        <v>0.16</v>
      </c>
      <c r="R16" s="176">
        <v>0.4</v>
      </c>
      <c r="S16" s="170">
        <v>6.74</v>
      </c>
      <c r="T16" s="122">
        <v>78.7</v>
      </c>
      <c r="U16" s="120" t="s">
        <v>130</v>
      </c>
      <c r="V16" s="194">
        <f t="shared" si="0"/>
        <v>78.2</v>
      </c>
      <c r="W16" s="195">
        <f t="shared" si="1"/>
        <v>0.778289473684211</v>
      </c>
    </row>
    <row r="17" ht="12.95" customHeight="1" spans="1:23">
      <c r="A17" s="112">
        <v>11</v>
      </c>
      <c r="B17" s="113">
        <v>180</v>
      </c>
      <c r="C17" s="114">
        <v>82.4</v>
      </c>
      <c r="D17" s="115">
        <v>98</v>
      </c>
      <c r="E17" s="116">
        <v>1.96</v>
      </c>
      <c r="F17" s="117">
        <v>20.3</v>
      </c>
      <c r="G17" s="118">
        <v>24.6</v>
      </c>
      <c r="H17" s="119">
        <v>35</v>
      </c>
      <c r="I17" s="116">
        <v>2.88</v>
      </c>
      <c r="J17" s="119">
        <v>13</v>
      </c>
      <c r="K17" s="116">
        <v>0.52</v>
      </c>
      <c r="L17" s="170">
        <v>0.43</v>
      </c>
      <c r="M17" s="170">
        <v>6.74</v>
      </c>
      <c r="N17" s="115">
        <v>25</v>
      </c>
      <c r="O17" s="171">
        <v>2.76</v>
      </c>
      <c r="P17" s="115">
        <v>5</v>
      </c>
      <c r="Q17" s="170">
        <v>0.15</v>
      </c>
      <c r="R17" s="176">
        <v>0.34</v>
      </c>
      <c r="S17" s="170">
        <v>5.9</v>
      </c>
      <c r="T17" s="122">
        <v>78.8</v>
      </c>
      <c r="U17" s="120" t="s">
        <v>130</v>
      </c>
      <c r="V17" s="194">
        <f t="shared" si="0"/>
        <v>78.3</v>
      </c>
      <c r="W17" s="195">
        <f t="shared" si="1"/>
        <v>0.760162601626016</v>
      </c>
    </row>
    <row r="18" ht="12.95" customHeight="1" spans="1:23">
      <c r="A18" s="112">
        <v>12</v>
      </c>
      <c r="B18" s="115">
        <v>360</v>
      </c>
      <c r="C18" s="114">
        <v>166</v>
      </c>
      <c r="D18" s="124">
        <v>102</v>
      </c>
      <c r="E18" s="116">
        <v>1.52</v>
      </c>
      <c r="F18" s="118">
        <v>20</v>
      </c>
      <c r="G18" s="118">
        <v>26.9</v>
      </c>
      <c r="H18" s="119">
        <v>29</v>
      </c>
      <c r="I18" s="116">
        <v>2.74</v>
      </c>
      <c r="J18" s="62">
        <v>14</v>
      </c>
      <c r="K18" s="116">
        <v>0.53</v>
      </c>
      <c r="L18" s="170">
        <v>0.54</v>
      </c>
      <c r="M18" s="170">
        <v>8.06</v>
      </c>
      <c r="N18" s="115">
        <v>24</v>
      </c>
      <c r="O18" s="171">
        <v>2.51</v>
      </c>
      <c r="P18" s="115">
        <v>6</v>
      </c>
      <c r="Q18" s="170">
        <v>0.16</v>
      </c>
      <c r="R18" s="176">
        <v>0.51</v>
      </c>
      <c r="S18" s="173">
        <v>7.68</v>
      </c>
      <c r="T18" s="122">
        <v>78.6</v>
      </c>
      <c r="U18" s="120">
        <v>20</v>
      </c>
      <c r="V18" s="194">
        <f t="shared" si="0"/>
        <v>78.1</v>
      </c>
      <c r="W18" s="195">
        <f t="shared" si="1"/>
        <v>0.714498141263941</v>
      </c>
    </row>
    <row r="19" ht="12.95" customHeight="1" spans="1:23">
      <c r="A19" s="112">
        <v>13</v>
      </c>
      <c r="B19" s="113">
        <v>290</v>
      </c>
      <c r="C19" s="114">
        <v>133</v>
      </c>
      <c r="D19" s="124">
        <v>128</v>
      </c>
      <c r="E19" s="116">
        <v>2.63</v>
      </c>
      <c r="F19" s="118">
        <v>21.9</v>
      </c>
      <c r="G19" s="118">
        <v>27.2</v>
      </c>
      <c r="H19" s="119">
        <v>28</v>
      </c>
      <c r="I19" s="116">
        <v>2.65</v>
      </c>
      <c r="J19" s="62">
        <v>16</v>
      </c>
      <c r="K19" s="116">
        <v>0.5</v>
      </c>
      <c r="L19" s="170">
        <v>0.58</v>
      </c>
      <c r="M19" s="170">
        <v>6.48</v>
      </c>
      <c r="N19" s="115">
        <v>22</v>
      </c>
      <c r="O19" s="171">
        <v>2.4</v>
      </c>
      <c r="P19" s="115">
        <v>6</v>
      </c>
      <c r="Q19" s="170">
        <v>0.09</v>
      </c>
      <c r="R19" s="176">
        <v>0.43</v>
      </c>
      <c r="S19" s="170">
        <v>6.01</v>
      </c>
      <c r="T19" s="122">
        <v>78.4</v>
      </c>
      <c r="U19" s="120" t="s">
        <v>130</v>
      </c>
      <c r="V19" s="194">
        <f t="shared" si="0"/>
        <v>77.9</v>
      </c>
      <c r="W19" s="195">
        <f t="shared" si="1"/>
        <v>0.779044117647059</v>
      </c>
    </row>
    <row r="20" ht="12.95" customHeight="1" spans="1:23">
      <c r="A20" s="112">
        <v>14</v>
      </c>
      <c r="B20" s="113">
        <v>257</v>
      </c>
      <c r="C20" s="123">
        <v>117</v>
      </c>
      <c r="D20" s="115">
        <v>78</v>
      </c>
      <c r="E20" s="116">
        <v>2.02</v>
      </c>
      <c r="F20" s="122">
        <v>15.9</v>
      </c>
      <c r="G20" s="118">
        <v>22.3</v>
      </c>
      <c r="H20" s="119">
        <v>28</v>
      </c>
      <c r="I20" s="172">
        <v>2.47</v>
      </c>
      <c r="J20" s="119">
        <v>12</v>
      </c>
      <c r="K20" s="116">
        <v>0.52</v>
      </c>
      <c r="L20" s="170">
        <v>0.86</v>
      </c>
      <c r="M20" s="170">
        <v>5.99</v>
      </c>
      <c r="N20" s="115">
        <v>19</v>
      </c>
      <c r="O20" s="171">
        <v>2.3</v>
      </c>
      <c r="P20" s="115">
        <v>5</v>
      </c>
      <c r="Q20" s="170">
        <v>0.15</v>
      </c>
      <c r="R20" s="176">
        <v>0.31</v>
      </c>
      <c r="S20" s="170">
        <v>5.85</v>
      </c>
      <c r="T20" s="122">
        <v>78.7</v>
      </c>
      <c r="U20" s="120" t="s">
        <v>130</v>
      </c>
      <c r="V20" s="194">
        <f t="shared" si="0"/>
        <v>78.2</v>
      </c>
      <c r="W20" s="195">
        <f t="shared" si="1"/>
        <v>0.737668161434978</v>
      </c>
    </row>
    <row r="21" ht="12.95" customHeight="1" spans="1:23">
      <c r="A21" s="112">
        <v>15</v>
      </c>
      <c r="B21" s="113">
        <v>162</v>
      </c>
      <c r="C21" s="114">
        <v>74.6</v>
      </c>
      <c r="D21" s="115">
        <v>90</v>
      </c>
      <c r="E21" s="116">
        <v>1.97</v>
      </c>
      <c r="F21" s="117">
        <v>18.7</v>
      </c>
      <c r="G21" s="118">
        <v>25.7</v>
      </c>
      <c r="H21" s="119">
        <v>41</v>
      </c>
      <c r="I21" s="116">
        <v>3.77</v>
      </c>
      <c r="J21" s="119">
        <v>11</v>
      </c>
      <c r="K21" s="116">
        <v>0.51</v>
      </c>
      <c r="L21" s="170">
        <v>0.5</v>
      </c>
      <c r="M21" s="170">
        <v>7.37</v>
      </c>
      <c r="N21" s="115">
        <v>18</v>
      </c>
      <c r="O21" s="171">
        <v>2.26</v>
      </c>
      <c r="P21" s="115">
        <v>5</v>
      </c>
      <c r="Q21" s="170">
        <v>0.13</v>
      </c>
      <c r="R21" s="176">
        <v>0.39</v>
      </c>
      <c r="S21" s="170">
        <v>6.87</v>
      </c>
      <c r="T21" s="122">
        <v>78.5</v>
      </c>
      <c r="U21" s="120" t="s">
        <v>130</v>
      </c>
      <c r="V21" s="194">
        <f t="shared" si="0"/>
        <v>78</v>
      </c>
      <c r="W21" s="195">
        <f t="shared" si="1"/>
        <v>0.732684824902724</v>
      </c>
    </row>
    <row r="22" ht="12" customHeight="1" spans="1:23">
      <c r="A22" s="112">
        <v>16</v>
      </c>
      <c r="B22" s="113">
        <v>252</v>
      </c>
      <c r="C22" s="114">
        <v>115</v>
      </c>
      <c r="D22" s="115">
        <v>104</v>
      </c>
      <c r="E22" s="116">
        <v>2.17</v>
      </c>
      <c r="F22" s="117">
        <v>18.6</v>
      </c>
      <c r="G22" s="118">
        <v>25.2</v>
      </c>
      <c r="H22" s="119">
        <v>30</v>
      </c>
      <c r="I22" s="116">
        <v>2.44</v>
      </c>
      <c r="J22" s="119">
        <v>12</v>
      </c>
      <c r="K22" s="116">
        <v>0.53</v>
      </c>
      <c r="L22" s="170">
        <v>0.67</v>
      </c>
      <c r="M22" s="170">
        <v>7.4</v>
      </c>
      <c r="N22" s="115">
        <v>20</v>
      </c>
      <c r="O22" s="171">
        <v>2.21</v>
      </c>
      <c r="P22" s="115">
        <v>5</v>
      </c>
      <c r="Q22" s="170">
        <v>0.18</v>
      </c>
      <c r="R22" s="176">
        <v>0.47</v>
      </c>
      <c r="S22" s="170">
        <v>6.72</v>
      </c>
      <c r="T22" s="122">
        <v>78.2</v>
      </c>
      <c r="U22" s="120" t="s">
        <v>130</v>
      </c>
      <c r="V22" s="194">
        <f t="shared" si="0"/>
        <v>77.7</v>
      </c>
      <c r="W22" s="195">
        <f t="shared" si="1"/>
        <v>0.733333333333333</v>
      </c>
    </row>
    <row r="23" ht="12.95" customHeight="1" spans="1:23">
      <c r="A23" s="112">
        <v>17</v>
      </c>
      <c r="B23" s="113">
        <v>222</v>
      </c>
      <c r="C23" s="114">
        <v>101</v>
      </c>
      <c r="D23" s="115">
        <v>128</v>
      </c>
      <c r="E23" s="116">
        <v>2.03</v>
      </c>
      <c r="F23" s="117">
        <v>22</v>
      </c>
      <c r="G23" s="118">
        <v>29.7</v>
      </c>
      <c r="H23" s="119">
        <v>30</v>
      </c>
      <c r="I23" s="116">
        <v>2.38</v>
      </c>
      <c r="J23" s="119">
        <v>14</v>
      </c>
      <c r="K23" s="116">
        <v>0.55</v>
      </c>
      <c r="L23" s="170">
        <v>0.53</v>
      </c>
      <c r="M23" s="170">
        <v>7.5</v>
      </c>
      <c r="N23" s="115">
        <v>23</v>
      </c>
      <c r="O23" s="171">
        <v>2.2</v>
      </c>
      <c r="P23" s="115">
        <v>5</v>
      </c>
      <c r="Q23" s="170">
        <v>0.17</v>
      </c>
      <c r="R23" s="176">
        <v>0.4</v>
      </c>
      <c r="S23" s="170">
        <v>6.62</v>
      </c>
      <c r="T23" s="122">
        <v>78.3</v>
      </c>
      <c r="U23" s="120" t="s">
        <v>130</v>
      </c>
      <c r="V23" s="194">
        <f t="shared" si="0"/>
        <v>77.8</v>
      </c>
      <c r="W23" s="195">
        <f t="shared" si="1"/>
        <v>0.777104377104377</v>
      </c>
    </row>
    <row r="24" ht="12.95" customHeight="1" spans="1:23">
      <c r="A24" s="112">
        <v>18</v>
      </c>
      <c r="B24" s="120">
        <v>230</v>
      </c>
      <c r="C24" s="114">
        <v>105</v>
      </c>
      <c r="D24" s="115">
        <v>156</v>
      </c>
      <c r="E24" s="116">
        <v>2.83</v>
      </c>
      <c r="F24" s="117">
        <v>22.8</v>
      </c>
      <c r="G24" s="118">
        <v>29.1</v>
      </c>
      <c r="H24" s="119">
        <v>37</v>
      </c>
      <c r="I24" s="116">
        <v>3.14</v>
      </c>
      <c r="J24" s="119">
        <v>15</v>
      </c>
      <c r="K24" s="116">
        <v>0.56</v>
      </c>
      <c r="L24" s="170">
        <v>0.43</v>
      </c>
      <c r="M24" s="170">
        <v>7.2</v>
      </c>
      <c r="N24" s="115">
        <v>27</v>
      </c>
      <c r="O24" s="171">
        <v>2.29</v>
      </c>
      <c r="P24" s="115">
        <v>6</v>
      </c>
      <c r="Q24" s="170">
        <v>0.22</v>
      </c>
      <c r="R24" s="176">
        <v>0.31</v>
      </c>
      <c r="S24" s="170">
        <v>6.13</v>
      </c>
      <c r="T24" s="122">
        <v>78.6</v>
      </c>
      <c r="U24" s="120" t="s">
        <v>130</v>
      </c>
      <c r="V24" s="194">
        <f t="shared" si="0"/>
        <v>78.1</v>
      </c>
      <c r="W24" s="195">
        <f t="shared" si="1"/>
        <v>0.789347079037801</v>
      </c>
    </row>
    <row r="25" ht="12.95" customHeight="1" spans="1:23">
      <c r="A25" s="112">
        <v>19</v>
      </c>
      <c r="B25" s="120">
        <v>232</v>
      </c>
      <c r="C25" s="123">
        <v>109</v>
      </c>
      <c r="D25" s="115">
        <v>136</v>
      </c>
      <c r="E25" s="116">
        <v>2.72</v>
      </c>
      <c r="F25" s="118">
        <v>24.2</v>
      </c>
      <c r="G25" s="118">
        <v>30</v>
      </c>
      <c r="H25" s="119">
        <v>26</v>
      </c>
      <c r="I25" s="172">
        <v>2.82</v>
      </c>
      <c r="J25" s="119">
        <v>12</v>
      </c>
      <c r="K25" s="116">
        <v>0.51</v>
      </c>
      <c r="L25" s="170">
        <v>0.53</v>
      </c>
      <c r="M25" s="170">
        <v>8.68</v>
      </c>
      <c r="N25" s="115">
        <v>22</v>
      </c>
      <c r="O25" s="171">
        <v>2.65</v>
      </c>
      <c r="P25" s="115">
        <v>6</v>
      </c>
      <c r="Q25" s="170">
        <v>0.17</v>
      </c>
      <c r="R25" s="176">
        <v>0.43</v>
      </c>
      <c r="S25" s="170">
        <v>8.31</v>
      </c>
      <c r="T25" s="122">
        <v>78.8</v>
      </c>
      <c r="U25" s="120">
        <v>100</v>
      </c>
      <c r="V25" s="194">
        <f t="shared" si="0"/>
        <v>78.3</v>
      </c>
      <c r="W25" s="195">
        <f t="shared" si="1"/>
        <v>0.723</v>
      </c>
    </row>
    <row r="26" ht="12.95" customHeight="1" spans="1:23">
      <c r="A26" s="112">
        <v>20</v>
      </c>
      <c r="B26" s="120">
        <v>305</v>
      </c>
      <c r="C26" s="114">
        <v>138</v>
      </c>
      <c r="D26" s="115">
        <v>106</v>
      </c>
      <c r="E26" s="116">
        <v>2.46</v>
      </c>
      <c r="F26" s="118">
        <v>27.4</v>
      </c>
      <c r="G26" s="118">
        <v>33.3</v>
      </c>
      <c r="H26" s="119">
        <v>40</v>
      </c>
      <c r="I26" s="116">
        <v>3.34</v>
      </c>
      <c r="J26" s="119">
        <v>13</v>
      </c>
      <c r="K26" s="116">
        <v>0.55</v>
      </c>
      <c r="L26" s="170">
        <v>0.75</v>
      </c>
      <c r="M26" s="170">
        <v>7.04</v>
      </c>
      <c r="N26" s="115">
        <v>26</v>
      </c>
      <c r="O26" s="171">
        <v>2.71</v>
      </c>
      <c r="P26" s="115">
        <v>5</v>
      </c>
      <c r="Q26" s="170">
        <v>0.16</v>
      </c>
      <c r="R26" s="176">
        <v>0.51</v>
      </c>
      <c r="S26" s="170">
        <v>6.87</v>
      </c>
      <c r="T26" s="122">
        <v>78.5</v>
      </c>
      <c r="U26" s="120" t="s">
        <v>130</v>
      </c>
      <c r="V26" s="194">
        <f t="shared" si="0"/>
        <v>78</v>
      </c>
      <c r="W26" s="195">
        <f t="shared" si="1"/>
        <v>0.793693693693694</v>
      </c>
    </row>
    <row r="27" ht="12.95" customHeight="1" spans="1:23">
      <c r="A27" s="112">
        <v>21</v>
      </c>
      <c r="B27" s="120">
        <v>330</v>
      </c>
      <c r="C27" s="114">
        <v>150</v>
      </c>
      <c r="D27" s="115">
        <v>100</v>
      </c>
      <c r="E27" s="116">
        <v>2.46</v>
      </c>
      <c r="F27" s="122">
        <v>24.9</v>
      </c>
      <c r="G27" s="118">
        <v>30.3</v>
      </c>
      <c r="H27" s="119">
        <v>40</v>
      </c>
      <c r="I27" s="116">
        <v>3.6</v>
      </c>
      <c r="J27" s="119">
        <v>13</v>
      </c>
      <c r="K27" s="116">
        <v>0.53</v>
      </c>
      <c r="L27" s="170">
        <v>0.54</v>
      </c>
      <c r="M27" s="170">
        <v>8.41</v>
      </c>
      <c r="N27" s="115">
        <v>24</v>
      </c>
      <c r="O27" s="171">
        <v>2.31</v>
      </c>
      <c r="P27" s="115">
        <v>5</v>
      </c>
      <c r="Q27" s="170">
        <v>0.19</v>
      </c>
      <c r="R27" s="176">
        <v>0.37</v>
      </c>
      <c r="S27" s="170">
        <v>7.1</v>
      </c>
      <c r="T27" s="122">
        <v>78.8</v>
      </c>
      <c r="U27" s="120" t="s">
        <v>130</v>
      </c>
      <c r="V27" s="194">
        <f t="shared" si="0"/>
        <v>78.3</v>
      </c>
      <c r="W27" s="195">
        <f t="shared" si="1"/>
        <v>0.765676567656766</v>
      </c>
    </row>
    <row r="28" ht="12.95" customHeight="1" spans="1:23">
      <c r="A28" s="112">
        <v>22</v>
      </c>
      <c r="B28" s="120">
        <v>336</v>
      </c>
      <c r="C28" s="114">
        <v>152</v>
      </c>
      <c r="D28" s="115">
        <v>144</v>
      </c>
      <c r="E28" s="116">
        <v>2.47</v>
      </c>
      <c r="F28" s="122">
        <v>26.3</v>
      </c>
      <c r="G28" s="118">
        <v>32.4</v>
      </c>
      <c r="H28" s="119">
        <v>31</v>
      </c>
      <c r="I28" s="116">
        <v>3.02</v>
      </c>
      <c r="J28" s="119">
        <v>14</v>
      </c>
      <c r="K28" s="116">
        <v>0.54</v>
      </c>
      <c r="L28" s="170">
        <v>0.5</v>
      </c>
      <c r="M28" s="170">
        <v>7.02</v>
      </c>
      <c r="N28" s="115">
        <v>25</v>
      </c>
      <c r="O28" s="171">
        <v>2.7</v>
      </c>
      <c r="P28" s="115">
        <v>6</v>
      </c>
      <c r="Q28" s="170">
        <v>0.17</v>
      </c>
      <c r="R28" s="176">
        <v>0.3</v>
      </c>
      <c r="S28" s="170">
        <v>6.74</v>
      </c>
      <c r="T28" s="122">
        <v>78.7</v>
      </c>
      <c r="U28" s="120">
        <v>40</v>
      </c>
      <c r="V28" s="194">
        <f t="shared" si="0"/>
        <v>78.2</v>
      </c>
      <c r="W28" s="195">
        <f t="shared" si="1"/>
        <v>0.791975308641975</v>
      </c>
    </row>
    <row r="29" ht="12.95" customHeight="1" spans="1:23">
      <c r="A29" s="112">
        <v>23</v>
      </c>
      <c r="B29" s="120">
        <v>181</v>
      </c>
      <c r="C29" s="123">
        <v>83.2</v>
      </c>
      <c r="D29" s="115">
        <v>88</v>
      </c>
      <c r="E29" s="116">
        <v>1.95</v>
      </c>
      <c r="F29" s="122">
        <v>24.9</v>
      </c>
      <c r="G29" s="118">
        <v>30.1</v>
      </c>
      <c r="H29" s="119">
        <v>37</v>
      </c>
      <c r="I29" s="172">
        <v>3.33</v>
      </c>
      <c r="J29" s="119">
        <v>11</v>
      </c>
      <c r="K29" s="116">
        <v>0.51</v>
      </c>
      <c r="L29" s="170">
        <v>0.7</v>
      </c>
      <c r="M29" s="170">
        <v>6.87</v>
      </c>
      <c r="N29" s="115">
        <v>27</v>
      </c>
      <c r="O29" s="171">
        <v>2.41</v>
      </c>
      <c r="P29" s="115">
        <v>5</v>
      </c>
      <c r="Q29" s="170">
        <v>0.2</v>
      </c>
      <c r="R29" s="176">
        <v>0.42</v>
      </c>
      <c r="S29" s="170">
        <v>5.06</v>
      </c>
      <c r="T29" s="122">
        <v>78.4</v>
      </c>
      <c r="U29" s="120" t="s">
        <v>130</v>
      </c>
      <c r="V29" s="194">
        <f t="shared" si="0"/>
        <v>77.9</v>
      </c>
      <c r="W29" s="195">
        <f t="shared" si="1"/>
        <v>0.831893687707641</v>
      </c>
    </row>
    <row r="30" ht="12.95" customHeight="1" spans="1:23">
      <c r="A30" s="112">
        <v>24</v>
      </c>
      <c r="B30" s="120">
        <v>354</v>
      </c>
      <c r="C30" s="114">
        <v>161</v>
      </c>
      <c r="D30" s="115">
        <v>112</v>
      </c>
      <c r="E30" s="116">
        <v>1.79</v>
      </c>
      <c r="F30" s="125">
        <v>19.5</v>
      </c>
      <c r="G30" s="126">
        <v>25.3</v>
      </c>
      <c r="H30" s="119">
        <v>33</v>
      </c>
      <c r="I30" s="116">
        <v>3.01</v>
      </c>
      <c r="J30" s="119">
        <v>12</v>
      </c>
      <c r="K30" s="116">
        <v>0.53</v>
      </c>
      <c r="L30" s="170">
        <v>0.64</v>
      </c>
      <c r="M30" s="170">
        <v>6.57</v>
      </c>
      <c r="N30" s="115">
        <v>31</v>
      </c>
      <c r="O30" s="171">
        <v>2.8</v>
      </c>
      <c r="P30" s="115">
        <v>6</v>
      </c>
      <c r="Q30" s="170">
        <v>0.26</v>
      </c>
      <c r="R30" s="170">
        <v>0.39</v>
      </c>
      <c r="S30" s="170">
        <v>6.1</v>
      </c>
      <c r="T30" s="125">
        <v>78.3</v>
      </c>
      <c r="U30" s="120" t="s">
        <v>130</v>
      </c>
      <c r="V30" s="194">
        <f t="shared" si="0"/>
        <v>77.8</v>
      </c>
      <c r="W30" s="195">
        <f t="shared" si="1"/>
        <v>0.758893280632411</v>
      </c>
    </row>
    <row r="31" ht="12.95" customHeight="1" spans="1:23">
      <c r="A31" s="112">
        <v>25</v>
      </c>
      <c r="B31" s="120">
        <v>219</v>
      </c>
      <c r="C31" s="114">
        <v>99.8</v>
      </c>
      <c r="D31" s="115">
        <v>112</v>
      </c>
      <c r="E31" s="116">
        <v>2.02</v>
      </c>
      <c r="F31" s="118">
        <v>19.2</v>
      </c>
      <c r="G31" s="126">
        <v>26.2</v>
      </c>
      <c r="H31" s="119">
        <v>41</v>
      </c>
      <c r="I31" s="116">
        <v>3.15</v>
      </c>
      <c r="J31" s="119">
        <v>16</v>
      </c>
      <c r="K31" s="116">
        <v>0.54</v>
      </c>
      <c r="L31" s="170">
        <v>0.43</v>
      </c>
      <c r="M31" s="173">
        <v>7.32</v>
      </c>
      <c r="N31" s="115">
        <v>37</v>
      </c>
      <c r="O31" s="171">
        <v>2.94</v>
      </c>
      <c r="P31" s="115">
        <v>6</v>
      </c>
      <c r="Q31" s="170">
        <v>0.21</v>
      </c>
      <c r="R31" s="170">
        <v>0.32</v>
      </c>
      <c r="S31" s="173">
        <v>6.97</v>
      </c>
      <c r="T31" s="122">
        <v>78.5</v>
      </c>
      <c r="U31" s="120" t="s">
        <v>130</v>
      </c>
      <c r="V31" s="194">
        <f t="shared" si="0"/>
        <v>78</v>
      </c>
      <c r="W31" s="195">
        <f t="shared" si="1"/>
        <v>0.733969465648855</v>
      </c>
    </row>
    <row r="32" ht="12.95" customHeight="1" spans="1:23">
      <c r="A32" s="112">
        <v>26</v>
      </c>
      <c r="B32" s="120">
        <v>354</v>
      </c>
      <c r="C32" s="114">
        <v>162</v>
      </c>
      <c r="D32" s="115">
        <v>148</v>
      </c>
      <c r="E32" s="116">
        <v>3.16</v>
      </c>
      <c r="F32" s="117">
        <v>28.4</v>
      </c>
      <c r="G32" s="118">
        <v>34.2</v>
      </c>
      <c r="H32" s="119">
        <v>36</v>
      </c>
      <c r="I32" s="116">
        <v>3.11</v>
      </c>
      <c r="J32" s="119">
        <v>13</v>
      </c>
      <c r="K32" s="116">
        <v>0.52</v>
      </c>
      <c r="L32" s="170">
        <v>0.76</v>
      </c>
      <c r="M32" s="170">
        <v>6.57</v>
      </c>
      <c r="N32" s="115">
        <v>29</v>
      </c>
      <c r="O32" s="171">
        <v>2.6</v>
      </c>
      <c r="P32" s="115">
        <v>5</v>
      </c>
      <c r="Q32" s="170">
        <v>0.15</v>
      </c>
      <c r="R32" s="170">
        <v>0.65</v>
      </c>
      <c r="S32" s="170">
        <v>6.06</v>
      </c>
      <c r="T32" s="122">
        <v>78.6</v>
      </c>
      <c r="U32" s="120">
        <v>20</v>
      </c>
      <c r="V32" s="194">
        <f t="shared" si="0"/>
        <v>78.1</v>
      </c>
      <c r="W32" s="195">
        <f t="shared" si="1"/>
        <v>0.82280701754386</v>
      </c>
    </row>
    <row r="33" ht="12.95" customHeight="1" spans="1:23">
      <c r="A33" s="112">
        <v>27</v>
      </c>
      <c r="B33" s="120">
        <v>190</v>
      </c>
      <c r="C33" s="114">
        <v>86.4</v>
      </c>
      <c r="D33" s="115">
        <v>116</v>
      </c>
      <c r="E33" s="116">
        <v>2.16</v>
      </c>
      <c r="F33" s="122">
        <v>20.4</v>
      </c>
      <c r="G33" s="118">
        <v>26.3</v>
      </c>
      <c r="H33" s="119">
        <v>41</v>
      </c>
      <c r="I33" s="116">
        <v>3.73</v>
      </c>
      <c r="J33" s="119">
        <v>12</v>
      </c>
      <c r="K33" s="116">
        <v>0.56</v>
      </c>
      <c r="L33" s="170">
        <v>0.75</v>
      </c>
      <c r="M33" s="170">
        <v>6.57</v>
      </c>
      <c r="N33" s="115">
        <v>28</v>
      </c>
      <c r="O33" s="171">
        <v>2.61</v>
      </c>
      <c r="P33" s="115">
        <v>5</v>
      </c>
      <c r="Q33" s="170">
        <v>0.16</v>
      </c>
      <c r="R33" s="170">
        <v>0.51</v>
      </c>
      <c r="S33" s="170">
        <v>6.1</v>
      </c>
      <c r="T33" s="122">
        <v>78.8</v>
      </c>
      <c r="U33" s="120" t="s">
        <v>130</v>
      </c>
      <c r="V33" s="194">
        <f t="shared" si="0"/>
        <v>78.3</v>
      </c>
      <c r="W33" s="195">
        <f t="shared" si="1"/>
        <v>0.768060836501901</v>
      </c>
    </row>
    <row r="34" ht="12.95" customHeight="1" spans="1:23">
      <c r="A34" s="112">
        <v>28</v>
      </c>
      <c r="B34" s="120">
        <v>356</v>
      </c>
      <c r="C34" s="114">
        <v>162</v>
      </c>
      <c r="D34" s="115">
        <v>142</v>
      </c>
      <c r="E34" s="116">
        <v>3.53</v>
      </c>
      <c r="F34" s="117">
        <v>31.2</v>
      </c>
      <c r="G34" s="118">
        <v>37.3</v>
      </c>
      <c r="H34" s="119">
        <v>40</v>
      </c>
      <c r="I34" s="116">
        <v>3.13</v>
      </c>
      <c r="J34" s="119">
        <v>17</v>
      </c>
      <c r="K34" s="116">
        <v>0.51</v>
      </c>
      <c r="L34" s="170">
        <v>0.66</v>
      </c>
      <c r="M34" s="170">
        <v>8.01</v>
      </c>
      <c r="N34" s="115">
        <v>26</v>
      </c>
      <c r="O34" s="171">
        <v>2.51</v>
      </c>
      <c r="P34" s="115">
        <v>6</v>
      </c>
      <c r="Q34" s="170">
        <v>0.21</v>
      </c>
      <c r="R34" s="170">
        <v>0.57</v>
      </c>
      <c r="S34" s="170">
        <v>7.74</v>
      </c>
      <c r="T34" s="122">
        <v>78.6</v>
      </c>
      <c r="U34" s="120" t="s">
        <v>130</v>
      </c>
      <c r="V34" s="194">
        <f t="shared" si="0"/>
        <v>78.1</v>
      </c>
      <c r="W34" s="195">
        <f t="shared" si="1"/>
        <v>0.792493297587131</v>
      </c>
    </row>
    <row r="35" ht="12.95" customHeight="1" spans="1:21">
      <c r="A35" s="112" t="s">
        <v>70</v>
      </c>
      <c r="B35" s="115">
        <f>ROUND(AVERAGE(B7:B34),0)</f>
        <v>283</v>
      </c>
      <c r="C35" s="115">
        <f>ROUND(AVERAGE(C7:C34),0)</f>
        <v>129</v>
      </c>
      <c r="D35" s="115">
        <f>ROUND(AVERAGE(D7:D34),0)</f>
        <v>121</v>
      </c>
      <c r="E35" s="116">
        <f>ROUND(AVERAGE(E7:E34),2)</f>
        <v>2.6</v>
      </c>
      <c r="F35" s="122">
        <f>ROUND(AVERAGE(F7:F34),1)</f>
        <v>25</v>
      </c>
      <c r="G35" s="122">
        <f>ROUND(AVERAGE(G7:G34),1)</f>
        <v>31.5</v>
      </c>
      <c r="H35" s="127">
        <f>ROUND(AVERAGE(H7:H34),1)</f>
        <v>32.3</v>
      </c>
      <c r="I35" s="174">
        <f>ROUND(AVERAGE(I7:I34),2)</f>
        <v>2.94</v>
      </c>
      <c r="J35" s="175">
        <f>ROUND(AVERAGE(J7:J34),2)</f>
        <v>13.36</v>
      </c>
      <c r="K35" s="174">
        <f>ROUND(AVERAGE(K7:K34),2)</f>
        <v>0.53</v>
      </c>
      <c r="L35" s="174">
        <f>ROUND(AVERAGE(L7:L34),2)</f>
        <v>0.55</v>
      </c>
      <c r="M35" s="176">
        <f>ROUND(AVERAGE(M7:M34),1)</f>
        <v>7.5</v>
      </c>
      <c r="N35" s="115">
        <f>ROUND(AVERAGE(N7:N34),1)</f>
        <v>24.3</v>
      </c>
      <c r="O35" s="116">
        <f t="shared" ref="O35:T35" si="2">ROUND(AVERAGE(O7:O34),2)</f>
        <v>2.5</v>
      </c>
      <c r="P35" s="116">
        <f t="shared" si="2"/>
        <v>5.46</v>
      </c>
      <c r="Q35" s="170">
        <f t="shared" si="2"/>
        <v>0.16</v>
      </c>
      <c r="R35" s="116">
        <f t="shared" si="2"/>
        <v>0.39</v>
      </c>
      <c r="S35" s="176">
        <f t="shared" si="2"/>
        <v>6.87</v>
      </c>
      <c r="T35" s="118">
        <f t="shared" si="2"/>
        <v>78.58</v>
      </c>
      <c r="U35" s="120" t="s">
        <v>130</v>
      </c>
    </row>
    <row r="36" ht="21" customHeight="1" spans="1:21">
      <c r="A36" s="128" t="s">
        <v>72</v>
      </c>
      <c r="B36" s="129"/>
      <c r="C36" s="129"/>
      <c r="D36" s="130"/>
      <c r="E36" s="131"/>
      <c r="F36" s="132"/>
      <c r="H36"/>
      <c r="I36"/>
      <c r="J36" s="128" t="s">
        <v>73</v>
      </c>
      <c r="K36" s="177"/>
      <c r="L36" s="177"/>
      <c r="M36" s="177"/>
      <c r="N36" s="128"/>
      <c r="O36" s="178"/>
      <c r="P36" s="178"/>
      <c r="Q36" s="196" t="s">
        <v>150</v>
      </c>
      <c r="R36" s="196"/>
      <c r="S36" s="196"/>
      <c r="T36" s="196"/>
      <c r="U36" s="197"/>
    </row>
    <row r="37" ht="21" customHeight="1" spans="1:21">
      <c r="A37" s="133"/>
      <c r="B37" s="134"/>
      <c r="C37" s="135"/>
      <c r="D37" s="136"/>
      <c r="E37" s="137"/>
      <c r="F37" s="138"/>
      <c r="H37"/>
      <c r="I37"/>
      <c r="J37" s="178"/>
      <c r="K37" s="178"/>
      <c r="L37" s="178"/>
      <c r="M37" s="178"/>
      <c r="N37" s="133"/>
      <c r="O37" s="178"/>
      <c r="P37" s="178"/>
      <c r="Q37" s="198"/>
      <c r="R37" s="198"/>
      <c r="S37" s="198"/>
      <c r="T37" s="198"/>
      <c r="U37" s="197"/>
    </row>
    <row r="38" ht="15.75" spans="2:19">
      <c r="B38" s="139" t="s">
        <v>111</v>
      </c>
      <c r="C38" s="139" t="s">
        <v>151</v>
      </c>
      <c r="D38" s="140" t="s">
        <v>152</v>
      </c>
      <c r="E38" s="139" t="s">
        <v>153</v>
      </c>
      <c r="F38" s="139" t="s">
        <v>154</v>
      </c>
      <c r="G38" s="140" t="s">
        <v>152</v>
      </c>
      <c r="H38" s="139" t="s">
        <v>153</v>
      </c>
      <c r="I38" s="140" t="s">
        <v>155</v>
      </c>
      <c r="J38" s="178"/>
      <c r="K38" s="178"/>
      <c r="L38" s="178"/>
      <c r="S38" s="199"/>
    </row>
    <row r="39" ht="30" spans="2:20">
      <c r="B39" s="139"/>
      <c r="C39" s="139"/>
      <c r="D39" s="141" t="s">
        <v>156</v>
      </c>
      <c r="E39" s="139"/>
      <c r="F39" s="139"/>
      <c r="G39" s="141" t="s">
        <v>156</v>
      </c>
      <c r="H39" s="139"/>
      <c r="I39" s="141" t="s">
        <v>157</v>
      </c>
      <c r="J39" s="178"/>
      <c r="K39" s="178"/>
      <c r="L39" s="178"/>
      <c r="M39" s="179"/>
      <c r="N39" s="179"/>
      <c r="O39" s="179"/>
      <c r="P39" s="179"/>
      <c r="Q39" s="179"/>
      <c r="R39" s="179"/>
      <c r="S39" s="200"/>
      <c r="T39" s="200"/>
    </row>
    <row r="40" ht="18" spans="2:18">
      <c r="B40" s="142" t="s">
        <v>158</v>
      </c>
      <c r="C40" s="143">
        <f>B35</f>
        <v>283</v>
      </c>
      <c r="D40" s="144">
        <f>MAX(B7:B34)</f>
        <v>447</v>
      </c>
      <c r="E40" s="144">
        <f>MIN(B7:B34)</f>
        <v>162</v>
      </c>
      <c r="F40" s="145">
        <f>N35</f>
        <v>24.3</v>
      </c>
      <c r="G40" s="146">
        <f>MAX(N7:N34)</f>
        <v>37</v>
      </c>
      <c r="H40" s="144">
        <f>MIN(N7:N34)</f>
        <v>18</v>
      </c>
      <c r="I40" s="180">
        <f t="shared" ref="I40:I45" si="3">1-F40/C40</f>
        <v>0.914134275618375</v>
      </c>
      <c r="J40" s="162"/>
      <c r="K40" s="142" t="s">
        <v>159</v>
      </c>
      <c r="L40" s="181">
        <f>C41/C40</f>
        <v>0.45583038869258</v>
      </c>
      <c r="M40" s="182"/>
      <c r="N40" s="183"/>
      <c r="O40" s="183"/>
      <c r="P40" s="183"/>
      <c r="Q40" s="182"/>
      <c r="R40" s="187"/>
    </row>
    <row r="41" ht="17.25" spans="2:18">
      <c r="B41" s="147" t="s">
        <v>160</v>
      </c>
      <c r="C41" s="148">
        <f>C35</f>
        <v>129</v>
      </c>
      <c r="D41" s="149">
        <f>MAX(C7:C34)</f>
        <v>203</v>
      </c>
      <c r="E41" s="150">
        <f>MIN(C7:C34)</f>
        <v>74.6</v>
      </c>
      <c r="F41" s="151" t="s">
        <v>161</v>
      </c>
      <c r="G41" s="150" t="s">
        <v>161</v>
      </c>
      <c r="H41" s="150" t="s">
        <v>161</v>
      </c>
      <c r="I41" s="184">
        <f>1-2/C41</f>
        <v>0.984496124031008</v>
      </c>
      <c r="J41" s="162"/>
      <c r="K41" s="147" t="s">
        <v>162</v>
      </c>
      <c r="L41" s="185">
        <f>C41/C45</f>
        <v>4.09523809523809</v>
      </c>
      <c r="M41" s="182"/>
      <c r="N41" s="183"/>
      <c r="O41" s="183"/>
      <c r="P41" s="183"/>
      <c r="Q41" s="182"/>
      <c r="R41" s="187"/>
    </row>
    <row r="42" ht="17.25" spans="2:18">
      <c r="B42" s="147" t="s">
        <v>120</v>
      </c>
      <c r="C42" s="152">
        <f>D35</f>
        <v>121</v>
      </c>
      <c r="D42" s="150">
        <f>MAX(D7:D34)</f>
        <v>166</v>
      </c>
      <c r="E42" s="153">
        <f>MIN(D7:D34)</f>
        <v>78</v>
      </c>
      <c r="F42" s="154">
        <f>P35</f>
        <v>5.46</v>
      </c>
      <c r="G42" s="155">
        <f>MAX(P7:P34)</f>
        <v>6</v>
      </c>
      <c r="H42" s="155">
        <f>MIN(P7:P34)</f>
        <v>5</v>
      </c>
      <c r="I42" s="184">
        <f t="shared" si="3"/>
        <v>0.954876033057851</v>
      </c>
      <c r="J42" s="162"/>
      <c r="K42" s="147" t="s">
        <v>163</v>
      </c>
      <c r="L42" s="186">
        <f>C41/C43</f>
        <v>49.6153846153846</v>
      </c>
      <c r="M42" s="187"/>
      <c r="N42" s="187"/>
      <c r="O42" s="187"/>
      <c r="P42" s="187"/>
      <c r="Q42" s="187"/>
      <c r="R42" s="187"/>
    </row>
    <row r="43" ht="17.25" spans="2:12">
      <c r="B43" s="147" t="s">
        <v>122</v>
      </c>
      <c r="C43" s="154">
        <f>E35</f>
        <v>2.6</v>
      </c>
      <c r="D43" s="150">
        <f>MAX(E7:E34)</f>
        <v>5.15</v>
      </c>
      <c r="E43" s="150">
        <f>MIN(E7:E34)</f>
        <v>1.52</v>
      </c>
      <c r="F43" s="154">
        <f>Q35</f>
        <v>0.16</v>
      </c>
      <c r="G43" s="155">
        <f>MAX(Q7:Q34)</f>
        <v>0.26</v>
      </c>
      <c r="H43" s="155">
        <f>MIN(Q7:Q34)</f>
        <v>0.09</v>
      </c>
      <c r="I43" s="184">
        <f t="shared" si="3"/>
        <v>0.938461538461538</v>
      </c>
      <c r="J43" s="162"/>
      <c r="K43" s="147"/>
      <c r="L43" s="188"/>
    </row>
    <row r="44" ht="17.25" spans="2:12">
      <c r="B44" s="147" t="s">
        <v>164</v>
      </c>
      <c r="C44" s="148">
        <f>F35</f>
        <v>25</v>
      </c>
      <c r="D44" s="150">
        <f>MAX(F7:F34)</f>
        <v>40</v>
      </c>
      <c r="E44" s="150">
        <f>MIN(F7:F34)</f>
        <v>15.9</v>
      </c>
      <c r="F44" s="154">
        <f>R35</f>
        <v>0.39</v>
      </c>
      <c r="G44" s="150">
        <f>MAX(R7:R34)</f>
        <v>0.65</v>
      </c>
      <c r="H44" s="155">
        <f>MIN(R7:R34)</f>
        <v>0.14</v>
      </c>
      <c r="I44" s="184">
        <f t="shared" si="3"/>
        <v>0.9844</v>
      </c>
      <c r="J44" s="162"/>
      <c r="K44" s="147"/>
      <c r="L44" s="188"/>
    </row>
    <row r="45" ht="17.25" spans="2:12">
      <c r="B45" s="156" t="s">
        <v>125</v>
      </c>
      <c r="C45" s="157">
        <f>G35</f>
        <v>31.5</v>
      </c>
      <c r="D45" s="158">
        <f>MAX(G7:G34)</f>
        <v>46.5</v>
      </c>
      <c r="E45" s="158">
        <f>MIN(G7:G34)</f>
        <v>22.3</v>
      </c>
      <c r="F45" s="159">
        <f>S35</f>
        <v>6.87</v>
      </c>
      <c r="G45" s="160">
        <f>MAX(S7:S34)</f>
        <v>8.72</v>
      </c>
      <c r="H45" s="158">
        <f>MIN(S7:S34)</f>
        <v>5.06</v>
      </c>
      <c r="I45" s="189">
        <f t="shared" si="3"/>
        <v>0.781904761904762</v>
      </c>
      <c r="J45" s="162"/>
      <c r="K45" s="156"/>
      <c r="L45" s="190"/>
    </row>
    <row r="46" ht="17.25" spans="2:12">
      <c r="B46" s="161"/>
      <c r="C46" s="162"/>
      <c r="D46" s="162"/>
      <c r="E46" s="162"/>
      <c r="F46" s="162"/>
      <c r="G46" s="162"/>
      <c r="H46" s="163"/>
      <c r="I46" s="162"/>
      <c r="J46" s="162"/>
      <c r="K46" s="163"/>
      <c r="L46" s="162"/>
    </row>
    <row r="47" spans="2:2">
      <c r="B47" s="164"/>
    </row>
    <row r="48" spans="2:2">
      <c r="B48" s="164"/>
    </row>
    <row r="49" spans="2:2">
      <c r="B49" s="164"/>
    </row>
    <row r="50" spans="2:2">
      <c r="B50" s="164"/>
    </row>
    <row r="51" spans="2:2">
      <c r="B51" s="164"/>
    </row>
    <row r="52" spans="2:2">
      <c r="B52" s="164"/>
    </row>
    <row r="53" spans="2:2">
      <c r="B53" s="164"/>
    </row>
    <row r="54" spans="2:2">
      <c r="B54" s="164"/>
    </row>
    <row r="55" spans="2:2">
      <c r="B55" s="164"/>
    </row>
    <row r="56" spans="2:2">
      <c r="B56" s="164"/>
    </row>
    <row r="57" spans="2:2">
      <c r="B57" s="164"/>
    </row>
    <row r="58" spans="2:2">
      <c r="B58" s="164"/>
    </row>
    <row r="59" spans="2:2">
      <c r="B59" s="164"/>
    </row>
    <row r="60" spans="2:2">
      <c r="B60" s="164"/>
    </row>
    <row r="61" spans="2:2">
      <c r="B61" s="164"/>
    </row>
    <row r="62" spans="2:2">
      <c r="B62" s="164"/>
    </row>
    <row r="63" spans="2:2">
      <c r="B63" s="164"/>
    </row>
    <row r="64" spans="2:2">
      <c r="B64" s="164"/>
    </row>
    <row r="65" spans="2:2">
      <c r="B65" s="164"/>
    </row>
  </sheetData>
  <mergeCells count="15">
    <mergeCell ref="A1:U1"/>
    <mergeCell ref="J3:K3"/>
    <mergeCell ref="B4:G4"/>
    <mergeCell ref="H4:M4"/>
    <mergeCell ref="N4:S4"/>
    <mergeCell ref="J36:M36"/>
    <mergeCell ref="Q36:T36"/>
    <mergeCell ref="A4:A6"/>
    <mergeCell ref="B38:B39"/>
    <mergeCell ref="C38:C39"/>
    <mergeCell ref="E38:E39"/>
    <mergeCell ref="F38:F39"/>
    <mergeCell ref="H38:H39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3"/>
  <sheetViews>
    <sheetView tabSelected="1" workbookViewId="0">
      <selection activeCell="P8" sqref="P8"/>
    </sheetView>
  </sheetViews>
  <sheetFormatPr defaultColWidth="8.75" defaultRowHeight="16.5" customHeight="1"/>
  <cols>
    <col min="1" max="1" width="6.25" style="55" customWidth="1"/>
    <col min="2" max="2" width="11.25" style="55" customWidth="1"/>
    <col min="3" max="3" width="3.88333333333333" style="55" customWidth="1"/>
    <col min="4" max="4" width="5.25" style="55" customWidth="1"/>
    <col min="5" max="5" width="7" style="55" customWidth="1"/>
    <col min="6" max="7" width="6.63333333333333" style="55" customWidth="1"/>
    <col min="8" max="8" width="5.5" style="56" customWidth="1"/>
    <col min="9" max="9" width="5.5" style="55" customWidth="1"/>
    <col min="10" max="10" width="28.875" style="55" customWidth="1"/>
    <col min="11" max="12" width="9" style="57"/>
    <col min="13" max="16384" width="8.75" style="57"/>
  </cols>
  <sheetData>
    <row r="1" ht="35" customHeight="1" spans="1:10">
      <c r="A1" s="58" t="s">
        <v>165</v>
      </c>
      <c r="B1" s="58"/>
      <c r="C1" s="58"/>
      <c r="D1" s="58"/>
      <c r="E1" s="58"/>
      <c r="F1" s="58"/>
      <c r="G1" s="58"/>
      <c r="H1" s="59"/>
      <c r="I1" s="58"/>
      <c r="J1" s="58"/>
    </row>
    <row r="2" customHeight="1" spans="1:10">
      <c r="A2" s="60">
        <v>44958</v>
      </c>
      <c r="B2" s="60"/>
      <c r="C2" s="60"/>
      <c r="D2" s="60"/>
      <c r="E2" s="60"/>
      <c r="F2" s="60"/>
      <c r="G2" s="60"/>
      <c r="H2" s="60"/>
      <c r="I2" s="60"/>
      <c r="J2" s="60"/>
    </row>
    <row r="3" customHeight="1" spans="1:10">
      <c r="A3" s="6" t="s">
        <v>166</v>
      </c>
      <c r="B3" s="6" t="s">
        <v>167</v>
      </c>
      <c r="C3" s="6" t="s">
        <v>168</v>
      </c>
      <c r="D3" s="6" t="s">
        <v>169</v>
      </c>
      <c r="E3" s="61" t="s">
        <v>170</v>
      </c>
      <c r="F3" s="61" t="s">
        <v>171</v>
      </c>
      <c r="G3" s="62" t="s">
        <v>172</v>
      </c>
      <c r="H3" s="63" t="s">
        <v>173</v>
      </c>
      <c r="I3" s="61" t="s">
        <v>174</v>
      </c>
      <c r="J3" s="6" t="s">
        <v>175</v>
      </c>
    </row>
    <row r="4" customHeight="1" spans="1:10">
      <c r="A4" s="6"/>
      <c r="B4" s="6"/>
      <c r="C4" s="6"/>
      <c r="D4" s="6"/>
      <c r="E4" s="61"/>
      <c r="F4" s="61"/>
      <c r="G4" s="62"/>
      <c r="H4" s="63"/>
      <c r="I4" s="61"/>
      <c r="J4" s="6"/>
    </row>
    <row r="5" customHeight="1" spans="1:10">
      <c r="A5" s="64"/>
      <c r="B5" s="6"/>
      <c r="C5" s="64"/>
      <c r="D5" s="6" t="s">
        <v>176</v>
      </c>
      <c r="E5" s="61" t="s">
        <v>177</v>
      </c>
      <c r="F5" s="61" t="s">
        <v>178</v>
      </c>
      <c r="G5" s="62" t="s">
        <v>178</v>
      </c>
      <c r="H5" s="63" t="s">
        <v>179</v>
      </c>
      <c r="I5" s="61" t="s">
        <v>179</v>
      </c>
      <c r="J5" s="6"/>
    </row>
    <row r="6" customHeight="1" spans="1:10">
      <c r="A6" s="65" t="s">
        <v>180</v>
      </c>
      <c r="B6" s="66" t="s">
        <v>181</v>
      </c>
      <c r="C6" s="66" t="s">
        <v>182</v>
      </c>
      <c r="D6" s="66">
        <v>28</v>
      </c>
      <c r="E6" s="66">
        <v>2</v>
      </c>
      <c r="F6" s="66">
        <v>56</v>
      </c>
      <c r="G6" s="66">
        <v>56</v>
      </c>
      <c r="H6" s="67">
        <v>1</v>
      </c>
      <c r="I6" s="67">
        <v>1</v>
      </c>
      <c r="J6" s="66"/>
    </row>
    <row r="7" customHeight="1" spans="1:10">
      <c r="A7" s="65"/>
      <c r="B7" s="66"/>
      <c r="C7" s="66" t="s">
        <v>183</v>
      </c>
      <c r="D7" s="66">
        <v>28</v>
      </c>
      <c r="E7" s="66">
        <v>2</v>
      </c>
      <c r="F7" s="66">
        <v>56</v>
      </c>
      <c r="G7" s="66">
        <v>56</v>
      </c>
      <c r="H7" s="67">
        <v>1</v>
      </c>
      <c r="I7" s="67">
        <v>1</v>
      </c>
      <c r="J7" s="66"/>
    </row>
    <row r="8" customHeight="1" spans="1:10">
      <c r="A8" s="65"/>
      <c r="B8" s="66" t="s">
        <v>184</v>
      </c>
      <c r="C8" s="66" t="s">
        <v>71</v>
      </c>
      <c r="D8" s="66">
        <v>28</v>
      </c>
      <c r="E8" s="66">
        <v>2</v>
      </c>
      <c r="F8" s="66">
        <v>56</v>
      </c>
      <c r="G8" s="66">
        <v>56</v>
      </c>
      <c r="H8" s="67">
        <v>1</v>
      </c>
      <c r="I8" s="67">
        <v>1</v>
      </c>
      <c r="J8" s="66"/>
    </row>
    <row r="9" customHeight="1" spans="1:10">
      <c r="A9" s="65"/>
      <c r="B9" s="66" t="s">
        <v>185</v>
      </c>
      <c r="C9" s="66" t="s">
        <v>71</v>
      </c>
      <c r="D9" s="66">
        <v>28</v>
      </c>
      <c r="E9" s="66">
        <v>2</v>
      </c>
      <c r="F9" s="66">
        <v>56</v>
      </c>
      <c r="G9" s="66">
        <v>56</v>
      </c>
      <c r="H9" s="67">
        <v>1</v>
      </c>
      <c r="I9" s="67">
        <v>1</v>
      </c>
      <c r="J9" s="66"/>
    </row>
    <row r="10" customHeight="1" spans="1:10">
      <c r="A10" s="65"/>
      <c r="B10" s="66" t="s">
        <v>186</v>
      </c>
      <c r="C10" s="66" t="s">
        <v>182</v>
      </c>
      <c r="D10" s="66">
        <v>28</v>
      </c>
      <c r="E10" s="66">
        <v>24</v>
      </c>
      <c r="F10" s="66">
        <v>672</v>
      </c>
      <c r="G10" s="66">
        <v>0</v>
      </c>
      <c r="H10" s="67">
        <v>0</v>
      </c>
      <c r="I10" s="67">
        <v>1</v>
      </c>
      <c r="J10" s="66"/>
    </row>
    <row r="11" customHeight="1" spans="1:10">
      <c r="A11" s="65"/>
      <c r="B11" s="66"/>
      <c r="C11" s="66" t="s">
        <v>183</v>
      </c>
      <c r="D11" s="66">
        <v>28</v>
      </c>
      <c r="E11" s="66">
        <v>24</v>
      </c>
      <c r="F11" s="66">
        <v>672</v>
      </c>
      <c r="G11" s="66">
        <v>390</v>
      </c>
      <c r="H11" s="67">
        <v>0.580357142857143</v>
      </c>
      <c r="I11" s="67">
        <v>1</v>
      </c>
      <c r="J11" s="66"/>
    </row>
    <row r="12" customHeight="1" spans="1:10">
      <c r="A12" s="65"/>
      <c r="B12" s="66"/>
      <c r="C12" s="66" t="s">
        <v>187</v>
      </c>
      <c r="D12" s="66">
        <v>28</v>
      </c>
      <c r="E12" s="66">
        <v>24</v>
      </c>
      <c r="F12" s="66">
        <v>672</v>
      </c>
      <c r="G12" s="66">
        <v>672</v>
      </c>
      <c r="H12" s="67">
        <v>1</v>
      </c>
      <c r="I12" s="67">
        <v>1</v>
      </c>
      <c r="J12" s="66"/>
    </row>
    <row r="13" customHeight="1" spans="1:10">
      <c r="A13" s="65"/>
      <c r="B13" s="66"/>
      <c r="C13" s="66" t="s">
        <v>188</v>
      </c>
      <c r="D13" s="66">
        <v>28</v>
      </c>
      <c r="E13" s="66">
        <v>24</v>
      </c>
      <c r="F13" s="66">
        <v>672</v>
      </c>
      <c r="G13" s="66">
        <v>60</v>
      </c>
      <c r="H13" s="67">
        <v>0.0892857142857143</v>
      </c>
      <c r="I13" s="67">
        <v>1</v>
      </c>
      <c r="J13" s="66"/>
    </row>
    <row r="14" customHeight="1" spans="1:10">
      <c r="A14" s="65"/>
      <c r="B14" s="66"/>
      <c r="C14" s="66" t="s">
        <v>189</v>
      </c>
      <c r="D14" s="66">
        <v>28</v>
      </c>
      <c r="E14" s="66">
        <v>24</v>
      </c>
      <c r="F14" s="66">
        <v>672</v>
      </c>
      <c r="G14" s="66">
        <v>672</v>
      </c>
      <c r="H14" s="67">
        <v>1</v>
      </c>
      <c r="I14" s="67">
        <v>1</v>
      </c>
      <c r="J14" s="66"/>
    </row>
    <row r="15" customHeight="1" spans="1:10">
      <c r="A15" s="65"/>
      <c r="B15" s="66" t="s">
        <v>190</v>
      </c>
      <c r="C15" s="66" t="s">
        <v>182</v>
      </c>
      <c r="D15" s="66">
        <v>28</v>
      </c>
      <c r="E15" s="66">
        <v>2.4</v>
      </c>
      <c r="F15" s="66">
        <v>67.2</v>
      </c>
      <c r="G15" s="66">
        <v>67.2</v>
      </c>
      <c r="H15" s="67">
        <v>1</v>
      </c>
      <c r="I15" s="67">
        <v>1</v>
      </c>
      <c r="J15" s="66"/>
    </row>
    <row r="16" customHeight="1" spans="1:10">
      <c r="A16" s="65"/>
      <c r="B16" s="66"/>
      <c r="C16" s="66" t="s">
        <v>183</v>
      </c>
      <c r="D16" s="66">
        <v>28</v>
      </c>
      <c r="E16" s="66">
        <v>2.4</v>
      </c>
      <c r="F16" s="66">
        <v>67.2</v>
      </c>
      <c r="G16" s="66">
        <v>67.2</v>
      </c>
      <c r="H16" s="67">
        <v>1</v>
      </c>
      <c r="I16" s="67">
        <v>1</v>
      </c>
      <c r="J16" s="66"/>
    </row>
    <row r="17" customHeight="1" spans="1:10">
      <c r="A17" s="65"/>
      <c r="B17" s="66"/>
      <c r="C17" s="66" t="s">
        <v>187</v>
      </c>
      <c r="D17" s="66">
        <v>28</v>
      </c>
      <c r="E17" s="66">
        <v>2.4</v>
      </c>
      <c r="F17" s="66">
        <v>67.2</v>
      </c>
      <c r="G17" s="66">
        <v>67.2</v>
      </c>
      <c r="H17" s="67">
        <v>1</v>
      </c>
      <c r="I17" s="67">
        <v>1</v>
      </c>
      <c r="J17" s="66"/>
    </row>
    <row r="18" customHeight="1" spans="1:10">
      <c r="A18" s="65"/>
      <c r="B18" s="66"/>
      <c r="C18" s="66" t="s">
        <v>188</v>
      </c>
      <c r="D18" s="66">
        <v>28</v>
      </c>
      <c r="E18" s="66">
        <v>2.4</v>
      </c>
      <c r="F18" s="66">
        <v>67.2</v>
      </c>
      <c r="G18" s="66">
        <v>0</v>
      </c>
      <c r="H18" s="67">
        <v>0</v>
      </c>
      <c r="I18" s="67">
        <v>0</v>
      </c>
      <c r="J18" s="66"/>
    </row>
    <row r="19" customHeight="1" spans="1:10">
      <c r="A19" s="65"/>
      <c r="B19" s="66"/>
      <c r="C19" s="66" t="s">
        <v>189</v>
      </c>
      <c r="D19" s="66">
        <v>28</v>
      </c>
      <c r="E19" s="66">
        <v>2.4</v>
      </c>
      <c r="F19" s="66">
        <v>67.2</v>
      </c>
      <c r="G19" s="66">
        <v>67.2</v>
      </c>
      <c r="H19" s="67">
        <v>1</v>
      </c>
      <c r="I19" s="67">
        <v>1</v>
      </c>
      <c r="J19" s="66"/>
    </row>
    <row r="20" customHeight="1" spans="1:10">
      <c r="A20" s="65"/>
      <c r="B20" s="66"/>
      <c r="C20" s="66" t="s">
        <v>191</v>
      </c>
      <c r="D20" s="66">
        <v>28</v>
      </c>
      <c r="E20" s="66">
        <v>2.4</v>
      </c>
      <c r="F20" s="66">
        <v>67.2</v>
      </c>
      <c r="G20" s="66">
        <v>67.2</v>
      </c>
      <c r="H20" s="67">
        <v>1</v>
      </c>
      <c r="I20" s="67">
        <v>1</v>
      </c>
      <c r="J20" s="66"/>
    </row>
    <row r="21" customHeight="1" spans="1:10">
      <c r="A21" s="65"/>
      <c r="B21" s="66" t="s">
        <v>184</v>
      </c>
      <c r="C21" s="66" t="s">
        <v>182</v>
      </c>
      <c r="D21" s="66">
        <v>28</v>
      </c>
      <c r="E21" s="66">
        <v>2</v>
      </c>
      <c r="F21" s="66">
        <v>56</v>
      </c>
      <c r="G21" s="66">
        <v>56</v>
      </c>
      <c r="H21" s="67">
        <v>1</v>
      </c>
      <c r="I21" s="67">
        <v>1</v>
      </c>
      <c r="J21" s="66"/>
    </row>
    <row r="22" customHeight="1" spans="1:10">
      <c r="A22" s="65"/>
      <c r="B22" s="66"/>
      <c r="C22" s="66" t="s">
        <v>183</v>
      </c>
      <c r="D22" s="66">
        <v>28</v>
      </c>
      <c r="E22" s="66">
        <v>2</v>
      </c>
      <c r="F22" s="66">
        <v>56</v>
      </c>
      <c r="G22" s="66">
        <v>56</v>
      </c>
      <c r="H22" s="67">
        <v>1</v>
      </c>
      <c r="I22" s="67">
        <v>1</v>
      </c>
      <c r="J22" s="66"/>
    </row>
    <row r="23" customHeight="1" spans="1:10">
      <c r="A23" s="65"/>
      <c r="B23" s="66" t="s">
        <v>185</v>
      </c>
      <c r="C23" s="66" t="s">
        <v>182</v>
      </c>
      <c r="D23" s="66">
        <v>28</v>
      </c>
      <c r="E23" s="66">
        <v>2</v>
      </c>
      <c r="F23" s="66">
        <v>56</v>
      </c>
      <c r="G23" s="66">
        <v>56</v>
      </c>
      <c r="H23" s="67">
        <v>1</v>
      </c>
      <c r="I23" s="67">
        <v>1</v>
      </c>
      <c r="J23" s="66"/>
    </row>
    <row r="24" customHeight="1" spans="1:10">
      <c r="A24" s="65"/>
      <c r="B24" s="66"/>
      <c r="C24" s="66" t="s">
        <v>183</v>
      </c>
      <c r="D24" s="66">
        <v>28</v>
      </c>
      <c r="E24" s="66">
        <v>2</v>
      </c>
      <c r="F24" s="66">
        <v>56</v>
      </c>
      <c r="G24" s="66">
        <v>56</v>
      </c>
      <c r="H24" s="67">
        <v>1</v>
      </c>
      <c r="I24" s="67">
        <v>1</v>
      </c>
      <c r="J24" s="66"/>
    </row>
    <row r="25" customHeight="1" spans="1:10">
      <c r="A25" s="65"/>
      <c r="B25" s="66" t="s">
        <v>192</v>
      </c>
      <c r="C25" s="66" t="s">
        <v>182</v>
      </c>
      <c r="D25" s="66">
        <v>28</v>
      </c>
      <c r="E25" s="66">
        <v>24</v>
      </c>
      <c r="F25" s="66">
        <v>672</v>
      </c>
      <c r="G25" s="66">
        <v>0</v>
      </c>
      <c r="H25" s="67">
        <v>0</v>
      </c>
      <c r="I25" s="67">
        <v>0</v>
      </c>
      <c r="J25" s="66"/>
    </row>
    <row r="26" customHeight="1" spans="1:10">
      <c r="A26" s="65"/>
      <c r="B26" s="66" t="s">
        <v>193</v>
      </c>
      <c r="C26" s="66" t="s">
        <v>182</v>
      </c>
      <c r="D26" s="66">
        <v>28</v>
      </c>
      <c r="E26" s="66">
        <v>0.5</v>
      </c>
      <c r="F26" s="66">
        <v>14</v>
      </c>
      <c r="G26" s="66">
        <v>14</v>
      </c>
      <c r="H26" s="67">
        <v>1</v>
      </c>
      <c r="I26" s="67">
        <v>1</v>
      </c>
      <c r="J26" s="66"/>
    </row>
    <row r="27" customHeight="1" spans="1:10">
      <c r="A27" s="65"/>
      <c r="B27" s="66" t="s">
        <v>192</v>
      </c>
      <c r="C27" s="66" t="s">
        <v>183</v>
      </c>
      <c r="D27" s="66">
        <v>28</v>
      </c>
      <c r="E27" s="66">
        <v>24</v>
      </c>
      <c r="F27" s="66">
        <v>672</v>
      </c>
      <c r="G27" s="66">
        <v>0</v>
      </c>
      <c r="H27" s="67">
        <v>0</v>
      </c>
      <c r="I27" s="67">
        <v>0</v>
      </c>
      <c r="J27" s="66"/>
    </row>
    <row r="28" customHeight="1" spans="1:10">
      <c r="A28" s="65"/>
      <c r="B28" s="66" t="s">
        <v>193</v>
      </c>
      <c r="C28" s="66" t="s">
        <v>183</v>
      </c>
      <c r="D28" s="66">
        <v>28</v>
      </c>
      <c r="E28" s="66">
        <v>0.5</v>
      </c>
      <c r="F28" s="66">
        <v>14</v>
      </c>
      <c r="G28" s="66">
        <v>14</v>
      </c>
      <c r="H28" s="67">
        <v>1</v>
      </c>
      <c r="I28" s="67">
        <v>1</v>
      </c>
      <c r="J28" s="66"/>
    </row>
    <row r="29" customHeight="1" spans="1:10">
      <c r="A29" s="65"/>
      <c r="B29" s="66" t="s">
        <v>192</v>
      </c>
      <c r="C29" s="66" t="s">
        <v>187</v>
      </c>
      <c r="D29" s="66">
        <v>28</v>
      </c>
      <c r="E29" s="66">
        <v>24</v>
      </c>
      <c r="F29" s="66">
        <v>672</v>
      </c>
      <c r="G29" s="66">
        <v>672</v>
      </c>
      <c r="H29" s="67">
        <v>1</v>
      </c>
      <c r="I29" s="67">
        <v>1</v>
      </c>
      <c r="J29" s="66"/>
    </row>
    <row r="30" customHeight="1" spans="1:10">
      <c r="A30" s="65"/>
      <c r="B30" s="66" t="s">
        <v>193</v>
      </c>
      <c r="C30" s="66" t="s">
        <v>187</v>
      </c>
      <c r="D30" s="66">
        <v>28</v>
      </c>
      <c r="E30" s="66">
        <v>0.5</v>
      </c>
      <c r="F30" s="66">
        <v>14</v>
      </c>
      <c r="G30" s="66">
        <v>14</v>
      </c>
      <c r="H30" s="67">
        <v>1</v>
      </c>
      <c r="I30" s="67">
        <v>1</v>
      </c>
      <c r="J30" s="66"/>
    </row>
    <row r="31" customHeight="1" spans="1:10">
      <c r="A31" s="65"/>
      <c r="B31" s="66" t="s">
        <v>192</v>
      </c>
      <c r="C31" s="66" t="s">
        <v>188</v>
      </c>
      <c r="D31" s="66">
        <v>28</v>
      </c>
      <c r="E31" s="66">
        <v>24</v>
      </c>
      <c r="F31" s="66">
        <v>672</v>
      </c>
      <c r="G31" s="66">
        <v>672</v>
      </c>
      <c r="H31" s="67">
        <v>1</v>
      </c>
      <c r="I31" s="67">
        <v>1</v>
      </c>
      <c r="J31" s="66"/>
    </row>
    <row r="32" customHeight="1" spans="1:10">
      <c r="A32" s="65"/>
      <c r="B32" s="66" t="s">
        <v>193</v>
      </c>
      <c r="C32" s="66" t="s">
        <v>188</v>
      </c>
      <c r="D32" s="66">
        <v>28</v>
      </c>
      <c r="E32" s="66">
        <v>0.5</v>
      </c>
      <c r="F32" s="66">
        <v>14</v>
      </c>
      <c r="G32" s="66">
        <v>14</v>
      </c>
      <c r="H32" s="67">
        <v>1</v>
      </c>
      <c r="I32" s="67">
        <v>1</v>
      </c>
      <c r="J32" s="66"/>
    </row>
    <row r="33" customHeight="1" spans="1:10">
      <c r="A33" s="65"/>
      <c r="B33" s="66" t="s">
        <v>194</v>
      </c>
      <c r="C33" s="66" t="s">
        <v>182</v>
      </c>
      <c r="D33" s="66">
        <v>28</v>
      </c>
      <c r="E33" s="66">
        <v>24</v>
      </c>
      <c r="F33" s="66">
        <v>672</v>
      </c>
      <c r="G33" s="66">
        <v>163</v>
      </c>
      <c r="H33" s="67">
        <v>0.242559523809524</v>
      </c>
      <c r="I33" s="67">
        <v>1</v>
      </c>
      <c r="J33" s="66"/>
    </row>
    <row r="34" customHeight="1" spans="1:10">
      <c r="A34" s="65"/>
      <c r="B34" s="66"/>
      <c r="C34" s="66" t="s">
        <v>183</v>
      </c>
      <c r="D34" s="66">
        <v>28</v>
      </c>
      <c r="E34" s="66">
        <v>24</v>
      </c>
      <c r="F34" s="66">
        <v>672</v>
      </c>
      <c r="G34" s="66">
        <v>68</v>
      </c>
      <c r="H34" s="67">
        <v>0.101190476190476</v>
      </c>
      <c r="I34" s="67">
        <v>1</v>
      </c>
      <c r="J34" s="66"/>
    </row>
    <row r="35" customHeight="1" spans="1:10">
      <c r="A35" s="65"/>
      <c r="B35" s="66"/>
      <c r="C35" s="66" t="s">
        <v>187</v>
      </c>
      <c r="D35" s="66">
        <v>28</v>
      </c>
      <c r="E35" s="66">
        <v>24</v>
      </c>
      <c r="F35" s="66">
        <v>672</v>
      </c>
      <c r="G35" s="66">
        <v>540</v>
      </c>
      <c r="H35" s="67">
        <v>0.803571428571429</v>
      </c>
      <c r="I35" s="67">
        <v>1</v>
      </c>
      <c r="J35" s="66"/>
    </row>
    <row r="36" customHeight="1" spans="1:10">
      <c r="A36" s="65"/>
      <c r="B36" s="66"/>
      <c r="C36" s="66" t="s">
        <v>188</v>
      </c>
      <c r="D36" s="66">
        <v>28</v>
      </c>
      <c r="E36" s="66">
        <v>24</v>
      </c>
      <c r="F36" s="66">
        <v>672</v>
      </c>
      <c r="G36" s="66">
        <v>613</v>
      </c>
      <c r="H36" s="67">
        <v>0.912202380952381</v>
      </c>
      <c r="I36" s="67">
        <v>1</v>
      </c>
      <c r="J36" s="66"/>
    </row>
    <row r="37" customHeight="1" spans="1:10">
      <c r="A37" s="65"/>
      <c r="B37" s="66"/>
      <c r="C37" s="66" t="s">
        <v>189</v>
      </c>
      <c r="D37" s="66">
        <v>28</v>
      </c>
      <c r="E37" s="66">
        <v>24</v>
      </c>
      <c r="F37" s="66">
        <v>672</v>
      </c>
      <c r="G37" s="66">
        <v>8</v>
      </c>
      <c r="H37" s="67">
        <v>0.0119047619047619</v>
      </c>
      <c r="I37" s="67">
        <v>1</v>
      </c>
      <c r="J37" s="66"/>
    </row>
    <row r="38" customHeight="1" spans="1:10">
      <c r="A38" s="68" t="s">
        <v>72</v>
      </c>
      <c r="B38" s="68"/>
      <c r="C38" s="15"/>
      <c r="D38" s="15"/>
      <c r="E38" s="69" t="s">
        <v>73</v>
      </c>
      <c r="F38" s="69"/>
      <c r="G38" s="70"/>
      <c r="H38" s="10" t="s">
        <v>150</v>
      </c>
      <c r="I38" s="10"/>
      <c r="J38" s="10"/>
    </row>
    <row r="39" ht="34" customHeight="1"/>
    <row r="46" ht="33" customHeight="1" spans="1:10">
      <c r="A46" s="58" t="s">
        <v>165</v>
      </c>
      <c r="B46" s="58"/>
      <c r="C46" s="58"/>
      <c r="D46" s="58"/>
      <c r="E46" s="58"/>
      <c r="F46" s="58"/>
      <c r="G46" s="58"/>
      <c r="H46" s="59"/>
      <c r="I46" s="58"/>
      <c r="J46" s="58"/>
    </row>
    <row r="47" customHeight="1" spans="1:10">
      <c r="A47" s="71">
        <f>A2</f>
        <v>44958</v>
      </c>
      <c r="B47" s="71"/>
      <c r="C47" s="71"/>
      <c r="D47" s="71"/>
      <c r="E47" s="71"/>
      <c r="F47" s="71"/>
      <c r="G47" s="71"/>
      <c r="H47" s="71"/>
      <c r="I47" s="71"/>
      <c r="J47" s="71"/>
    </row>
    <row r="48" customHeight="1" spans="1:10">
      <c r="A48" s="6" t="s">
        <v>166</v>
      </c>
      <c r="B48" s="6" t="s">
        <v>167</v>
      </c>
      <c r="C48" s="6" t="s">
        <v>168</v>
      </c>
      <c r="D48" s="6" t="s">
        <v>169</v>
      </c>
      <c r="E48" s="61" t="s">
        <v>170</v>
      </c>
      <c r="F48" s="61" t="s">
        <v>171</v>
      </c>
      <c r="G48" s="62" t="s">
        <v>172</v>
      </c>
      <c r="H48" s="63" t="s">
        <v>173</v>
      </c>
      <c r="I48" s="61" t="s">
        <v>174</v>
      </c>
      <c r="J48" s="6" t="s">
        <v>175</v>
      </c>
    </row>
    <row r="49" customHeight="1" spans="1:10">
      <c r="A49" s="6"/>
      <c r="B49" s="6"/>
      <c r="C49" s="6"/>
      <c r="D49" s="6"/>
      <c r="E49" s="61"/>
      <c r="F49" s="61"/>
      <c r="G49" s="62"/>
      <c r="H49" s="63"/>
      <c r="I49" s="61"/>
      <c r="J49" s="6"/>
    </row>
    <row r="50" customHeight="1" spans="1:10">
      <c r="A50" s="64"/>
      <c r="B50" s="8"/>
      <c r="C50" s="72"/>
      <c r="D50" s="8" t="s">
        <v>176</v>
      </c>
      <c r="E50" s="73" t="s">
        <v>177</v>
      </c>
      <c r="F50" s="73" t="s">
        <v>178</v>
      </c>
      <c r="G50" s="74" t="s">
        <v>178</v>
      </c>
      <c r="H50" s="75" t="s">
        <v>179</v>
      </c>
      <c r="I50" s="61" t="s">
        <v>179</v>
      </c>
      <c r="J50" s="6"/>
    </row>
    <row r="51" customHeight="1" spans="1:10">
      <c r="A51" s="76" t="s">
        <v>195</v>
      </c>
      <c r="B51" s="65" t="s">
        <v>196</v>
      </c>
      <c r="C51" s="66" t="s">
        <v>182</v>
      </c>
      <c r="D51" s="66">
        <v>28</v>
      </c>
      <c r="E51" s="66">
        <v>24</v>
      </c>
      <c r="F51" s="66">
        <v>672</v>
      </c>
      <c r="G51" s="66">
        <v>0</v>
      </c>
      <c r="H51" s="67">
        <v>0</v>
      </c>
      <c r="I51" s="78">
        <v>1</v>
      </c>
      <c r="J51" s="66"/>
    </row>
    <row r="52" customHeight="1" spans="1:10">
      <c r="A52" s="77"/>
      <c r="B52" s="66"/>
      <c r="C52" s="66" t="s">
        <v>183</v>
      </c>
      <c r="D52" s="66">
        <v>28</v>
      </c>
      <c r="E52" s="66">
        <v>24</v>
      </c>
      <c r="F52" s="66">
        <v>672</v>
      </c>
      <c r="G52" s="66">
        <v>0</v>
      </c>
      <c r="H52" s="67">
        <v>0</v>
      </c>
      <c r="I52" s="78">
        <v>1</v>
      </c>
      <c r="J52" s="66"/>
    </row>
    <row r="53" customHeight="1" spans="1:10">
      <c r="A53" s="77"/>
      <c r="B53" s="66"/>
      <c r="C53" s="66" t="s">
        <v>187</v>
      </c>
      <c r="D53" s="66">
        <v>28</v>
      </c>
      <c r="E53" s="66">
        <v>24</v>
      </c>
      <c r="F53" s="66">
        <v>672</v>
      </c>
      <c r="G53" s="66">
        <v>0</v>
      </c>
      <c r="H53" s="67">
        <v>0</v>
      </c>
      <c r="I53" s="78">
        <v>1</v>
      </c>
      <c r="J53" s="66"/>
    </row>
    <row r="54" customHeight="1" spans="1:10">
      <c r="A54" s="77"/>
      <c r="B54" s="66"/>
      <c r="C54" s="66" t="s">
        <v>188</v>
      </c>
      <c r="D54" s="66">
        <v>28</v>
      </c>
      <c r="E54" s="66">
        <v>24</v>
      </c>
      <c r="F54" s="66">
        <v>672</v>
      </c>
      <c r="G54" s="66">
        <v>0</v>
      </c>
      <c r="H54" s="67">
        <v>0</v>
      </c>
      <c r="I54" s="78">
        <v>1</v>
      </c>
      <c r="J54" s="66"/>
    </row>
    <row r="55" customHeight="1" spans="1:10">
      <c r="A55" s="77"/>
      <c r="B55" s="66"/>
      <c r="C55" s="66" t="s">
        <v>189</v>
      </c>
      <c r="D55" s="66">
        <v>28</v>
      </c>
      <c r="E55" s="66">
        <v>24</v>
      </c>
      <c r="F55" s="66">
        <v>672</v>
      </c>
      <c r="G55" s="66">
        <v>0</v>
      </c>
      <c r="H55" s="67">
        <v>0</v>
      </c>
      <c r="I55" s="78">
        <v>1</v>
      </c>
      <c r="J55" s="66"/>
    </row>
    <row r="56" customHeight="1" spans="1:10">
      <c r="A56" s="77"/>
      <c r="B56" s="66"/>
      <c r="C56" s="66" t="s">
        <v>191</v>
      </c>
      <c r="D56" s="66">
        <v>28</v>
      </c>
      <c r="E56" s="66">
        <v>24</v>
      </c>
      <c r="F56" s="66">
        <v>672</v>
      </c>
      <c r="G56" s="66">
        <v>0</v>
      </c>
      <c r="H56" s="67">
        <v>0</v>
      </c>
      <c r="I56" s="78">
        <v>1</v>
      </c>
      <c r="J56" s="66"/>
    </row>
    <row r="57" customHeight="1" spans="1:10">
      <c r="A57" s="77"/>
      <c r="B57" s="66"/>
      <c r="C57" s="66" t="s">
        <v>197</v>
      </c>
      <c r="D57" s="66">
        <v>28</v>
      </c>
      <c r="E57" s="66">
        <v>24</v>
      </c>
      <c r="F57" s="66">
        <v>672</v>
      </c>
      <c r="G57" s="66">
        <v>0</v>
      </c>
      <c r="H57" s="67">
        <v>0</v>
      </c>
      <c r="I57" s="78">
        <v>1</v>
      </c>
      <c r="J57" s="66"/>
    </row>
    <row r="58" customHeight="1" spans="1:10">
      <c r="A58" s="77"/>
      <c r="B58" s="66"/>
      <c r="C58" s="66" t="s">
        <v>198</v>
      </c>
      <c r="D58" s="66">
        <v>28</v>
      </c>
      <c r="E58" s="66">
        <v>24</v>
      </c>
      <c r="F58" s="66">
        <v>672</v>
      </c>
      <c r="G58" s="66">
        <v>0</v>
      </c>
      <c r="H58" s="67">
        <v>0</v>
      </c>
      <c r="I58" s="78">
        <v>1</v>
      </c>
      <c r="J58" s="66"/>
    </row>
    <row r="59" customHeight="1" spans="1:10">
      <c r="A59" s="77"/>
      <c r="B59" s="66"/>
      <c r="C59" s="66" t="s">
        <v>199</v>
      </c>
      <c r="D59" s="66">
        <v>28</v>
      </c>
      <c r="E59" s="66">
        <v>24</v>
      </c>
      <c r="F59" s="66">
        <v>672</v>
      </c>
      <c r="G59" s="66">
        <v>0</v>
      </c>
      <c r="H59" s="67">
        <v>0</v>
      </c>
      <c r="I59" s="78">
        <v>1</v>
      </c>
      <c r="J59" s="66"/>
    </row>
    <row r="60" customHeight="1" spans="1:10">
      <c r="A60" s="77"/>
      <c r="B60" s="66"/>
      <c r="C60" s="66" t="s">
        <v>200</v>
      </c>
      <c r="D60" s="66">
        <v>28</v>
      </c>
      <c r="E60" s="66">
        <v>24</v>
      </c>
      <c r="F60" s="66">
        <v>672</v>
      </c>
      <c r="G60" s="66">
        <v>0</v>
      </c>
      <c r="H60" s="67">
        <v>0</v>
      </c>
      <c r="I60" s="78">
        <v>1</v>
      </c>
      <c r="J60" s="66"/>
    </row>
    <row r="61" customHeight="1" spans="1:10">
      <c r="A61" s="77"/>
      <c r="B61" s="66"/>
      <c r="C61" s="66" t="s">
        <v>201</v>
      </c>
      <c r="D61" s="66">
        <v>28</v>
      </c>
      <c r="E61" s="66">
        <v>24</v>
      </c>
      <c r="F61" s="66">
        <v>672</v>
      </c>
      <c r="G61" s="66">
        <v>0</v>
      </c>
      <c r="H61" s="67">
        <v>0</v>
      </c>
      <c r="I61" s="78">
        <v>1</v>
      </c>
      <c r="J61" s="66"/>
    </row>
    <row r="62" customHeight="1" spans="1:10">
      <c r="A62" s="77"/>
      <c r="B62" s="66"/>
      <c r="C62" s="66" t="s">
        <v>202</v>
      </c>
      <c r="D62" s="66">
        <v>28</v>
      </c>
      <c r="E62" s="66">
        <v>24</v>
      </c>
      <c r="F62" s="66">
        <v>672</v>
      </c>
      <c r="G62" s="66">
        <v>0</v>
      </c>
      <c r="H62" s="67">
        <v>0</v>
      </c>
      <c r="I62" s="78">
        <v>1</v>
      </c>
      <c r="J62" s="66"/>
    </row>
    <row r="63" customHeight="1" spans="1:10">
      <c r="A63" s="77"/>
      <c r="B63" s="66"/>
      <c r="C63" s="66" t="s">
        <v>203</v>
      </c>
      <c r="D63" s="66">
        <v>28</v>
      </c>
      <c r="E63" s="66">
        <v>24</v>
      </c>
      <c r="F63" s="66">
        <v>672</v>
      </c>
      <c r="G63" s="66">
        <v>0</v>
      </c>
      <c r="H63" s="67">
        <v>0</v>
      </c>
      <c r="I63" s="78">
        <v>1</v>
      </c>
      <c r="J63" s="66"/>
    </row>
    <row r="64" customHeight="1" spans="1:10">
      <c r="A64" s="77"/>
      <c r="B64" s="66"/>
      <c r="C64" s="66" t="s">
        <v>204</v>
      </c>
      <c r="D64" s="66">
        <v>28</v>
      </c>
      <c r="E64" s="66">
        <v>24</v>
      </c>
      <c r="F64" s="66">
        <v>672</v>
      </c>
      <c r="G64" s="66">
        <v>0</v>
      </c>
      <c r="H64" s="67">
        <v>0</v>
      </c>
      <c r="I64" s="78">
        <v>1</v>
      </c>
      <c r="J64" s="66"/>
    </row>
    <row r="65" customHeight="1" spans="1:10">
      <c r="A65" s="77"/>
      <c r="B65" s="66"/>
      <c r="C65" s="66" t="s">
        <v>205</v>
      </c>
      <c r="D65" s="66">
        <v>28</v>
      </c>
      <c r="E65" s="66">
        <v>24</v>
      </c>
      <c r="F65" s="66">
        <v>672</v>
      </c>
      <c r="G65" s="66">
        <v>0</v>
      </c>
      <c r="H65" s="67">
        <v>0</v>
      </c>
      <c r="I65" s="78">
        <v>1</v>
      </c>
      <c r="J65" s="66"/>
    </row>
    <row r="66" customHeight="1" spans="1:10">
      <c r="A66" s="77"/>
      <c r="B66" s="66"/>
      <c r="C66" s="66" t="s">
        <v>206</v>
      </c>
      <c r="D66" s="66">
        <v>28</v>
      </c>
      <c r="E66" s="66">
        <v>24</v>
      </c>
      <c r="F66" s="66">
        <v>672</v>
      </c>
      <c r="G66" s="66">
        <v>0</v>
      </c>
      <c r="H66" s="67">
        <v>0</v>
      </c>
      <c r="I66" s="78">
        <v>1</v>
      </c>
      <c r="J66" s="66"/>
    </row>
    <row r="67" customHeight="1" spans="1:10">
      <c r="A67" s="77"/>
      <c r="B67" s="66"/>
      <c r="C67" s="66" t="s">
        <v>207</v>
      </c>
      <c r="D67" s="66">
        <v>28</v>
      </c>
      <c r="E67" s="66">
        <v>24</v>
      </c>
      <c r="F67" s="66">
        <v>672</v>
      </c>
      <c r="G67" s="66">
        <v>0</v>
      </c>
      <c r="H67" s="67">
        <v>0</v>
      </c>
      <c r="I67" s="78">
        <v>1</v>
      </c>
      <c r="J67" s="66"/>
    </row>
    <row r="68" customHeight="1" spans="1:10">
      <c r="A68" s="77"/>
      <c r="B68" s="66"/>
      <c r="C68" s="66" t="s">
        <v>208</v>
      </c>
      <c r="D68" s="66">
        <v>28</v>
      </c>
      <c r="E68" s="66">
        <v>24</v>
      </c>
      <c r="F68" s="66">
        <v>672</v>
      </c>
      <c r="G68" s="66">
        <v>0</v>
      </c>
      <c r="H68" s="67">
        <v>0</v>
      </c>
      <c r="I68" s="78">
        <v>1</v>
      </c>
      <c r="J68" s="66"/>
    </row>
    <row r="69" customHeight="1" spans="1:10">
      <c r="A69" s="77"/>
      <c r="B69" s="65" t="s">
        <v>209</v>
      </c>
      <c r="C69" s="66" t="s">
        <v>210</v>
      </c>
      <c r="D69" s="66">
        <v>28</v>
      </c>
      <c r="E69" s="66">
        <v>24</v>
      </c>
      <c r="F69" s="66">
        <v>672</v>
      </c>
      <c r="G69" s="66">
        <v>0</v>
      </c>
      <c r="H69" s="67">
        <v>0</v>
      </c>
      <c r="I69" s="78">
        <v>1</v>
      </c>
      <c r="J69" s="66"/>
    </row>
    <row r="70" customHeight="1" spans="1:10">
      <c r="A70" s="77"/>
      <c r="B70" s="66"/>
      <c r="C70" s="66" t="s">
        <v>211</v>
      </c>
      <c r="D70" s="66">
        <v>28</v>
      </c>
      <c r="E70" s="66">
        <v>24</v>
      </c>
      <c r="F70" s="66">
        <v>672</v>
      </c>
      <c r="G70" s="66">
        <v>0</v>
      </c>
      <c r="H70" s="67">
        <v>0</v>
      </c>
      <c r="I70" s="78">
        <v>1</v>
      </c>
      <c r="J70" s="66"/>
    </row>
    <row r="71" customHeight="1" spans="1:10">
      <c r="A71" s="77"/>
      <c r="B71" s="66"/>
      <c r="C71" s="66" t="s">
        <v>212</v>
      </c>
      <c r="D71" s="66">
        <v>28</v>
      </c>
      <c r="E71" s="66">
        <v>24</v>
      </c>
      <c r="F71" s="66">
        <v>672</v>
      </c>
      <c r="G71" s="66">
        <v>0</v>
      </c>
      <c r="H71" s="67">
        <v>0</v>
      </c>
      <c r="I71" s="78">
        <v>1</v>
      </c>
      <c r="J71" s="66"/>
    </row>
    <row r="72" customHeight="1" spans="1:10">
      <c r="A72" s="77"/>
      <c r="B72" s="66"/>
      <c r="C72" s="66" t="s">
        <v>213</v>
      </c>
      <c r="D72" s="66">
        <v>28</v>
      </c>
      <c r="E72" s="66">
        <v>24</v>
      </c>
      <c r="F72" s="66">
        <v>672</v>
      </c>
      <c r="G72" s="66">
        <v>0</v>
      </c>
      <c r="H72" s="67">
        <v>0</v>
      </c>
      <c r="I72" s="78">
        <v>1</v>
      </c>
      <c r="J72" s="66"/>
    </row>
    <row r="73" customHeight="1" spans="1:10">
      <c r="A73" s="77"/>
      <c r="B73" s="66"/>
      <c r="C73" s="66" t="s">
        <v>214</v>
      </c>
      <c r="D73" s="66">
        <v>28</v>
      </c>
      <c r="E73" s="66">
        <v>24</v>
      </c>
      <c r="F73" s="66">
        <v>672</v>
      </c>
      <c r="G73" s="66">
        <v>0</v>
      </c>
      <c r="H73" s="67">
        <v>0</v>
      </c>
      <c r="I73" s="78">
        <v>1</v>
      </c>
      <c r="J73" s="66"/>
    </row>
    <row r="74" customHeight="1" spans="1:10">
      <c r="A74" s="77"/>
      <c r="B74" s="66"/>
      <c r="C74" s="66" t="s">
        <v>215</v>
      </c>
      <c r="D74" s="66">
        <v>28</v>
      </c>
      <c r="E74" s="66">
        <v>24</v>
      </c>
      <c r="F74" s="66">
        <v>672</v>
      </c>
      <c r="G74" s="66">
        <v>0</v>
      </c>
      <c r="H74" s="67">
        <v>0</v>
      </c>
      <c r="I74" s="78">
        <v>1</v>
      </c>
      <c r="J74" s="66"/>
    </row>
    <row r="75" customHeight="1" spans="1:10">
      <c r="A75" s="77"/>
      <c r="B75" s="66"/>
      <c r="C75" s="66" t="s">
        <v>216</v>
      </c>
      <c r="D75" s="66">
        <v>28</v>
      </c>
      <c r="E75" s="66">
        <v>24</v>
      </c>
      <c r="F75" s="66">
        <v>672</v>
      </c>
      <c r="G75" s="66">
        <v>0</v>
      </c>
      <c r="H75" s="67">
        <v>0</v>
      </c>
      <c r="I75" s="78">
        <v>1</v>
      </c>
      <c r="J75" s="66"/>
    </row>
    <row r="76" customHeight="1" spans="1:10">
      <c r="A76" s="77"/>
      <c r="B76" s="66"/>
      <c r="C76" s="66" t="s">
        <v>217</v>
      </c>
      <c r="D76" s="66">
        <v>28</v>
      </c>
      <c r="E76" s="66">
        <v>24</v>
      </c>
      <c r="F76" s="66">
        <v>672</v>
      </c>
      <c r="G76" s="66">
        <v>0</v>
      </c>
      <c r="H76" s="67">
        <v>0</v>
      </c>
      <c r="I76" s="78">
        <v>1</v>
      </c>
      <c r="J76" s="66"/>
    </row>
    <row r="77" customHeight="1" spans="1:10">
      <c r="A77" s="77"/>
      <c r="B77" s="66"/>
      <c r="C77" s="66" t="s">
        <v>218</v>
      </c>
      <c r="D77" s="66">
        <v>28</v>
      </c>
      <c r="E77" s="66">
        <v>24</v>
      </c>
      <c r="F77" s="66">
        <v>672</v>
      </c>
      <c r="G77" s="66">
        <v>0</v>
      </c>
      <c r="H77" s="67">
        <v>0</v>
      </c>
      <c r="I77" s="78">
        <v>1</v>
      </c>
      <c r="J77" s="66"/>
    </row>
    <row r="78" customHeight="1" spans="1:10">
      <c r="A78" s="77"/>
      <c r="B78" s="66"/>
      <c r="C78" s="66" t="s">
        <v>219</v>
      </c>
      <c r="D78" s="66">
        <v>28</v>
      </c>
      <c r="E78" s="66">
        <v>24</v>
      </c>
      <c r="F78" s="66">
        <v>672</v>
      </c>
      <c r="G78" s="66">
        <v>0</v>
      </c>
      <c r="H78" s="67">
        <v>0</v>
      </c>
      <c r="I78" s="78">
        <v>1</v>
      </c>
      <c r="J78" s="66"/>
    </row>
    <row r="79" customHeight="1" spans="1:10">
      <c r="A79" s="77"/>
      <c r="B79" s="66"/>
      <c r="C79" s="66" t="s">
        <v>220</v>
      </c>
      <c r="D79" s="66">
        <v>28</v>
      </c>
      <c r="E79" s="66">
        <v>24</v>
      </c>
      <c r="F79" s="66">
        <v>672</v>
      </c>
      <c r="G79" s="66">
        <v>0</v>
      </c>
      <c r="H79" s="67">
        <v>0</v>
      </c>
      <c r="I79" s="78">
        <v>1</v>
      </c>
      <c r="J79" s="66"/>
    </row>
    <row r="80" customHeight="1" spans="1:10">
      <c r="A80" s="77"/>
      <c r="B80" s="66"/>
      <c r="C80" s="66" t="s">
        <v>221</v>
      </c>
      <c r="D80" s="66">
        <v>28</v>
      </c>
      <c r="E80" s="66">
        <v>24</v>
      </c>
      <c r="F80" s="66">
        <v>672</v>
      </c>
      <c r="G80" s="66">
        <v>0</v>
      </c>
      <c r="H80" s="67">
        <v>0</v>
      </c>
      <c r="I80" s="78">
        <v>1</v>
      </c>
      <c r="J80" s="66"/>
    </row>
    <row r="81" customHeight="1" spans="1:10">
      <c r="A81" s="77"/>
      <c r="B81" s="66"/>
      <c r="C81" s="66" t="s">
        <v>222</v>
      </c>
      <c r="D81" s="66">
        <v>28</v>
      </c>
      <c r="E81" s="66">
        <v>24</v>
      </c>
      <c r="F81" s="66">
        <v>672</v>
      </c>
      <c r="G81" s="66">
        <v>0</v>
      </c>
      <c r="H81" s="67">
        <v>0</v>
      </c>
      <c r="I81" s="78">
        <v>1</v>
      </c>
      <c r="J81" s="66"/>
    </row>
    <row r="82" customHeight="1" spans="1:10">
      <c r="A82" s="77"/>
      <c r="B82" s="66"/>
      <c r="C82" s="66" t="s">
        <v>223</v>
      </c>
      <c r="D82" s="66">
        <v>28</v>
      </c>
      <c r="E82" s="66">
        <v>24</v>
      </c>
      <c r="F82" s="66">
        <v>672</v>
      </c>
      <c r="G82" s="66">
        <v>0</v>
      </c>
      <c r="H82" s="67">
        <v>0</v>
      </c>
      <c r="I82" s="78">
        <v>1</v>
      </c>
      <c r="J82" s="66"/>
    </row>
    <row r="83" customHeight="1" spans="1:10">
      <c r="A83" s="77"/>
      <c r="B83" s="66"/>
      <c r="C83" s="66" t="s">
        <v>224</v>
      </c>
      <c r="D83" s="66">
        <v>28</v>
      </c>
      <c r="E83" s="66">
        <v>24</v>
      </c>
      <c r="F83" s="66">
        <v>672</v>
      </c>
      <c r="G83" s="66">
        <v>0</v>
      </c>
      <c r="H83" s="67">
        <v>0</v>
      </c>
      <c r="I83" s="78">
        <v>1</v>
      </c>
      <c r="J83" s="66"/>
    </row>
    <row r="84" customHeight="1" spans="1:10">
      <c r="A84" s="77"/>
      <c r="B84" s="66"/>
      <c r="C84" s="66" t="s">
        <v>225</v>
      </c>
      <c r="D84" s="66">
        <v>28</v>
      </c>
      <c r="E84" s="66">
        <v>24</v>
      </c>
      <c r="F84" s="66">
        <v>672</v>
      </c>
      <c r="G84" s="66">
        <v>0</v>
      </c>
      <c r="H84" s="67">
        <v>0</v>
      </c>
      <c r="I84" s="78">
        <v>1</v>
      </c>
      <c r="J84" s="66"/>
    </row>
    <row r="85" customHeight="1" spans="1:10">
      <c r="A85" s="77"/>
      <c r="B85" s="66"/>
      <c r="C85" s="66" t="s">
        <v>226</v>
      </c>
      <c r="D85" s="66">
        <v>28</v>
      </c>
      <c r="E85" s="66">
        <v>24</v>
      </c>
      <c r="F85" s="66">
        <v>672</v>
      </c>
      <c r="G85" s="66">
        <v>0</v>
      </c>
      <c r="H85" s="67">
        <v>0</v>
      </c>
      <c r="I85" s="78">
        <v>1</v>
      </c>
      <c r="J85" s="66"/>
    </row>
    <row r="86" customHeight="1" spans="1:10">
      <c r="A86" s="79"/>
      <c r="B86" s="66"/>
      <c r="C86" s="66" t="s">
        <v>227</v>
      </c>
      <c r="D86" s="66">
        <v>28</v>
      </c>
      <c r="E86" s="66">
        <v>24</v>
      </c>
      <c r="F86" s="66">
        <v>672</v>
      </c>
      <c r="G86" s="66">
        <v>0</v>
      </c>
      <c r="H86" s="67">
        <v>0</v>
      </c>
      <c r="I86" s="78">
        <v>1</v>
      </c>
      <c r="J86" s="66"/>
    </row>
    <row r="87" customHeight="1" spans="1:10">
      <c r="A87" s="68" t="s">
        <v>72</v>
      </c>
      <c r="B87" s="68"/>
      <c r="C87" s="15"/>
      <c r="D87" s="15"/>
      <c r="E87" s="69" t="s">
        <v>73</v>
      </c>
      <c r="F87" s="69"/>
      <c r="G87" s="70"/>
      <c r="H87" s="10" t="str">
        <f>H38</f>
        <v>制表时间：2023/3/6</v>
      </c>
      <c r="I87" s="10"/>
      <c r="J87" s="10"/>
    </row>
    <row r="88" ht="16" customHeight="1"/>
    <row r="89" ht="15.95" customHeight="1"/>
    <row r="90" ht="34" customHeight="1" spans="1:10">
      <c r="A90" s="58" t="s">
        <v>165</v>
      </c>
      <c r="B90" s="58"/>
      <c r="C90" s="58"/>
      <c r="D90" s="58"/>
      <c r="E90" s="58"/>
      <c r="F90" s="58"/>
      <c r="G90" s="58"/>
      <c r="H90" s="59"/>
      <c r="I90" s="58"/>
      <c r="J90" s="58"/>
    </row>
    <row r="91" customHeight="1" spans="1:10">
      <c r="A91" s="60">
        <f>A2</f>
        <v>44958</v>
      </c>
      <c r="B91" s="60"/>
      <c r="C91" s="60"/>
      <c r="D91" s="60"/>
      <c r="E91" s="60"/>
      <c r="F91" s="60"/>
      <c r="G91" s="60"/>
      <c r="H91" s="60"/>
      <c r="I91" s="60"/>
      <c r="J91" s="60"/>
    </row>
    <row r="92" ht="24.95" customHeight="1" spans="1:10">
      <c r="A92" s="6" t="s">
        <v>166</v>
      </c>
      <c r="B92" s="6" t="s">
        <v>167</v>
      </c>
      <c r="C92" s="6" t="s">
        <v>168</v>
      </c>
      <c r="D92" s="6" t="s">
        <v>169</v>
      </c>
      <c r="E92" s="61" t="s">
        <v>170</v>
      </c>
      <c r="F92" s="61" t="s">
        <v>171</v>
      </c>
      <c r="G92" s="62" t="s">
        <v>172</v>
      </c>
      <c r="H92" s="63" t="s">
        <v>173</v>
      </c>
      <c r="I92" s="61" t="s">
        <v>174</v>
      </c>
      <c r="J92" s="6" t="s">
        <v>175</v>
      </c>
    </row>
    <row r="93" customHeight="1" spans="1:10">
      <c r="A93" s="6"/>
      <c r="B93" s="6"/>
      <c r="C93" s="6"/>
      <c r="D93" s="6"/>
      <c r="E93" s="61"/>
      <c r="F93" s="61"/>
      <c r="G93" s="62"/>
      <c r="H93" s="63"/>
      <c r="I93" s="61"/>
      <c r="J93" s="6"/>
    </row>
    <row r="94" customHeight="1" spans="1:10">
      <c r="A94" s="64"/>
      <c r="B94" s="6"/>
      <c r="C94" s="64"/>
      <c r="D94" s="6" t="s">
        <v>176</v>
      </c>
      <c r="E94" s="61" t="s">
        <v>177</v>
      </c>
      <c r="F94" s="61" t="s">
        <v>178</v>
      </c>
      <c r="G94" s="62" t="s">
        <v>178</v>
      </c>
      <c r="H94" s="63" t="s">
        <v>179</v>
      </c>
      <c r="I94" s="61" t="s">
        <v>179</v>
      </c>
      <c r="J94" s="6"/>
    </row>
    <row r="95" customHeight="1" spans="1:10">
      <c r="A95" s="65" t="s">
        <v>195</v>
      </c>
      <c r="B95" s="65" t="s">
        <v>228</v>
      </c>
      <c r="C95" s="66" t="s">
        <v>182</v>
      </c>
      <c r="D95" s="66">
        <v>28</v>
      </c>
      <c r="E95" s="66">
        <v>24</v>
      </c>
      <c r="F95" s="66">
        <v>672</v>
      </c>
      <c r="G95" s="66">
        <v>0</v>
      </c>
      <c r="H95" s="80">
        <v>0</v>
      </c>
      <c r="I95" s="67">
        <v>1</v>
      </c>
      <c r="J95" s="66" t="s">
        <v>229</v>
      </c>
    </row>
    <row r="96" customHeight="1" spans="1:10">
      <c r="A96" s="66"/>
      <c r="B96" s="66"/>
      <c r="C96" s="66" t="s">
        <v>183</v>
      </c>
      <c r="D96" s="66">
        <v>28</v>
      </c>
      <c r="E96" s="66">
        <v>24</v>
      </c>
      <c r="F96" s="66">
        <v>672</v>
      </c>
      <c r="G96" s="66">
        <v>0</v>
      </c>
      <c r="H96" s="80">
        <v>0</v>
      </c>
      <c r="I96" s="67">
        <v>1</v>
      </c>
      <c r="J96" s="66" t="s">
        <v>229</v>
      </c>
    </row>
    <row r="97" customHeight="1" spans="1:10">
      <c r="A97" s="66"/>
      <c r="B97" s="65" t="s">
        <v>230</v>
      </c>
      <c r="C97" s="66" t="s">
        <v>182</v>
      </c>
      <c r="D97" s="66">
        <v>28</v>
      </c>
      <c r="E97" s="66">
        <v>24</v>
      </c>
      <c r="F97" s="66">
        <v>672</v>
      </c>
      <c r="G97" s="66">
        <v>0</v>
      </c>
      <c r="H97" s="67">
        <v>0</v>
      </c>
      <c r="I97" s="67">
        <v>1</v>
      </c>
      <c r="J97" s="66"/>
    </row>
    <row r="98" customHeight="1" spans="1:10">
      <c r="A98" s="66"/>
      <c r="B98" s="66"/>
      <c r="C98" s="66" t="s">
        <v>183</v>
      </c>
      <c r="D98" s="66">
        <v>28</v>
      </c>
      <c r="E98" s="66">
        <v>24</v>
      </c>
      <c r="F98" s="66">
        <v>672</v>
      </c>
      <c r="G98" s="66">
        <v>0</v>
      </c>
      <c r="H98" s="67">
        <v>0</v>
      </c>
      <c r="I98" s="67">
        <v>1</v>
      </c>
      <c r="J98" s="66"/>
    </row>
    <row r="99" customHeight="1" spans="1:10">
      <c r="A99" s="66"/>
      <c r="B99" s="66"/>
      <c r="C99" s="66" t="s">
        <v>187</v>
      </c>
      <c r="D99" s="66">
        <v>28</v>
      </c>
      <c r="E99" s="66">
        <v>24</v>
      </c>
      <c r="F99" s="66">
        <v>672</v>
      </c>
      <c r="G99" s="66">
        <v>0</v>
      </c>
      <c r="H99" s="67">
        <v>0</v>
      </c>
      <c r="I99" s="67">
        <v>1</v>
      </c>
      <c r="J99" s="66"/>
    </row>
    <row r="100" customHeight="1" spans="1:10">
      <c r="A100" s="66"/>
      <c r="B100" s="66"/>
      <c r="C100" s="66" t="s">
        <v>188</v>
      </c>
      <c r="D100" s="66">
        <v>28</v>
      </c>
      <c r="E100" s="66">
        <v>24</v>
      </c>
      <c r="F100" s="66">
        <v>672</v>
      </c>
      <c r="G100" s="66">
        <v>0</v>
      </c>
      <c r="H100" s="67">
        <v>0</v>
      </c>
      <c r="I100" s="67">
        <v>1</v>
      </c>
      <c r="J100" s="66"/>
    </row>
    <row r="101" customHeight="1" spans="1:10">
      <c r="A101" s="66"/>
      <c r="B101" s="66"/>
      <c r="C101" s="66" t="s">
        <v>189</v>
      </c>
      <c r="D101" s="66">
        <v>28</v>
      </c>
      <c r="E101" s="66">
        <v>24</v>
      </c>
      <c r="F101" s="66">
        <v>672</v>
      </c>
      <c r="G101" s="66">
        <v>0</v>
      </c>
      <c r="H101" s="67">
        <v>0</v>
      </c>
      <c r="I101" s="67">
        <v>1</v>
      </c>
      <c r="J101" s="66"/>
    </row>
    <row r="102" customHeight="1" spans="1:10">
      <c r="A102" s="66"/>
      <c r="B102" s="66"/>
      <c r="C102" s="66" t="s">
        <v>191</v>
      </c>
      <c r="D102" s="66">
        <v>28</v>
      </c>
      <c r="E102" s="66">
        <v>24</v>
      </c>
      <c r="F102" s="66">
        <v>672</v>
      </c>
      <c r="G102" s="66">
        <v>0</v>
      </c>
      <c r="H102" s="67">
        <v>0</v>
      </c>
      <c r="I102" s="67">
        <v>1</v>
      </c>
      <c r="J102" s="66"/>
    </row>
    <row r="103" customHeight="1" spans="1:10">
      <c r="A103" s="66"/>
      <c r="B103" s="65" t="s">
        <v>231</v>
      </c>
      <c r="C103" s="66" t="s">
        <v>182</v>
      </c>
      <c r="D103" s="66">
        <v>28</v>
      </c>
      <c r="E103" s="66">
        <v>24</v>
      </c>
      <c r="F103" s="66">
        <v>672</v>
      </c>
      <c r="G103" s="66">
        <v>0</v>
      </c>
      <c r="H103" s="67">
        <v>0</v>
      </c>
      <c r="I103" s="67">
        <v>1</v>
      </c>
      <c r="J103" s="66"/>
    </row>
    <row r="104" customHeight="1" spans="1:10">
      <c r="A104" s="66"/>
      <c r="B104" s="66"/>
      <c r="C104" s="66" t="s">
        <v>183</v>
      </c>
      <c r="D104" s="66">
        <v>28</v>
      </c>
      <c r="E104" s="66">
        <v>24</v>
      </c>
      <c r="F104" s="66">
        <v>672</v>
      </c>
      <c r="G104" s="66">
        <v>0</v>
      </c>
      <c r="H104" s="67">
        <v>0</v>
      </c>
      <c r="I104" s="67">
        <v>1</v>
      </c>
      <c r="J104" s="66"/>
    </row>
    <row r="105" customHeight="1" spans="1:10">
      <c r="A105" s="66"/>
      <c r="B105" s="66"/>
      <c r="C105" s="66" t="s">
        <v>187</v>
      </c>
      <c r="D105" s="66">
        <v>28</v>
      </c>
      <c r="E105" s="66">
        <v>24</v>
      </c>
      <c r="F105" s="66">
        <v>672</v>
      </c>
      <c r="G105" s="66">
        <v>0</v>
      </c>
      <c r="H105" s="67">
        <v>0</v>
      </c>
      <c r="I105" s="67">
        <v>1</v>
      </c>
      <c r="J105" s="66"/>
    </row>
    <row r="106" customHeight="1" spans="1:10">
      <c r="A106" s="66"/>
      <c r="B106" s="65" t="s">
        <v>232</v>
      </c>
      <c r="C106" s="66" t="s">
        <v>182</v>
      </c>
      <c r="D106" s="66">
        <v>28</v>
      </c>
      <c r="E106" s="66">
        <v>24</v>
      </c>
      <c r="F106" s="66">
        <v>672</v>
      </c>
      <c r="G106" s="66">
        <v>0</v>
      </c>
      <c r="H106" s="67">
        <v>0</v>
      </c>
      <c r="I106" s="67">
        <v>1</v>
      </c>
      <c r="J106" s="66"/>
    </row>
    <row r="107" customHeight="1" spans="1:10">
      <c r="A107" s="66"/>
      <c r="B107" s="66"/>
      <c r="C107" s="66" t="s">
        <v>183</v>
      </c>
      <c r="D107" s="66">
        <v>28</v>
      </c>
      <c r="E107" s="66">
        <v>24</v>
      </c>
      <c r="F107" s="66">
        <v>672</v>
      </c>
      <c r="G107" s="66">
        <v>0</v>
      </c>
      <c r="H107" s="67">
        <v>0</v>
      </c>
      <c r="I107" s="67">
        <v>1</v>
      </c>
      <c r="J107" s="66"/>
    </row>
    <row r="108" customHeight="1" spans="1:10">
      <c r="A108" s="66"/>
      <c r="B108" s="66"/>
      <c r="C108" s="66" t="s">
        <v>187</v>
      </c>
      <c r="D108" s="66">
        <v>28</v>
      </c>
      <c r="E108" s="66">
        <v>24</v>
      </c>
      <c r="F108" s="66">
        <v>672</v>
      </c>
      <c r="G108" s="66">
        <v>0</v>
      </c>
      <c r="H108" s="67">
        <v>0</v>
      </c>
      <c r="I108" s="67">
        <v>1</v>
      </c>
      <c r="J108" s="66"/>
    </row>
    <row r="109" customHeight="1" spans="1:10">
      <c r="A109" s="66"/>
      <c r="B109" s="66"/>
      <c r="C109" s="66" t="s">
        <v>188</v>
      </c>
      <c r="D109" s="66">
        <v>28</v>
      </c>
      <c r="E109" s="66">
        <v>24</v>
      </c>
      <c r="F109" s="66">
        <v>672</v>
      </c>
      <c r="G109" s="66">
        <v>0</v>
      </c>
      <c r="H109" s="67">
        <v>0</v>
      </c>
      <c r="I109" s="67">
        <v>1</v>
      </c>
      <c r="J109" s="66"/>
    </row>
    <row r="110" customHeight="1" spans="1:10">
      <c r="A110" s="81" t="s">
        <v>233</v>
      </c>
      <c r="B110" s="81" t="s">
        <v>234</v>
      </c>
      <c r="C110" s="66" t="s">
        <v>182</v>
      </c>
      <c r="D110" s="66">
        <v>28</v>
      </c>
      <c r="E110" s="66">
        <v>24</v>
      </c>
      <c r="F110" s="66">
        <v>672</v>
      </c>
      <c r="G110" s="66">
        <v>672</v>
      </c>
      <c r="H110" s="67">
        <v>1</v>
      </c>
      <c r="I110" s="67">
        <v>1</v>
      </c>
      <c r="J110" s="66"/>
    </row>
    <row r="111" customHeight="1" spans="1:10">
      <c r="A111" s="82"/>
      <c r="B111" s="83"/>
      <c r="C111" s="66" t="s">
        <v>183</v>
      </c>
      <c r="D111" s="66">
        <v>28</v>
      </c>
      <c r="E111" s="66">
        <v>24</v>
      </c>
      <c r="F111" s="66">
        <v>672</v>
      </c>
      <c r="G111" s="66">
        <v>672</v>
      </c>
      <c r="H111" s="67">
        <v>1</v>
      </c>
      <c r="I111" s="67">
        <v>1</v>
      </c>
      <c r="J111" s="66"/>
    </row>
    <row r="112" customHeight="1" spans="1:10">
      <c r="A112" s="82"/>
      <c r="B112" s="83"/>
      <c r="C112" s="66" t="s">
        <v>187</v>
      </c>
      <c r="D112" s="66">
        <v>28</v>
      </c>
      <c r="E112" s="66">
        <v>24</v>
      </c>
      <c r="F112" s="66">
        <v>672</v>
      </c>
      <c r="G112" s="66">
        <v>672</v>
      </c>
      <c r="H112" s="67">
        <v>1</v>
      </c>
      <c r="I112" s="67">
        <v>1</v>
      </c>
      <c r="J112" s="66"/>
    </row>
    <row r="113" customHeight="1" spans="1:10">
      <c r="A113" s="82"/>
      <c r="B113" s="83"/>
      <c r="C113" s="66" t="s">
        <v>188</v>
      </c>
      <c r="D113" s="66">
        <v>28</v>
      </c>
      <c r="E113" s="66">
        <v>24</v>
      </c>
      <c r="F113" s="66">
        <v>672</v>
      </c>
      <c r="G113" s="66">
        <v>0</v>
      </c>
      <c r="H113" s="67">
        <v>0</v>
      </c>
      <c r="I113" s="67">
        <v>0</v>
      </c>
      <c r="J113" s="66"/>
    </row>
    <row r="114" customHeight="1" spans="1:10">
      <c r="A114" s="82"/>
      <c r="B114" s="83"/>
      <c r="C114" s="66" t="s">
        <v>189</v>
      </c>
      <c r="D114" s="66">
        <v>28</v>
      </c>
      <c r="E114" s="66">
        <v>24</v>
      </c>
      <c r="F114" s="66">
        <v>672</v>
      </c>
      <c r="G114" s="66">
        <v>672</v>
      </c>
      <c r="H114" s="67">
        <v>1</v>
      </c>
      <c r="I114" s="67">
        <v>1</v>
      </c>
      <c r="J114" s="66"/>
    </row>
    <row r="115" customHeight="1" spans="1:10">
      <c r="A115" s="82"/>
      <c r="B115" s="83"/>
      <c r="C115" s="66" t="s">
        <v>191</v>
      </c>
      <c r="D115" s="66">
        <v>28</v>
      </c>
      <c r="E115" s="66">
        <v>24</v>
      </c>
      <c r="F115" s="66">
        <v>672</v>
      </c>
      <c r="G115" s="66">
        <v>672</v>
      </c>
      <c r="H115" s="67">
        <v>1</v>
      </c>
      <c r="I115" s="67">
        <v>1</v>
      </c>
      <c r="J115" s="66"/>
    </row>
    <row r="116" customHeight="1" spans="1:10">
      <c r="A116" s="82"/>
      <c r="B116" s="83"/>
      <c r="C116" s="66" t="s">
        <v>197</v>
      </c>
      <c r="D116" s="66">
        <v>28</v>
      </c>
      <c r="E116" s="66">
        <v>24</v>
      </c>
      <c r="F116" s="66">
        <v>672</v>
      </c>
      <c r="G116" s="66">
        <v>672</v>
      </c>
      <c r="H116" s="67">
        <v>1</v>
      </c>
      <c r="I116" s="67">
        <v>1</v>
      </c>
      <c r="J116" s="66"/>
    </row>
    <row r="117" customHeight="1" spans="1:10">
      <c r="A117" s="82"/>
      <c r="B117" s="83"/>
      <c r="C117" s="66" t="s">
        <v>198</v>
      </c>
      <c r="D117" s="66">
        <v>28</v>
      </c>
      <c r="E117" s="66">
        <v>24</v>
      </c>
      <c r="F117" s="66">
        <v>672</v>
      </c>
      <c r="G117" s="66">
        <v>0</v>
      </c>
      <c r="H117" s="67">
        <v>0</v>
      </c>
      <c r="I117" s="67">
        <v>0</v>
      </c>
      <c r="J117" s="66"/>
    </row>
    <row r="118" customHeight="1" spans="1:10">
      <c r="A118" s="82"/>
      <c r="B118" s="83"/>
      <c r="C118" s="66" t="s">
        <v>199</v>
      </c>
      <c r="D118" s="66">
        <v>28</v>
      </c>
      <c r="E118" s="66">
        <v>24</v>
      </c>
      <c r="F118" s="66">
        <v>672</v>
      </c>
      <c r="G118" s="66">
        <v>672</v>
      </c>
      <c r="H118" s="67">
        <v>1</v>
      </c>
      <c r="I118" s="67">
        <v>1</v>
      </c>
      <c r="J118" s="66"/>
    </row>
    <row r="119" customHeight="1" spans="1:10">
      <c r="A119" s="82"/>
      <c r="B119" s="83"/>
      <c r="C119" s="66" t="s">
        <v>200</v>
      </c>
      <c r="D119" s="66">
        <v>28</v>
      </c>
      <c r="E119" s="66">
        <v>24</v>
      </c>
      <c r="F119" s="66">
        <v>672</v>
      </c>
      <c r="G119" s="66">
        <v>0</v>
      </c>
      <c r="H119" s="67">
        <v>0</v>
      </c>
      <c r="I119" s="67">
        <v>0</v>
      </c>
      <c r="J119" s="66"/>
    </row>
    <row r="120" customHeight="1" spans="1:10">
      <c r="A120" s="82"/>
      <c r="B120" s="83"/>
      <c r="C120" s="66" t="s">
        <v>201</v>
      </c>
      <c r="D120" s="66">
        <v>28</v>
      </c>
      <c r="E120" s="66">
        <v>24</v>
      </c>
      <c r="F120" s="66">
        <v>672</v>
      </c>
      <c r="G120" s="66">
        <v>672</v>
      </c>
      <c r="H120" s="67">
        <v>1</v>
      </c>
      <c r="I120" s="67">
        <v>1</v>
      </c>
      <c r="J120" s="66"/>
    </row>
    <row r="121" customHeight="1" spans="1:10">
      <c r="A121" s="82"/>
      <c r="B121" s="83"/>
      <c r="C121" s="66" t="s">
        <v>202</v>
      </c>
      <c r="D121" s="66">
        <v>28</v>
      </c>
      <c r="E121" s="66">
        <v>24</v>
      </c>
      <c r="F121" s="66">
        <v>672</v>
      </c>
      <c r="G121" s="66">
        <v>0</v>
      </c>
      <c r="H121" s="67">
        <v>0</v>
      </c>
      <c r="I121" s="67">
        <v>1</v>
      </c>
      <c r="J121" s="66" t="s">
        <v>235</v>
      </c>
    </row>
    <row r="122" customHeight="1" spans="1:10">
      <c r="A122" s="82"/>
      <c r="B122" s="83"/>
      <c r="C122" s="66" t="s">
        <v>203</v>
      </c>
      <c r="D122" s="66">
        <v>28</v>
      </c>
      <c r="E122" s="66">
        <v>24</v>
      </c>
      <c r="F122" s="66">
        <v>672</v>
      </c>
      <c r="G122" s="66">
        <v>672</v>
      </c>
      <c r="H122" s="67">
        <v>1</v>
      </c>
      <c r="I122" s="67">
        <v>1</v>
      </c>
      <c r="J122" s="66"/>
    </row>
    <row r="123" customHeight="1" spans="1:10">
      <c r="A123" s="82"/>
      <c r="B123" s="83"/>
      <c r="C123" s="66" t="s">
        <v>204</v>
      </c>
      <c r="D123" s="66">
        <v>28</v>
      </c>
      <c r="E123" s="66">
        <v>24</v>
      </c>
      <c r="F123" s="66">
        <v>672</v>
      </c>
      <c r="G123" s="66">
        <v>0</v>
      </c>
      <c r="H123" s="67">
        <v>0</v>
      </c>
      <c r="I123" s="67">
        <v>1</v>
      </c>
      <c r="J123" s="66" t="s">
        <v>235</v>
      </c>
    </row>
    <row r="124" customHeight="1" spans="1:10">
      <c r="A124" s="82"/>
      <c r="B124" s="83"/>
      <c r="C124" s="66" t="s">
        <v>205</v>
      </c>
      <c r="D124" s="66">
        <v>28</v>
      </c>
      <c r="E124" s="66">
        <v>24</v>
      </c>
      <c r="F124" s="66">
        <v>672</v>
      </c>
      <c r="G124" s="66">
        <v>672</v>
      </c>
      <c r="H124" s="67">
        <v>1</v>
      </c>
      <c r="I124" s="67">
        <v>1</v>
      </c>
      <c r="J124" s="66"/>
    </row>
    <row r="125" customHeight="1" spans="1:10">
      <c r="A125" s="82"/>
      <c r="B125" s="83"/>
      <c r="C125" s="66" t="s">
        <v>206</v>
      </c>
      <c r="D125" s="66">
        <v>28</v>
      </c>
      <c r="E125" s="66">
        <v>24</v>
      </c>
      <c r="F125" s="66">
        <v>672</v>
      </c>
      <c r="G125" s="66">
        <v>672</v>
      </c>
      <c r="H125" s="67">
        <v>1</v>
      </c>
      <c r="I125" s="67">
        <v>1</v>
      </c>
      <c r="J125" s="66"/>
    </row>
    <row r="126" customHeight="1" spans="1:10">
      <c r="A126" s="82"/>
      <c r="B126" s="83"/>
      <c r="C126" s="66" t="s">
        <v>207</v>
      </c>
      <c r="D126" s="66">
        <v>28</v>
      </c>
      <c r="E126" s="66">
        <v>24</v>
      </c>
      <c r="F126" s="66">
        <v>672</v>
      </c>
      <c r="G126" s="66">
        <v>672</v>
      </c>
      <c r="H126" s="67">
        <v>1</v>
      </c>
      <c r="I126" s="67">
        <v>1</v>
      </c>
      <c r="J126" s="66"/>
    </row>
    <row r="127" customHeight="1" spans="1:10">
      <c r="A127" s="82"/>
      <c r="B127" s="83"/>
      <c r="C127" s="66" t="s">
        <v>208</v>
      </c>
      <c r="D127" s="66">
        <v>28</v>
      </c>
      <c r="E127" s="66">
        <v>24</v>
      </c>
      <c r="F127" s="66">
        <v>672</v>
      </c>
      <c r="G127" s="66">
        <v>672</v>
      </c>
      <c r="H127" s="67">
        <v>1</v>
      </c>
      <c r="I127" s="67">
        <v>1</v>
      </c>
      <c r="J127" s="66"/>
    </row>
    <row r="128" customHeight="1" spans="1:10">
      <c r="A128" s="82"/>
      <c r="B128" s="83"/>
      <c r="C128" s="66" t="s">
        <v>210</v>
      </c>
      <c r="D128" s="66">
        <v>28</v>
      </c>
      <c r="E128" s="66">
        <v>24</v>
      </c>
      <c r="F128" s="66">
        <v>672</v>
      </c>
      <c r="G128" s="66">
        <v>672</v>
      </c>
      <c r="H128" s="67">
        <v>1</v>
      </c>
      <c r="I128" s="67">
        <v>1</v>
      </c>
      <c r="J128" s="66"/>
    </row>
    <row r="129" customHeight="1" spans="1:10">
      <c r="A129" s="82"/>
      <c r="B129" s="83"/>
      <c r="C129" s="66" t="s">
        <v>211</v>
      </c>
      <c r="D129" s="66">
        <v>28</v>
      </c>
      <c r="E129" s="66">
        <v>24</v>
      </c>
      <c r="F129" s="66">
        <v>672</v>
      </c>
      <c r="G129" s="66">
        <v>672</v>
      </c>
      <c r="H129" s="67">
        <v>1</v>
      </c>
      <c r="I129" s="67">
        <v>1</v>
      </c>
      <c r="J129" s="66"/>
    </row>
    <row r="130" customHeight="1" spans="1:10">
      <c r="A130" s="82"/>
      <c r="B130" s="83"/>
      <c r="C130" s="66" t="s">
        <v>212</v>
      </c>
      <c r="D130" s="66">
        <v>28</v>
      </c>
      <c r="E130" s="66">
        <v>24</v>
      </c>
      <c r="F130" s="66">
        <v>672</v>
      </c>
      <c r="G130" s="66">
        <v>672</v>
      </c>
      <c r="H130" s="67">
        <v>1</v>
      </c>
      <c r="I130" s="67">
        <v>1</v>
      </c>
      <c r="J130" s="66"/>
    </row>
    <row r="131" customHeight="1" spans="1:10">
      <c r="A131" s="84"/>
      <c r="B131" s="85"/>
      <c r="C131" s="66" t="s">
        <v>213</v>
      </c>
      <c r="D131" s="66">
        <v>28</v>
      </c>
      <c r="E131" s="66">
        <v>24</v>
      </c>
      <c r="F131" s="66">
        <v>672</v>
      </c>
      <c r="G131" s="66">
        <v>672</v>
      </c>
      <c r="H131" s="67">
        <v>1</v>
      </c>
      <c r="I131" s="67">
        <v>1</v>
      </c>
      <c r="J131" s="66"/>
    </row>
    <row r="132" ht="14.25" spans="1:10">
      <c r="A132" s="68" t="s">
        <v>72</v>
      </c>
      <c r="B132" s="68"/>
      <c r="C132" s="15"/>
      <c r="D132" s="15"/>
      <c r="E132" s="69" t="s">
        <v>73</v>
      </c>
      <c r="F132" s="69"/>
      <c r="G132" s="70"/>
      <c r="H132" s="10" t="str">
        <f>H38</f>
        <v>制表时间：2023/3/6</v>
      </c>
      <c r="I132" s="10"/>
      <c r="J132" s="10"/>
    </row>
    <row r="133" ht="7" customHeight="1" spans="2:6">
      <c r="B133" s="86"/>
      <c r="F133" s="87"/>
    </row>
    <row r="134" ht="5" customHeight="1" spans="2:6">
      <c r="B134" s="86"/>
      <c r="F134" s="87"/>
    </row>
    <row r="135" s="53" customFormat="1" ht="29" customHeight="1" spans="1:212">
      <c r="A135" s="58" t="s">
        <v>165</v>
      </c>
      <c r="B135" s="58"/>
      <c r="C135" s="58"/>
      <c r="D135" s="58"/>
      <c r="E135" s="58"/>
      <c r="F135" s="58"/>
      <c r="G135" s="58"/>
      <c r="H135" s="59"/>
      <c r="I135" s="58"/>
      <c r="J135" s="58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/>
      <c r="EV135" s="57"/>
      <c r="EW135" s="57"/>
      <c r="EX135" s="5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57"/>
      <c r="FW135" s="57"/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/>
      <c r="GJ135" s="57"/>
      <c r="GK135" s="57"/>
      <c r="GL135" s="57"/>
      <c r="GM135" s="57"/>
      <c r="GN135" s="57"/>
      <c r="GO135" s="57"/>
      <c r="GP135" s="57"/>
      <c r="GQ135" s="57"/>
      <c r="GR135" s="57"/>
      <c r="GS135" s="57"/>
      <c r="GT135" s="57"/>
      <c r="GU135" s="57"/>
      <c r="GV135" s="57"/>
      <c r="GW135" s="57"/>
      <c r="GX135" s="57"/>
      <c r="GY135" s="57"/>
      <c r="GZ135" s="57"/>
      <c r="HA135" s="57"/>
      <c r="HB135" s="57"/>
      <c r="HC135" s="57"/>
      <c r="HD135" s="57"/>
    </row>
    <row r="136" s="53" customFormat="1" ht="20.1" customHeight="1" spans="1:212">
      <c r="A136" s="60">
        <f>A2</f>
        <v>44958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</row>
    <row r="137" s="53" customFormat="1" ht="20.1" customHeight="1" spans="1:212">
      <c r="A137" s="6" t="s">
        <v>166</v>
      </c>
      <c r="B137" s="6" t="s">
        <v>167</v>
      </c>
      <c r="C137" s="6" t="s">
        <v>168</v>
      </c>
      <c r="D137" s="6" t="s">
        <v>169</v>
      </c>
      <c r="E137" s="61" t="s">
        <v>170</v>
      </c>
      <c r="F137" s="61" t="s">
        <v>171</v>
      </c>
      <c r="G137" s="62" t="s">
        <v>172</v>
      </c>
      <c r="H137" s="63" t="s">
        <v>173</v>
      </c>
      <c r="I137" s="61" t="s">
        <v>174</v>
      </c>
      <c r="J137" s="6" t="s">
        <v>175</v>
      </c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/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</row>
    <row r="138" customHeight="1" spans="1:10">
      <c r="A138" s="6"/>
      <c r="B138" s="6"/>
      <c r="C138" s="6"/>
      <c r="D138" s="6"/>
      <c r="E138" s="61"/>
      <c r="F138" s="61"/>
      <c r="G138" s="62"/>
      <c r="H138" s="63"/>
      <c r="I138" s="61"/>
      <c r="J138" s="6"/>
    </row>
    <row r="139" customHeight="1" spans="1:10">
      <c r="A139" s="64"/>
      <c r="B139" s="6"/>
      <c r="C139" s="64"/>
      <c r="D139" s="6" t="s">
        <v>176</v>
      </c>
      <c r="E139" s="61" t="s">
        <v>177</v>
      </c>
      <c r="F139" s="61" t="s">
        <v>178</v>
      </c>
      <c r="G139" s="62" t="s">
        <v>178</v>
      </c>
      <c r="H139" s="63" t="s">
        <v>179</v>
      </c>
      <c r="I139" s="61" t="s">
        <v>179</v>
      </c>
      <c r="J139" s="6"/>
    </row>
    <row r="140" customHeight="1" spans="1:10">
      <c r="A140" s="65" t="s">
        <v>233</v>
      </c>
      <c r="B140" s="65" t="s">
        <v>236</v>
      </c>
      <c r="C140" s="66" t="s">
        <v>214</v>
      </c>
      <c r="D140" s="66">
        <v>28</v>
      </c>
      <c r="E140" s="66">
        <v>24</v>
      </c>
      <c r="F140" s="66">
        <v>672</v>
      </c>
      <c r="G140" s="66">
        <v>672</v>
      </c>
      <c r="H140" s="67">
        <v>1</v>
      </c>
      <c r="I140" s="67">
        <v>1</v>
      </c>
      <c r="J140" s="66"/>
    </row>
    <row r="141" customHeight="1" spans="1:10">
      <c r="A141" s="66"/>
      <c r="B141" s="66"/>
      <c r="C141" s="66" t="s">
        <v>215</v>
      </c>
      <c r="D141" s="66">
        <v>28</v>
      </c>
      <c r="E141" s="66">
        <v>24</v>
      </c>
      <c r="F141" s="66">
        <v>672</v>
      </c>
      <c r="G141" s="66">
        <v>672</v>
      </c>
      <c r="H141" s="67">
        <v>1</v>
      </c>
      <c r="I141" s="67">
        <v>1</v>
      </c>
      <c r="J141" s="66"/>
    </row>
    <row r="142" customHeight="1" spans="1:10">
      <c r="A142" s="66"/>
      <c r="B142" s="66"/>
      <c r="C142" s="66" t="s">
        <v>216</v>
      </c>
      <c r="D142" s="66">
        <v>28</v>
      </c>
      <c r="E142" s="66">
        <v>24</v>
      </c>
      <c r="F142" s="66">
        <v>672</v>
      </c>
      <c r="G142" s="66">
        <v>672</v>
      </c>
      <c r="H142" s="67">
        <v>1</v>
      </c>
      <c r="I142" s="67">
        <v>1</v>
      </c>
      <c r="J142" s="66"/>
    </row>
    <row r="143" customHeight="1" spans="1:10">
      <c r="A143" s="66"/>
      <c r="B143" s="66"/>
      <c r="C143" s="66" t="s">
        <v>217</v>
      </c>
      <c r="D143" s="66">
        <v>28</v>
      </c>
      <c r="E143" s="66">
        <v>24</v>
      </c>
      <c r="F143" s="66">
        <v>672</v>
      </c>
      <c r="G143" s="66">
        <v>0</v>
      </c>
      <c r="H143" s="67">
        <v>0</v>
      </c>
      <c r="I143" s="67">
        <v>1</v>
      </c>
      <c r="J143" s="66" t="s">
        <v>235</v>
      </c>
    </row>
    <row r="144" customHeight="1" spans="1:10">
      <c r="A144" s="66"/>
      <c r="B144" s="66"/>
      <c r="C144" s="66" t="s">
        <v>218</v>
      </c>
      <c r="D144" s="66">
        <v>28</v>
      </c>
      <c r="E144" s="66">
        <v>24</v>
      </c>
      <c r="F144" s="66">
        <v>672</v>
      </c>
      <c r="G144" s="66">
        <v>672</v>
      </c>
      <c r="H144" s="67">
        <v>1</v>
      </c>
      <c r="I144" s="67">
        <v>1</v>
      </c>
      <c r="J144" s="66"/>
    </row>
    <row r="145" customHeight="1" spans="1:10">
      <c r="A145" s="66"/>
      <c r="B145" s="66"/>
      <c r="C145" s="66" t="s">
        <v>219</v>
      </c>
      <c r="D145" s="66">
        <v>28</v>
      </c>
      <c r="E145" s="66">
        <v>24</v>
      </c>
      <c r="F145" s="66">
        <v>672</v>
      </c>
      <c r="G145" s="66">
        <v>0</v>
      </c>
      <c r="H145" s="67">
        <v>0</v>
      </c>
      <c r="I145" s="67">
        <v>1</v>
      </c>
      <c r="J145" s="66" t="s">
        <v>235</v>
      </c>
    </row>
    <row r="146" customHeight="1" spans="1:10">
      <c r="A146" s="66"/>
      <c r="B146" s="65" t="s">
        <v>237</v>
      </c>
      <c r="C146" s="66" t="s">
        <v>182</v>
      </c>
      <c r="D146" s="66">
        <v>28</v>
      </c>
      <c r="E146" s="66">
        <v>24</v>
      </c>
      <c r="F146" s="66">
        <v>672</v>
      </c>
      <c r="G146" s="66">
        <v>648</v>
      </c>
      <c r="H146" s="80">
        <v>0.96</v>
      </c>
      <c r="I146" s="80">
        <v>0.96</v>
      </c>
      <c r="J146" s="66" t="s">
        <v>238</v>
      </c>
    </row>
    <row r="147" customHeight="1" spans="1:10">
      <c r="A147" s="66"/>
      <c r="B147" s="66"/>
      <c r="C147" s="66" t="s">
        <v>183</v>
      </c>
      <c r="D147" s="66">
        <v>28</v>
      </c>
      <c r="E147" s="66">
        <v>24</v>
      </c>
      <c r="F147" s="66">
        <v>672</v>
      </c>
      <c r="G147" s="66">
        <v>670</v>
      </c>
      <c r="H147" s="80">
        <v>0.99</v>
      </c>
      <c r="I147" s="80">
        <v>0.99</v>
      </c>
      <c r="J147" s="66" t="s">
        <v>239</v>
      </c>
    </row>
    <row r="148" customHeight="1" spans="1:10">
      <c r="A148" s="66"/>
      <c r="B148" s="65" t="s">
        <v>240</v>
      </c>
      <c r="C148" s="66" t="s">
        <v>182</v>
      </c>
      <c r="D148" s="66">
        <v>28</v>
      </c>
      <c r="E148" s="66">
        <v>24</v>
      </c>
      <c r="F148" s="66">
        <v>672</v>
      </c>
      <c r="G148" s="66">
        <v>22</v>
      </c>
      <c r="H148" s="67">
        <v>0.0327380952380952</v>
      </c>
      <c r="I148" s="67">
        <v>1</v>
      </c>
      <c r="J148" s="66"/>
    </row>
    <row r="149" customHeight="1" spans="1:10">
      <c r="A149" s="66"/>
      <c r="B149" s="66"/>
      <c r="C149" s="66" t="s">
        <v>183</v>
      </c>
      <c r="D149" s="66">
        <v>28</v>
      </c>
      <c r="E149" s="66">
        <v>24</v>
      </c>
      <c r="F149" s="66">
        <v>672</v>
      </c>
      <c r="G149" s="66">
        <v>422</v>
      </c>
      <c r="H149" s="67">
        <v>0.62797619047619</v>
      </c>
      <c r="I149" s="67">
        <v>1</v>
      </c>
      <c r="J149" s="66"/>
    </row>
    <row r="150" customHeight="1" spans="1:10">
      <c r="A150" s="66"/>
      <c r="B150" s="66"/>
      <c r="C150" s="66" t="s">
        <v>187</v>
      </c>
      <c r="D150" s="66">
        <v>28</v>
      </c>
      <c r="E150" s="66">
        <v>24</v>
      </c>
      <c r="F150" s="66">
        <v>672</v>
      </c>
      <c r="G150" s="66">
        <v>0</v>
      </c>
      <c r="H150" s="67">
        <v>0</v>
      </c>
      <c r="I150" s="67">
        <v>1</v>
      </c>
      <c r="J150" s="66"/>
    </row>
    <row r="151" customHeight="1" spans="1:10">
      <c r="A151" s="66"/>
      <c r="B151" s="65" t="s">
        <v>241</v>
      </c>
      <c r="C151" s="66" t="s">
        <v>182</v>
      </c>
      <c r="D151" s="66">
        <v>28</v>
      </c>
      <c r="E151" s="66">
        <v>24</v>
      </c>
      <c r="F151" s="66">
        <v>672</v>
      </c>
      <c r="G151" s="66">
        <v>538</v>
      </c>
      <c r="H151" s="67">
        <v>0.800595238095238</v>
      </c>
      <c r="I151" s="67">
        <v>1</v>
      </c>
      <c r="J151" s="66"/>
    </row>
    <row r="152" customHeight="1" spans="1:10">
      <c r="A152" s="66"/>
      <c r="B152" s="66"/>
      <c r="C152" s="66" t="s">
        <v>183</v>
      </c>
      <c r="D152" s="66">
        <v>28</v>
      </c>
      <c r="E152" s="66">
        <v>24</v>
      </c>
      <c r="F152" s="66">
        <v>672</v>
      </c>
      <c r="G152" s="66">
        <v>672</v>
      </c>
      <c r="H152" s="67">
        <v>1</v>
      </c>
      <c r="I152" s="67">
        <v>1</v>
      </c>
      <c r="J152" s="66"/>
    </row>
    <row r="153" customHeight="1" spans="1:10">
      <c r="A153" s="66"/>
      <c r="B153" s="66"/>
      <c r="C153" s="66" t="s">
        <v>187</v>
      </c>
      <c r="D153" s="66">
        <v>28</v>
      </c>
      <c r="E153" s="66">
        <v>24</v>
      </c>
      <c r="F153" s="66">
        <v>672</v>
      </c>
      <c r="G153" s="66">
        <v>672</v>
      </c>
      <c r="H153" s="67">
        <v>1</v>
      </c>
      <c r="I153" s="67">
        <v>1</v>
      </c>
      <c r="J153" s="66"/>
    </row>
    <row r="154" customHeight="1" spans="1:10">
      <c r="A154" s="66"/>
      <c r="B154" s="88" t="s">
        <v>242</v>
      </c>
      <c r="C154" s="89" t="s">
        <v>182</v>
      </c>
      <c r="D154" s="89">
        <v>28</v>
      </c>
      <c r="E154" s="89">
        <v>24</v>
      </c>
      <c r="F154" s="89">
        <v>672</v>
      </c>
      <c r="G154" s="89">
        <v>608</v>
      </c>
      <c r="H154" s="90">
        <v>0.904761904761905</v>
      </c>
      <c r="I154" s="90">
        <v>1</v>
      </c>
      <c r="J154" s="66"/>
    </row>
    <row r="155" customHeight="1" spans="1:10">
      <c r="A155" s="66"/>
      <c r="B155" s="89"/>
      <c r="C155" s="89" t="s">
        <v>183</v>
      </c>
      <c r="D155" s="89">
        <v>28</v>
      </c>
      <c r="E155" s="89">
        <v>24</v>
      </c>
      <c r="F155" s="89">
        <v>672</v>
      </c>
      <c r="G155" s="89">
        <v>248</v>
      </c>
      <c r="H155" s="90">
        <v>0.369047619047619</v>
      </c>
      <c r="I155" s="90">
        <v>1</v>
      </c>
      <c r="J155" s="66"/>
    </row>
    <row r="156" customHeight="1" spans="1:10">
      <c r="A156" s="66"/>
      <c r="B156" s="89"/>
      <c r="C156" s="89" t="s">
        <v>187</v>
      </c>
      <c r="D156" s="89">
        <v>28</v>
      </c>
      <c r="E156" s="89">
        <v>24</v>
      </c>
      <c r="F156" s="89">
        <v>672</v>
      </c>
      <c r="G156" s="89">
        <v>672</v>
      </c>
      <c r="H156" s="90">
        <v>1</v>
      </c>
      <c r="I156" s="90">
        <v>1</v>
      </c>
      <c r="J156" s="66"/>
    </row>
    <row r="157" customHeight="1" spans="1:10">
      <c r="A157" s="66"/>
      <c r="B157" s="89"/>
      <c r="C157" s="89" t="s">
        <v>188</v>
      </c>
      <c r="D157" s="89">
        <v>28</v>
      </c>
      <c r="E157" s="89">
        <v>24</v>
      </c>
      <c r="F157" s="89">
        <v>672</v>
      </c>
      <c r="G157" s="89">
        <v>672</v>
      </c>
      <c r="H157" s="90">
        <v>1</v>
      </c>
      <c r="I157" s="90">
        <v>1</v>
      </c>
      <c r="J157" s="66"/>
    </row>
    <row r="158" customHeight="1" spans="1:10">
      <c r="A158" s="66"/>
      <c r="B158" s="89"/>
      <c r="C158" s="89" t="s">
        <v>189</v>
      </c>
      <c r="D158" s="89">
        <v>28</v>
      </c>
      <c r="E158" s="89">
        <v>24</v>
      </c>
      <c r="F158" s="89">
        <v>672</v>
      </c>
      <c r="G158" s="89">
        <v>248</v>
      </c>
      <c r="H158" s="90">
        <v>0.369047619047619</v>
      </c>
      <c r="I158" s="90">
        <v>1</v>
      </c>
      <c r="J158" s="66"/>
    </row>
    <row r="159" customHeight="1" spans="1:10">
      <c r="A159" s="66"/>
      <c r="B159" s="89"/>
      <c r="C159" s="89" t="s">
        <v>191</v>
      </c>
      <c r="D159" s="89">
        <v>28</v>
      </c>
      <c r="E159" s="89">
        <v>24</v>
      </c>
      <c r="F159" s="89">
        <v>672</v>
      </c>
      <c r="G159" s="89">
        <v>608</v>
      </c>
      <c r="H159" s="90">
        <v>0.904761904761905</v>
      </c>
      <c r="I159" s="90">
        <v>1</v>
      </c>
      <c r="J159" s="66"/>
    </row>
    <row r="160" customHeight="1" spans="1:10">
      <c r="A160" s="65" t="s">
        <v>243</v>
      </c>
      <c r="B160" s="65" t="s">
        <v>244</v>
      </c>
      <c r="C160" s="66" t="s">
        <v>182</v>
      </c>
      <c r="D160" s="66">
        <v>28</v>
      </c>
      <c r="E160" s="66">
        <v>24</v>
      </c>
      <c r="F160" s="66">
        <v>672</v>
      </c>
      <c r="G160" s="66">
        <v>672</v>
      </c>
      <c r="H160" s="67">
        <v>1</v>
      </c>
      <c r="I160" s="67">
        <v>1</v>
      </c>
      <c r="J160" s="66"/>
    </row>
    <row r="161" s="54" customFormat="1" customHeight="1" spans="1:10">
      <c r="A161" s="5"/>
      <c r="B161" s="5"/>
      <c r="C161" s="5" t="s">
        <v>183</v>
      </c>
      <c r="D161" s="5">
        <v>28</v>
      </c>
      <c r="E161" s="5">
        <v>24</v>
      </c>
      <c r="F161" s="5">
        <v>672</v>
      </c>
      <c r="G161" s="5">
        <v>0</v>
      </c>
      <c r="H161" s="80">
        <v>0</v>
      </c>
      <c r="I161" s="80">
        <v>0</v>
      </c>
      <c r="J161" s="5"/>
    </row>
    <row r="162" customHeight="1" spans="1:10">
      <c r="A162" s="66"/>
      <c r="B162" s="66"/>
      <c r="C162" s="66" t="s">
        <v>187</v>
      </c>
      <c r="D162" s="66">
        <v>28</v>
      </c>
      <c r="E162" s="66">
        <v>24</v>
      </c>
      <c r="F162" s="66">
        <v>672</v>
      </c>
      <c r="G162" s="66">
        <v>672</v>
      </c>
      <c r="H162" s="67">
        <v>1</v>
      </c>
      <c r="I162" s="67">
        <v>1</v>
      </c>
      <c r="J162" s="66"/>
    </row>
    <row r="163" ht="17" customHeight="1" spans="1:10">
      <c r="A163" s="66"/>
      <c r="B163" s="66"/>
      <c r="C163" s="66" t="s">
        <v>188</v>
      </c>
      <c r="D163" s="66">
        <v>28</v>
      </c>
      <c r="E163" s="66">
        <v>24</v>
      </c>
      <c r="F163" s="66">
        <v>672</v>
      </c>
      <c r="G163" s="66">
        <v>0</v>
      </c>
      <c r="H163" s="67">
        <v>0</v>
      </c>
      <c r="I163" s="67">
        <v>0</v>
      </c>
      <c r="J163" s="66"/>
    </row>
    <row r="164" customHeight="1" spans="1:10">
      <c r="A164" s="66"/>
      <c r="B164" s="66"/>
      <c r="C164" s="66" t="s">
        <v>189</v>
      </c>
      <c r="D164" s="66">
        <v>28</v>
      </c>
      <c r="E164" s="66">
        <v>24</v>
      </c>
      <c r="F164" s="66">
        <v>672</v>
      </c>
      <c r="G164" s="66">
        <v>672</v>
      </c>
      <c r="H164" s="67">
        <v>1</v>
      </c>
      <c r="I164" s="67">
        <v>1</v>
      </c>
      <c r="J164" s="66"/>
    </row>
    <row r="165" customHeight="1" spans="1:10">
      <c r="A165" s="66"/>
      <c r="B165" s="66"/>
      <c r="C165" s="66" t="s">
        <v>191</v>
      </c>
      <c r="D165" s="66">
        <v>28</v>
      </c>
      <c r="E165" s="66">
        <v>24</v>
      </c>
      <c r="F165" s="66">
        <v>672</v>
      </c>
      <c r="G165" s="66">
        <v>0</v>
      </c>
      <c r="H165" s="67">
        <v>0</v>
      </c>
      <c r="I165" s="67">
        <v>0</v>
      </c>
      <c r="J165" s="66"/>
    </row>
    <row r="166" customHeight="1" spans="1:10">
      <c r="A166" s="66"/>
      <c r="B166" s="66"/>
      <c r="C166" s="66" t="s">
        <v>197</v>
      </c>
      <c r="D166" s="66">
        <v>28</v>
      </c>
      <c r="E166" s="66">
        <v>24</v>
      </c>
      <c r="F166" s="66">
        <v>672</v>
      </c>
      <c r="G166" s="66">
        <v>0</v>
      </c>
      <c r="H166" s="67">
        <v>0</v>
      </c>
      <c r="I166" s="67">
        <v>0</v>
      </c>
      <c r="J166" s="66"/>
    </row>
    <row r="167" customHeight="1" spans="1:10">
      <c r="A167" s="66"/>
      <c r="B167" s="66"/>
      <c r="C167" s="66" t="s">
        <v>198</v>
      </c>
      <c r="D167" s="66">
        <v>28</v>
      </c>
      <c r="E167" s="66">
        <v>24</v>
      </c>
      <c r="F167" s="66">
        <v>672</v>
      </c>
      <c r="G167" s="66">
        <v>672</v>
      </c>
      <c r="H167" s="67">
        <v>1</v>
      </c>
      <c r="I167" s="67">
        <v>1</v>
      </c>
      <c r="J167" s="66"/>
    </row>
    <row r="168" customHeight="1" spans="1:10">
      <c r="A168" s="66"/>
      <c r="B168" s="66"/>
      <c r="C168" s="66" t="s">
        <v>199</v>
      </c>
      <c r="D168" s="66">
        <v>28</v>
      </c>
      <c r="E168" s="66">
        <v>24</v>
      </c>
      <c r="F168" s="66">
        <v>672</v>
      </c>
      <c r="G168" s="66">
        <v>672</v>
      </c>
      <c r="H168" s="67">
        <v>1</v>
      </c>
      <c r="I168" s="67">
        <v>1</v>
      </c>
      <c r="J168" s="66"/>
    </row>
    <row r="169" customHeight="1" spans="1:10">
      <c r="A169" s="66"/>
      <c r="B169" s="66"/>
      <c r="C169" s="66" t="s">
        <v>200</v>
      </c>
      <c r="D169" s="66">
        <v>28</v>
      </c>
      <c r="E169" s="66">
        <v>24</v>
      </c>
      <c r="F169" s="66">
        <v>672</v>
      </c>
      <c r="G169" s="66">
        <v>672</v>
      </c>
      <c r="H169" s="67">
        <v>1</v>
      </c>
      <c r="I169" s="67">
        <v>1</v>
      </c>
      <c r="J169" s="66"/>
    </row>
    <row r="170" customHeight="1" spans="1:10">
      <c r="A170" s="66"/>
      <c r="B170" s="66"/>
      <c r="C170" s="66" t="s">
        <v>201</v>
      </c>
      <c r="D170" s="66">
        <v>28</v>
      </c>
      <c r="E170" s="66">
        <v>24</v>
      </c>
      <c r="F170" s="66">
        <v>672</v>
      </c>
      <c r="G170" s="66">
        <v>672</v>
      </c>
      <c r="H170" s="67">
        <v>1</v>
      </c>
      <c r="I170" s="67">
        <v>1</v>
      </c>
      <c r="J170" s="66"/>
    </row>
    <row r="171" customHeight="1" spans="1:10">
      <c r="A171" s="66"/>
      <c r="B171" s="66"/>
      <c r="C171" s="66" t="s">
        <v>202</v>
      </c>
      <c r="D171" s="66">
        <v>28</v>
      </c>
      <c r="E171" s="66">
        <v>24</v>
      </c>
      <c r="F171" s="66">
        <v>672</v>
      </c>
      <c r="G171" s="66">
        <v>672</v>
      </c>
      <c r="H171" s="67">
        <v>1</v>
      </c>
      <c r="I171" s="67">
        <v>1</v>
      </c>
      <c r="J171" s="66"/>
    </row>
    <row r="172" customHeight="1" spans="1:10">
      <c r="A172" s="66"/>
      <c r="B172" s="66"/>
      <c r="C172" s="66" t="s">
        <v>203</v>
      </c>
      <c r="D172" s="66">
        <v>28</v>
      </c>
      <c r="E172" s="66">
        <v>24</v>
      </c>
      <c r="F172" s="66">
        <v>672</v>
      </c>
      <c r="G172" s="66">
        <v>672</v>
      </c>
      <c r="H172" s="67">
        <v>1</v>
      </c>
      <c r="I172" s="67">
        <v>1</v>
      </c>
      <c r="J172" s="66"/>
    </row>
    <row r="173" customHeight="1" spans="1:10">
      <c r="A173" s="66"/>
      <c r="B173" s="66"/>
      <c r="C173" s="66" t="s">
        <v>204</v>
      </c>
      <c r="D173" s="66">
        <v>28</v>
      </c>
      <c r="E173" s="66">
        <v>24</v>
      </c>
      <c r="F173" s="66">
        <v>672</v>
      </c>
      <c r="G173" s="66">
        <v>672</v>
      </c>
      <c r="H173" s="67">
        <v>1</v>
      </c>
      <c r="I173" s="67">
        <v>1</v>
      </c>
      <c r="J173" s="66"/>
    </row>
    <row r="174" customHeight="1" spans="1:10">
      <c r="A174" s="66"/>
      <c r="B174" s="66"/>
      <c r="C174" s="66" t="s">
        <v>205</v>
      </c>
      <c r="D174" s="66">
        <v>28</v>
      </c>
      <c r="E174" s="66">
        <v>24</v>
      </c>
      <c r="F174" s="66">
        <v>672</v>
      </c>
      <c r="G174" s="66">
        <v>672</v>
      </c>
      <c r="H174" s="67">
        <v>1</v>
      </c>
      <c r="I174" s="67">
        <v>1</v>
      </c>
      <c r="J174" s="66"/>
    </row>
    <row r="175" customHeight="1" spans="1:10">
      <c r="A175" s="66"/>
      <c r="B175" s="66"/>
      <c r="C175" s="66" t="s">
        <v>206</v>
      </c>
      <c r="D175" s="66">
        <v>28</v>
      </c>
      <c r="E175" s="66">
        <v>24</v>
      </c>
      <c r="F175" s="66">
        <v>672</v>
      </c>
      <c r="G175" s="66">
        <v>672</v>
      </c>
      <c r="H175" s="67">
        <v>1</v>
      </c>
      <c r="I175" s="67">
        <v>1</v>
      </c>
      <c r="J175" s="66"/>
    </row>
    <row r="176" ht="14.25" spans="1:10">
      <c r="A176" s="66"/>
      <c r="B176" s="66"/>
      <c r="C176" s="66" t="s">
        <v>207</v>
      </c>
      <c r="D176" s="66">
        <v>28</v>
      </c>
      <c r="E176" s="66">
        <v>24</v>
      </c>
      <c r="F176" s="66">
        <v>672</v>
      </c>
      <c r="G176" s="66">
        <v>0</v>
      </c>
      <c r="H176" s="67">
        <v>0</v>
      </c>
      <c r="I176" s="67">
        <v>1</v>
      </c>
      <c r="J176" s="66" t="s">
        <v>235</v>
      </c>
    </row>
    <row r="177" ht="14.25" spans="1:10">
      <c r="A177" s="66"/>
      <c r="B177" s="66"/>
      <c r="C177" s="66" t="s">
        <v>208</v>
      </c>
      <c r="D177" s="66">
        <v>28</v>
      </c>
      <c r="E177" s="66">
        <v>24</v>
      </c>
      <c r="F177" s="66">
        <v>672</v>
      </c>
      <c r="G177" s="66">
        <v>0</v>
      </c>
      <c r="H177" s="67">
        <v>0</v>
      </c>
      <c r="I177" s="67">
        <v>1</v>
      </c>
      <c r="J177" s="66" t="s">
        <v>235</v>
      </c>
    </row>
    <row r="178" customHeight="1" spans="1:10">
      <c r="A178" s="68" t="s">
        <v>72</v>
      </c>
      <c r="B178" s="68"/>
      <c r="C178" s="15"/>
      <c r="D178" s="15"/>
      <c r="E178" s="69" t="s">
        <v>73</v>
      </c>
      <c r="F178" s="69"/>
      <c r="G178" s="70"/>
      <c r="H178" s="10" t="str">
        <f>H38</f>
        <v>制表时间：2023/3/6</v>
      </c>
      <c r="I178" s="10"/>
      <c r="J178" s="10"/>
    </row>
    <row r="179" ht="28" customHeight="1" spans="1:10">
      <c r="A179" s="58" t="s">
        <v>165</v>
      </c>
      <c r="B179" s="58"/>
      <c r="C179" s="58"/>
      <c r="D179" s="58"/>
      <c r="E179" s="58"/>
      <c r="F179" s="58"/>
      <c r="G179" s="58"/>
      <c r="H179" s="59"/>
      <c r="I179" s="58"/>
      <c r="J179" s="58"/>
    </row>
    <row r="180" ht="18" customHeight="1" spans="1:10">
      <c r="A180" s="60">
        <f>A2</f>
        <v>44958</v>
      </c>
      <c r="B180" s="60"/>
      <c r="C180" s="60"/>
      <c r="D180" s="60"/>
      <c r="E180" s="60"/>
      <c r="F180" s="60"/>
      <c r="G180" s="60"/>
      <c r="H180" s="60"/>
      <c r="I180" s="60"/>
      <c r="J180" s="60"/>
    </row>
    <row r="181" customHeight="1" spans="1:10">
      <c r="A181" s="6" t="s">
        <v>166</v>
      </c>
      <c r="B181" s="6" t="s">
        <v>167</v>
      </c>
      <c r="C181" s="6" t="s">
        <v>168</v>
      </c>
      <c r="D181" s="6" t="s">
        <v>169</v>
      </c>
      <c r="E181" s="61" t="s">
        <v>170</v>
      </c>
      <c r="F181" s="61" t="s">
        <v>171</v>
      </c>
      <c r="G181" s="62" t="s">
        <v>172</v>
      </c>
      <c r="H181" s="63" t="s">
        <v>173</v>
      </c>
      <c r="I181" s="61" t="s">
        <v>174</v>
      </c>
      <c r="J181" s="6" t="s">
        <v>175</v>
      </c>
    </row>
    <row r="182" customHeight="1" spans="1:10">
      <c r="A182" s="6"/>
      <c r="B182" s="6"/>
      <c r="C182" s="6"/>
      <c r="D182" s="6"/>
      <c r="E182" s="61"/>
      <c r="F182" s="61"/>
      <c r="G182" s="62"/>
      <c r="H182" s="63"/>
      <c r="I182" s="61"/>
      <c r="J182" s="6"/>
    </row>
    <row r="183" customHeight="1" spans="1:10">
      <c r="A183" s="64"/>
      <c r="B183" s="6"/>
      <c r="C183" s="64"/>
      <c r="D183" s="6" t="s">
        <v>176</v>
      </c>
      <c r="E183" s="61" t="s">
        <v>177</v>
      </c>
      <c r="F183" s="61" t="s">
        <v>178</v>
      </c>
      <c r="G183" s="62" t="s">
        <v>178</v>
      </c>
      <c r="H183" s="63" t="s">
        <v>179</v>
      </c>
      <c r="I183" s="61" t="s">
        <v>179</v>
      </c>
      <c r="J183" s="6"/>
    </row>
    <row r="184" customHeight="1" spans="1:10">
      <c r="A184" s="65" t="s">
        <v>243</v>
      </c>
      <c r="B184" s="65" t="s">
        <v>244</v>
      </c>
      <c r="C184" s="66" t="s">
        <v>210</v>
      </c>
      <c r="D184" s="66">
        <v>28</v>
      </c>
      <c r="E184" s="66">
        <v>24</v>
      </c>
      <c r="F184" s="66">
        <v>672</v>
      </c>
      <c r="G184" s="66">
        <v>672</v>
      </c>
      <c r="H184" s="67">
        <v>1</v>
      </c>
      <c r="I184" s="67">
        <v>1</v>
      </c>
      <c r="J184" s="66"/>
    </row>
    <row r="185" customHeight="1" spans="1:10">
      <c r="A185" s="66"/>
      <c r="B185" s="66"/>
      <c r="C185" s="66" t="s">
        <v>211</v>
      </c>
      <c r="D185" s="66">
        <v>28</v>
      </c>
      <c r="E185" s="66">
        <v>24</v>
      </c>
      <c r="F185" s="66">
        <v>672</v>
      </c>
      <c r="G185" s="66">
        <v>672</v>
      </c>
      <c r="H185" s="67">
        <v>1</v>
      </c>
      <c r="I185" s="67">
        <v>1</v>
      </c>
      <c r="J185" s="66"/>
    </row>
    <row r="186" ht="20" customHeight="1" spans="1:10">
      <c r="A186" s="66"/>
      <c r="B186" s="66"/>
      <c r="C186" s="66" t="s">
        <v>212</v>
      </c>
      <c r="D186" s="66">
        <v>28</v>
      </c>
      <c r="E186" s="66">
        <v>24</v>
      </c>
      <c r="F186" s="66">
        <v>672</v>
      </c>
      <c r="G186" s="66">
        <v>672</v>
      </c>
      <c r="H186" s="67">
        <v>1</v>
      </c>
      <c r="I186" s="67">
        <v>1</v>
      </c>
      <c r="J186" s="66"/>
    </row>
    <row r="187" customHeight="1" spans="1:10">
      <c r="A187" s="66"/>
      <c r="B187" s="66"/>
      <c r="C187" s="66" t="s">
        <v>213</v>
      </c>
      <c r="D187" s="66">
        <v>28</v>
      </c>
      <c r="E187" s="66">
        <v>24</v>
      </c>
      <c r="F187" s="66">
        <v>672</v>
      </c>
      <c r="G187" s="66">
        <v>672</v>
      </c>
      <c r="H187" s="67">
        <v>1</v>
      </c>
      <c r="I187" s="67">
        <v>1</v>
      </c>
      <c r="J187" s="66"/>
    </row>
    <row r="188" customHeight="1" spans="1:10">
      <c r="A188" s="66"/>
      <c r="B188" s="66"/>
      <c r="C188" s="66" t="s">
        <v>214</v>
      </c>
      <c r="D188" s="66">
        <v>28</v>
      </c>
      <c r="E188" s="66">
        <v>24</v>
      </c>
      <c r="F188" s="66">
        <v>672</v>
      </c>
      <c r="G188" s="66">
        <v>672</v>
      </c>
      <c r="H188" s="67">
        <v>1</v>
      </c>
      <c r="I188" s="67">
        <v>1</v>
      </c>
      <c r="J188" s="66"/>
    </row>
    <row r="189" customHeight="1" spans="1:10">
      <c r="A189" s="66"/>
      <c r="B189" s="66"/>
      <c r="C189" s="66" t="s">
        <v>215</v>
      </c>
      <c r="D189" s="66">
        <v>28</v>
      </c>
      <c r="E189" s="66">
        <v>24</v>
      </c>
      <c r="F189" s="66">
        <v>672</v>
      </c>
      <c r="G189" s="66">
        <v>672</v>
      </c>
      <c r="H189" s="67">
        <v>1</v>
      </c>
      <c r="I189" s="67">
        <v>1</v>
      </c>
      <c r="J189" s="66"/>
    </row>
    <row r="190" customHeight="1" spans="1:10">
      <c r="A190" s="66"/>
      <c r="B190" s="66"/>
      <c r="C190" s="66" t="s">
        <v>216</v>
      </c>
      <c r="D190" s="66">
        <v>28</v>
      </c>
      <c r="E190" s="66">
        <v>24</v>
      </c>
      <c r="F190" s="66">
        <v>672</v>
      </c>
      <c r="G190" s="66">
        <v>672</v>
      </c>
      <c r="H190" s="67">
        <v>1</v>
      </c>
      <c r="I190" s="67">
        <v>1</v>
      </c>
      <c r="J190" s="66"/>
    </row>
    <row r="191" customHeight="1" spans="1:10">
      <c r="A191" s="66"/>
      <c r="B191" s="66"/>
      <c r="C191" s="66" t="s">
        <v>217</v>
      </c>
      <c r="D191" s="66">
        <v>28</v>
      </c>
      <c r="E191" s="66">
        <v>24</v>
      </c>
      <c r="F191" s="66">
        <v>672</v>
      </c>
      <c r="G191" s="66">
        <v>672</v>
      </c>
      <c r="H191" s="67">
        <v>1</v>
      </c>
      <c r="I191" s="67">
        <v>1</v>
      </c>
      <c r="J191" s="66"/>
    </row>
    <row r="192" customHeight="1" spans="1:10">
      <c r="A192" s="66"/>
      <c r="B192" s="66"/>
      <c r="C192" s="66" t="s">
        <v>218</v>
      </c>
      <c r="D192" s="66">
        <v>28</v>
      </c>
      <c r="E192" s="66">
        <v>24</v>
      </c>
      <c r="F192" s="66">
        <v>672</v>
      </c>
      <c r="G192" s="66">
        <v>672</v>
      </c>
      <c r="H192" s="67">
        <v>1</v>
      </c>
      <c r="I192" s="67">
        <v>1</v>
      </c>
      <c r="J192" s="66"/>
    </row>
    <row r="193" customHeight="1" spans="1:10">
      <c r="A193" s="66"/>
      <c r="B193" s="66"/>
      <c r="C193" s="66" t="s">
        <v>219</v>
      </c>
      <c r="D193" s="66">
        <v>28</v>
      </c>
      <c r="E193" s="66">
        <v>24</v>
      </c>
      <c r="F193" s="66">
        <v>672</v>
      </c>
      <c r="G193" s="66">
        <v>0</v>
      </c>
      <c r="H193" s="67">
        <v>0</v>
      </c>
      <c r="I193" s="67">
        <v>0</v>
      </c>
      <c r="J193" s="66"/>
    </row>
    <row r="194" customHeight="1" spans="1:10">
      <c r="A194" s="66"/>
      <c r="B194" s="66"/>
      <c r="C194" s="66" t="s">
        <v>220</v>
      </c>
      <c r="D194" s="66">
        <v>28</v>
      </c>
      <c r="E194" s="66">
        <v>24</v>
      </c>
      <c r="F194" s="66">
        <v>672</v>
      </c>
      <c r="G194" s="66">
        <v>672</v>
      </c>
      <c r="H194" s="67">
        <v>1</v>
      </c>
      <c r="I194" s="67">
        <v>1</v>
      </c>
      <c r="J194" s="66"/>
    </row>
    <row r="195" customHeight="1" spans="1:10">
      <c r="A195" s="66"/>
      <c r="B195" s="66"/>
      <c r="C195" s="66" t="s">
        <v>221</v>
      </c>
      <c r="D195" s="66">
        <v>28</v>
      </c>
      <c r="E195" s="66">
        <v>24</v>
      </c>
      <c r="F195" s="66">
        <v>672</v>
      </c>
      <c r="G195" s="66">
        <v>0</v>
      </c>
      <c r="H195" s="67">
        <v>0</v>
      </c>
      <c r="I195" s="67">
        <v>0</v>
      </c>
      <c r="J195" s="66"/>
    </row>
    <row r="196" customHeight="1" spans="1:10">
      <c r="A196" s="66"/>
      <c r="B196" s="66"/>
      <c r="C196" s="66" t="s">
        <v>222</v>
      </c>
      <c r="D196" s="66">
        <v>28</v>
      </c>
      <c r="E196" s="66">
        <v>24</v>
      </c>
      <c r="F196" s="66">
        <v>672</v>
      </c>
      <c r="G196" s="66">
        <v>672</v>
      </c>
      <c r="H196" s="67">
        <v>1</v>
      </c>
      <c r="I196" s="67">
        <v>1</v>
      </c>
      <c r="J196" s="66"/>
    </row>
    <row r="197" customHeight="1" spans="1:10">
      <c r="A197" s="66"/>
      <c r="B197" s="66"/>
      <c r="C197" s="66" t="s">
        <v>223</v>
      </c>
      <c r="D197" s="66">
        <v>28</v>
      </c>
      <c r="E197" s="66">
        <v>24</v>
      </c>
      <c r="F197" s="66">
        <v>672</v>
      </c>
      <c r="G197" s="66">
        <v>672</v>
      </c>
      <c r="H197" s="67">
        <v>1</v>
      </c>
      <c r="I197" s="67">
        <v>1</v>
      </c>
      <c r="J197" s="66"/>
    </row>
    <row r="198" customHeight="1" spans="1:10">
      <c r="A198" s="66"/>
      <c r="B198" s="66"/>
      <c r="C198" s="66" t="s">
        <v>224</v>
      </c>
      <c r="D198" s="66">
        <v>28</v>
      </c>
      <c r="E198" s="66">
        <v>24</v>
      </c>
      <c r="F198" s="66">
        <v>672</v>
      </c>
      <c r="G198" s="66">
        <v>672</v>
      </c>
      <c r="H198" s="67">
        <v>1</v>
      </c>
      <c r="I198" s="67">
        <v>1</v>
      </c>
      <c r="J198" s="66"/>
    </row>
    <row r="199" customHeight="1" spans="1:10">
      <c r="A199" s="66"/>
      <c r="B199" s="66"/>
      <c r="C199" s="66" t="s">
        <v>225</v>
      </c>
      <c r="D199" s="66">
        <v>28</v>
      </c>
      <c r="E199" s="66">
        <v>24</v>
      </c>
      <c r="F199" s="66">
        <v>672</v>
      </c>
      <c r="G199" s="66">
        <v>672</v>
      </c>
      <c r="H199" s="67">
        <v>1</v>
      </c>
      <c r="I199" s="67">
        <v>1</v>
      </c>
      <c r="J199" s="66"/>
    </row>
    <row r="200" customHeight="1" spans="1:10">
      <c r="A200" s="66"/>
      <c r="B200" s="66"/>
      <c r="C200" s="66" t="s">
        <v>226</v>
      </c>
      <c r="D200" s="66">
        <v>28</v>
      </c>
      <c r="E200" s="66">
        <v>24</v>
      </c>
      <c r="F200" s="66">
        <v>672</v>
      </c>
      <c r="G200" s="66">
        <v>0</v>
      </c>
      <c r="H200" s="67">
        <v>0</v>
      </c>
      <c r="I200" s="67">
        <v>1</v>
      </c>
      <c r="J200" s="66" t="s">
        <v>235</v>
      </c>
    </row>
    <row r="201" customHeight="1" spans="1:10">
      <c r="A201" s="66"/>
      <c r="B201" s="66"/>
      <c r="C201" s="66" t="s">
        <v>227</v>
      </c>
      <c r="D201" s="66">
        <v>28</v>
      </c>
      <c r="E201" s="66">
        <v>24</v>
      </c>
      <c r="F201" s="66">
        <v>672</v>
      </c>
      <c r="G201" s="66">
        <v>0</v>
      </c>
      <c r="H201" s="67">
        <v>0</v>
      </c>
      <c r="I201" s="67">
        <v>1</v>
      </c>
      <c r="J201" s="66" t="s">
        <v>235</v>
      </c>
    </row>
    <row r="202" customHeight="1" spans="1:10">
      <c r="A202" s="66"/>
      <c r="B202" s="65" t="s">
        <v>237</v>
      </c>
      <c r="C202" s="66" t="s">
        <v>187</v>
      </c>
      <c r="D202" s="66">
        <v>28</v>
      </c>
      <c r="E202" s="66">
        <v>24</v>
      </c>
      <c r="F202" s="66">
        <v>672</v>
      </c>
      <c r="G202" s="66">
        <v>672</v>
      </c>
      <c r="H202" s="67">
        <v>1</v>
      </c>
      <c r="I202" s="67">
        <v>1</v>
      </c>
      <c r="J202" s="66" t="s">
        <v>229</v>
      </c>
    </row>
    <row r="203" customHeight="1" spans="1:10">
      <c r="A203" s="66"/>
      <c r="B203" s="66"/>
      <c r="C203" s="66" t="s">
        <v>188</v>
      </c>
      <c r="D203" s="66">
        <v>28</v>
      </c>
      <c r="E203" s="66">
        <v>24</v>
      </c>
      <c r="F203" s="66">
        <v>672</v>
      </c>
      <c r="G203" s="66">
        <v>672</v>
      </c>
      <c r="H203" s="67">
        <v>1</v>
      </c>
      <c r="I203" s="67">
        <v>1</v>
      </c>
      <c r="J203" s="66" t="s">
        <v>229</v>
      </c>
    </row>
    <row r="204" customHeight="1" spans="1:10">
      <c r="A204" s="66"/>
      <c r="B204" s="65" t="s">
        <v>241</v>
      </c>
      <c r="C204" s="66" t="s">
        <v>188</v>
      </c>
      <c r="D204" s="66">
        <v>28</v>
      </c>
      <c r="E204" s="66">
        <v>24</v>
      </c>
      <c r="F204" s="66">
        <v>672</v>
      </c>
      <c r="G204" s="66">
        <v>672</v>
      </c>
      <c r="H204" s="67">
        <v>1</v>
      </c>
      <c r="I204" s="67">
        <v>1</v>
      </c>
      <c r="J204" s="66"/>
    </row>
    <row r="205" customHeight="1" spans="1:10">
      <c r="A205" s="66"/>
      <c r="B205" s="66"/>
      <c r="C205" s="66" t="s">
        <v>189</v>
      </c>
      <c r="D205" s="66">
        <v>28</v>
      </c>
      <c r="E205" s="66">
        <v>24</v>
      </c>
      <c r="F205" s="66">
        <v>672</v>
      </c>
      <c r="G205" s="66">
        <v>672</v>
      </c>
      <c r="H205" s="67">
        <v>1</v>
      </c>
      <c r="I205" s="67">
        <v>1</v>
      </c>
      <c r="J205" s="66"/>
    </row>
    <row r="206" customHeight="1" spans="1:10">
      <c r="A206" s="66"/>
      <c r="B206" s="66"/>
      <c r="C206" s="66" t="s">
        <v>191</v>
      </c>
      <c r="D206" s="66">
        <v>28</v>
      </c>
      <c r="E206" s="66">
        <v>24</v>
      </c>
      <c r="F206" s="66">
        <v>672</v>
      </c>
      <c r="G206" s="66">
        <v>672</v>
      </c>
      <c r="H206" s="67">
        <v>1</v>
      </c>
      <c r="I206" s="67">
        <v>1</v>
      </c>
      <c r="J206" s="66"/>
    </row>
    <row r="207" customHeight="1" spans="1:10">
      <c r="A207" s="66"/>
      <c r="B207" s="65" t="s">
        <v>242</v>
      </c>
      <c r="C207" s="66" t="s">
        <v>182</v>
      </c>
      <c r="D207" s="66">
        <v>28</v>
      </c>
      <c r="E207" s="66">
        <v>24</v>
      </c>
      <c r="F207" s="66">
        <v>672</v>
      </c>
      <c r="G207" s="66">
        <v>672</v>
      </c>
      <c r="H207" s="67">
        <v>1</v>
      </c>
      <c r="I207" s="67">
        <v>1</v>
      </c>
      <c r="J207" s="66"/>
    </row>
    <row r="208" customHeight="1" spans="1:10">
      <c r="A208" s="66"/>
      <c r="B208" s="66"/>
      <c r="C208" s="66" t="s">
        <v>183</v>
      </c>
      <c r="D208" s="66">
        <v>28</v>
      </c>
      <c r="E208" s="66">
        <v>24</v>
      </c>
      <c r="F208" s="66">
        <v>672</v>
      </c>
      <c r="G208" s="66">
        <v>288</v>
      </c>
      <c r="H208" s="67">
        <v>0.428571428571429</v>
      </c>
      <c r="I208" s="67">
        <v>1</v>
      </c>
      <c r="J208" s="66"/>
    </row>
    <row r="209" customHeight="1" spans="1:10">
      <c r="A209" s="66"/>
      <c r="B209" s="66"/>
      <c r="C209" s="66" t="s">
        <v>187</v>
      </c>
      <c r="D209" s="66">
        <v>28</v>
      </c>
      <c r="E209" s="66">
        <v>24</v>
      </c>
      <c r="F209" s="66">
        <v>672</v>
      </c>
      <c r="G209" s="66">
        <v>672</v>
      </c>
      <c r="H209" s="67">
        <v>1</v>
      </c>
      <c r="I209" s="67">
        <v>1</v>
      </c>
      <c r="J209" s="66"/>
    </row>
    <row r="210" customHeight="1" spans="1:10">
      <c r="A210" s="66"/>
      <c r="B210" s="66"/>
      <c r="C210" s="66" t="s">
        <v>188</v>
      </c>
      <c r="D210" s="66">
        <v>28</v>
      </c>
      <c r="E210" s="66">
        <v>24</v>
      </c>
      <c r="F210" s="66">
        <v>672</v>
      </c>
      <c r="G210" s="66">
        <v>336</v>
      </c>
      <c r="H210" s="67">
        <v>0.5</v>
      </c>
      <c r="I210" s="67">
        <v>1</v>
      </c>
      <c r="J210" s="66"/>
    </row>
    <row r="211" customHeight="1" spans="1:10">
      <c r="A211" s="66"/>
      <c r="B211" s="66"/>
      <c r="C211" s="66" t="s">
        <v>189</v>
      </c>
      <c r="D211" s="66">
        <v>28</v>
      </c>
      <c r="E211" s="66">
        <v>24</v>
      </c>
      <c r="F211" s="66">
        <v>672</v>
      </c>
      <c r="G211" s="66">
        <v>288</v>
      </c>
      <c r="H211" s="67">
        <v>0.428571428571429</v>
      </c>
      <c r="I211" s="67">
        <v>1</v>
      </c>
      <c r="J211" s="66"/>
    </row>
    <row r="212" customHeight="1" spans="1:10">
      <c r="A212" s="66"/>
      <c r="B212" s="66"/>
      <c r="C212" s="66" t="s">
        <v>191</v>
      </c>
      <c r="D212" s="66">
        <v>28</v>
      </c>
      <c r="E212" s="66">
        <v>24</v>
      </c>
      <c r="F212" s="66">
        <v>672</v>
      </c>
      <c r="G212" s="66">
        <v>672</v>
      </c>
      <c r="H212" s="67">
        <v>1</v>
      </c>
      <c r="I212" s="67">
        <v>1</v>
      </c>
      <c r="J212" s="66"/>
    </row>
    <row r="213" customHeight="1" spans="1:10">
      <c r="A213" s="81" t="s">
        <v>245</v>
      </c>
      <c r="B213" s="65" t="s">
        <v>246</v>
      </c>
      <c r="C213" s="66" t="s">
        <v>182</v>
      </c>
      <c r="D213" s="66">
        <v>28</v>
      </c>
      <c r="E213" s="66">
        <v>24</v>
      </c>
      <c r="F213" s="66">
        <v>672</v>
      </c>
      <c r="G213" s="66">
        <v>672</v>
      </c>
      <c r="H213" s="67">
        <v>1</v>
      </c>
      <c r="I213" s="67">
        <v>1</v>
      </c>
      <c r="J213" s="66"/>
    </row>
    <row r="214" customHeight="1" spans="1:10">
      <c r="A214" s="82"/>
      <c r="B214" s="66"/>
      <c r="C214" s="66" t="s">
        <v>183</v>
      </c>
      <c r="D214" s="66">
        <v>28</v>
      </c>
      <c r="E214" s="66">
        <v>24</v>
      </c>
      <c r="F214" s="66">
        <v>672</v>
      </c>
      <c r="G214" s="66">
        <v>0</v>
      </c>
      <c r="H214" s="67">
        <v>0</v>
      </c>
      <c r="I214" s="67">
        <v>1</v>
      </c>
      <c r="J214" s="66"/>
    </row>
    <row r="215" customHeight="1" spans="1:10">
      <c r="A215" s="82"/>
      <c r="B215" s="66"/>
      <c r="C215" s="66" t="s">
        <v>187</v>
      </c>
      <c r="D215" s="66">
        <v>28</v>
      </c>
      <c r="E215" s="66">
        <v>24</v>
      </c>
      <c r="F215" s="66">
        <v>672</v>
      </c>
      <c r="G215" s="66">
        <v>672</v>
      </c>
      <c r="H215" s="67">
        <v>1</v>
      </c>
      <c r="I215" s="67">
        <v>1</v>
      </c>
      <c r="J215" s="66"/>
    </row>
    <row r="216" customHeight="1" spans="1:10">
      <c r="A216" s="82"/>
      <c r="B216" s="66"/>
      <c r="C216" s="66" t="s">
        <v>188</v>
      </c>
      <c r="D216" s="66">
        <v>28</v>
      </c>
      <c r="E216" s="66">
        <v>24</v>
      </c>
      <c r="F216" s="66">
        <v>672</v>
      </c>
      <c r="G216" s="66">
        <v>528</v>
      </c>
      <c r="H216" s="67">
        <v>0.785714285714286</v>
      </c>
      <c r="I216" s="67">
        <v>1</v>
      </c>
      <c r="J216" s="66"/>
    </row>
    <row r="217" customHeight="1" spans="1:10">
      <c r="A217" s="82"/>
      <c r="B217" s="65" t="s">
        <v>247</v>
      </c>
      <c r="C217" s="66" t="s">
        <v>182</v>
      </c>
      <c r="D217" s="66">
        <v>28</v>
      </c>
      <c r="E217" s="66">
        <v>24</v>
      </c>
      <c r="F217" s="66">
        <v>672</v>
      </c>
      <c r="G217" s="66">
        <v>672</v>
      </c>
      <c r="H217" s="80">
        <v>1</v>
      </c>
      <c r="I217" s="67">
        <v>1</v>
      </c>
      <c r="J217" s="5"/>
    </row>
    <row r="218" customHeight="1" spans="1:10">
      <c r="A218" s="82"/>
      <c r="B218" s="66"/>
      <c r="C218" s="66" t="s">
        <v>183</v>
      </c>
      <c r="D218" s="66">
        <v>28</v>
      </c>
      <c r="E218" s="66">
        <v>24</v>
      </c>
      <c r="F218" s="66">
        <v>672</v>
      </c>
      <c r="G218" s="66">
        <v>672</v>
      </c>
      <c r="H218" s="80">
        <v>1</v>
      </c>
      <c r="I218" s="67">
        <v>1</v>
      </c>
      <c r="J218" s="5"/>
    </row>
    <row r="219" customHeight="1" spans="1:10">
      <c r="A219" s="82"/>
      <c r="B219" s="66"/>
      <c r="C219" s="66" t="s">
        <v>187</v>
      </c>
      <c r="D219" s="66">
        <v>28</v>
      </c>
      <c r="E219" s="66">
        <v>24</v>
      </c>
      <c r="F219" s="66">
        <v>672</v>
      </c>
      <c r="G219" s="66">
        <v>672</v>
      </c>
      <c r="H219" s="80">
        <v>1</v>
      </c>
      <c r="I219" s="67">
        <v>1</v>
      </c>
      <c r="J219" s="5"/>
    </row>
    <row r="220" ht="14.25" spans="1:10">
      <c r="A220" s="84"/>
      <c r="B220" s="66"/>
      <c r="C220" s="66" t="s">
        <v>188</v>
      </c>
      <c r="D220" s="66">
        <v>28</v>
      </c>
      <c r="E220" s="66">
        <v>24</v>
      </c>
      <c r="F220" s="66">
        <v>672</v>
      </c>
      <c r="G220" s="66">
        <v>672</v>
      </c>
      <c r="H220" s="80">
        <v>1</v>
      </c>
      <c r="I220" s="67">
        <v>1</v>
      </c>
      <c r="J220" s="5"/>
    </row>
    <row r="221" customHeight="1" spans="1:10">
      <c r="A221" s="68" t="s">
        <v>72</v>
      </c>
      <c r="B221" s="68"/>
      <c r="C221" s="15"/>
      <c r="D221" s="15"/>
      <c r="E221" s="69" t="s">
        <v>73</v>
      </c>
      <c r="F221" s="69"/>
      <c r="G221" s="70"/>
      <c r="H221" s="10" t="str">
        <f>H38</f>
        <v>制表时间：2023/3/6</v>
      </c>
      <c r="I221" s="10"/>
      <c r="J221" s="10"/>
    </row>
    <row r="222" ht="17" customHeight="1"/>
    <row r="223" ht="16" customHeight="1"/>
    <row r="224" ht="27" customHeight="1" spans="1:10">
      <c r="A224" s="58" t="s">
        <v>165</v>
      </c>
      <c r="B224" s="58"/>
      <c r="C224" s="58"/>
      <c r="D224" s="58"/>
      <c r="E224" s="58"/>
      <c r="F224" s="58"/>
      <c r="G224" s="58"/>
      <c r="H224" s="59"/>
      <c r="I224" s="58"/>
      <c r="J224" s="58"/>
    </row>
    <row r="225" ht="24" customHeight="1" spans="1:10">
      <c r="A225" s="71">
        <f>A2</f>
        <v>44958</v>
      </c>
      <c r="B225" s="71"/>
      <c r="C225" s="71"/>
      <c r="D225" s="71"/>
      <c r="E225" s="71"/>
      <c r="F225" s="71"/>
      <c r="G225" s="71"/>
      <c r="H225" s="71"/>
      <c r="I225" s="71"/>
      <c r="J225" s="71"/>
    </row>
    <row r="226" customHeight="1" spans="1:10">
      <c r="A226" s="6" t="s">
        <v>166</v>
      </c>
      <c r="B226" s="6" t="s">
        <v>167</v>
      </c>
      <c r="C226" s="6" t="s">
        <v>168</v>
      </c>
      <c r="D226" s="6" t="s">
        <v>169</v>
      </c>
      <c r="E226" s="61" t="s">
        <v>170</v>
      </c>
      <c r="F226" s="61" t="s">
        <v>171</v>
      </c>
      <c r="G226" s="62" t="s">
        <v>172</v>
      </c>
      <c r="H226" s="63" t="s">
        <v>173</v>
      </c>
      <c r="I226" s="61" t="s">
        <v>174</v>
      </c>
      <c r="J226" s="6" t="s">
        <v>175</v>
      </c>
    </row>
    <row r="227" customHeight="1" spans="1:10">
      <c r="A227" s="6"/>
      <c r="B227" s="6"/>
      <c r="C227" s="6"/>
      <c r="D227" s="6"/>
      <c r="E227" s="61"/>
      <c r="F227" s="61"/>
      <c r="G227" s="62"/>
      <c r="H227" s="63"/>
      <c r="I227" s="61"/>
      <c r="J227" s="6"/>
    </row>
    <row r="228" customHeight="1" spans="1:10">
      <c r="A228" s="64"/>
      <c r="B228" s="6"/>
      <c r="C228" s="64"/>
      <c r="D228" s="6" t="s">
        <v>176</v>
      </c>
      <c r="E228" s="61" t="s">
        <v>177</v>
      </c>
      <c r="F228" s="61" t="s">
        <v>178</v>
      </c>
      <c r="G228" s="62" t="s">
        <v>178</v>
      </c>
      <c r="H228" s="63" t="s">
        <v>179</v>
      </c>
      <c r="I228" s="61" t="s">
        <v>179</v>
      </c>
      <c r="J228" s="6"/>
    </row>
    <row r="229" customHeight="1" spans="1:10">
      <c r="A229" s="65" t="s">
        <v>245</v>
      </c>
      <c r="B229" s="65" t="s">
        <v>248</v>
      </c>
      <c r="C229" s="66" t="s">
        <v>182</v>
      </c>
      <c r="D229" s="66">
        <v>28</v>
      </c>
      <c r="E229" s="66">
        <v>24</v>
      </c>
      <c r="F229" s="66">
        <v>672</v>
      </c>
      <c r="G229" s="66">
        <v>0</v>
      </c>
      <c r="H229" s="67">
        <v>0</v>
      </c>
      <c r="I229" s="67">
        <v>1</v>
      </c>
      <c r="J229" s="66"/>
    </row>
    <row r="230" customHeight="1" spans="1:10">
      <c r="A230" s="65"/>
      <c r="B230" s="66"/>
      <c r="C230" s="66" t="s">
        <v>183</v>
      </c>
      <c r="D230" s="66">
        <v>28</v>
      </c>
      <c r="E230" s="66">
        <v>24</v>
      </c>
      <c r="F230" s="66">
        <v>672</v>
      </c>
      <c r="G230" s="66">
        <v>0</v>
      </c>
      <c r="H230" s="67">
        <v>0</v>
      </c>
      <c r="I230" s="67">
        <v>1</v>
      </c>
      <c r="J230" s="66"/>
    </row>
    <row r="231" customHeight="1" spans="1:10">
      <c r="A231" s="65"/>
      <c r="B231" s="66"/>
      <c r="C231" s="66" t="s">
        <v>187</v>
      </c>
      <c r="D231" s="66">
        <v>28</v>
      </c>
      <c r="E231" s="66">
        <v>24</v>
      </c>
      <c r="F231" s="66">
        <v>672</v>
      </c>
      <c r="G231" s="66">
        <v>0</v>
      </c>
      <c r="H231" s="67">
        <v>0</v>
      </c>
      <c r="I231" s="67">
        <v>1</v>
      </c>
      <c r="J231" s="66"/>
    </row>
    <row r="232" customHeight="1" spans="1:10">
      <c r="A232" s="65"/>
      <c r="B232" s="66"/>
      <c r="C232" s="66" t="s">
        <v>188</v>
      </c>
      <c r="D232" s="66">
        <v>28</v>
      </c>
      <c r="E232" s="66">
        <v>24</v>
      </c>
      <c r="F232" s="66">
        <v>672</v>
      </c>
      <c r="G232" s="66">
        <v>0</v>
      </c>
      <c r="H232" s="67">
        <v>0</v>
      </c>
      <c r="I232" s="67">
        <v>1</v>
      </c>
      <c r="J232" s="66"/>
    </row>
    <row r="233" customHeight="1" spans="1:10">
      <c r="A233" s="65"/>
      <c r="B233" s="65" t="s">
        <v>249</v>
      </c>
      <c r="C233" s="66" t="s">
        <v>182</v>
      </c>
      <c r="D233" s="66">
        <v>28</v>
      </c>
      <c r="E233" s="66">
        <v>24</v>
      </c>
      <c r="F233" s="66">
        <v>672</v>
      </c>
      <c r="G233" s="66">
        <v>0</v>
      </c>
      <c r="H233" s="67">
        <v>0</v>
      </c>
      <c r="I233" s="67">
        <v>1</v>
      </c>
      <c r="J233" s="66"/>
    </row>
    <row r="234" customHeight="1" spans="1:10">
      <c r="A234" s="65"/>
      <c r="B234" s="66"/>
      <c r="C234" s="66" t="s">
        <v>183</v>
      </c>
      <c r="D234" s="66">
        <v>28</v>
      </c>
      <c r="E234" s="66">
        <v>24</v>
      </c>
      <c r="F234" s="66">
        <v>672</v>
      </c>
      <c r="G234" s="66">
        <v>32</v>
      </c>
      <c r="H234" s="67">
        <v>0.0476190476190476</v>
      </c>
      <c r="I234" s="67">
        <v>1</v>
      </c>
      <c r="J234" s="66"/>
    </row>
    <row r="235" customHeight="1" spans="1:10">
      <c r="A235" s="65"/>
      <c r="B235" s="66"/>
      <c r="C235" s="66" t="s">
        <v>187</v>
      </c>
      <c r="D235" s="66">
        <v>28</v>
      </c>
      <c r="E235" s="66">
        <v>24</v>
      </c>
      <c r="F235" s="66">
        <v>672</v>
      </c>
      <c r="G235" s="66">
        <v>32</v>
      </c>
      <c r="H235" s="67">
        <v>0.0476190476190476</v>
      </c>
      <c r="I235" s="67">
        <v>1</v>
      </c>
      <c r="J235" s="66" t="s">
        <v>250</v>
      </c>
    </row>
    <row r="236" customHeight="1" spans="1:10">
      <c r="A236" s="65"/>
      <c r="B236" s="66"/>
      <c r="C236" s="66" t="s">
        <v>188</v>
      </c>
      <c r="D236" s="66">
        <v>28</v>
      </c>
      <c r="E236" s="66">
        <v>24</v>
      </c>
      <c r="F236" s="66">
        <v>672</v>
      </c>
      <c r="G236" s="66">
        <v>0</v>
      </c>
      <c r="H236" s="67">
        <v>0</v>
      </c>
      <c r="I236" s="67">
        <v>1</v>
      </c>
      <c r="J236" s="66"/>
    </row>
    <row r="237" customHeight="1" spans="1:10">
      <c r="A237" s="65"/>
      <c r="B237" s="66"/>
      <c r="C237" s="66" t="s">
        <v>189</v>
      </c>
      <c r="D237" s="66">
        <v>28</v>
      </c>
      <c r="E237" s="66">
        <v>24</v>
      </c>
      <c r="F237" s="66">
        <v>672</v>
      </c>
      <c r="G237" s="66">
        <v>0</v>
      </c>
      <c r="H237" s="67">
        <v>0</v>
      </c>
      <c r="I237" s="67">
        <v>1</v>
      </c>
      <c r="J237" s="66"/>
    </row>
    <row r="238" customHeight="1" spans="1:10">
      <c r="A238" s="65"/>
      <c r="B238" s="66"/>
      <c r="C238" s="66" t="s">
        <v>191</v>
      </c>
      <c r="D238" s="66">
        <v>28</v>
      </c>
      <c r="E238" s="66">
        <v>24</v>
      </c>
      <c r="F238" s="66">
        <v>672</v>
      </c>
      <c r="G238" s="66">
        <v>0</v>
      </c>
      <c r="H238" s="67">
        <v>0</v>
      </c>
      <c r="I238" s="67">
        <v>1</v>
      </c>
      <c r="J238" s="66"/>
    </row>
    <row r="239" customHeight="1" spans="1:10">
      <c r="A239" s="65"/>
      <c r="B239" s="65" t="s">
        <v>251</v>
      </c>
      <c r="C239" s="66" t="s">
        <v>182</v>
      </c>
      <c r="D239" s="66">
        <v>28</v>
      </c>
      <c r="E239" s="66">
        <v>24</v>
      </c>
      <c r="F239" s="66">
        <v>672</v>
      </c>
      <c r="G239" s="66">
        <v>146</v>
      </c>
      <c r="H239" s="67">
        <v>0.217261904761905</v>
      </c>
      <c r="I239" s="67">
        <v>1</v>
      </c>
      <c r="J239" s="66"/>
    </row>
    <row r="240" customHeight="1" spans="1:10">
      <c r="A240" s="65"/>
      <c r="B240" s="66"/>
      <c r="C240" s="66" t="s">
        <v>183</v>
      </c>
      <c r="D240" s="66">
        <v>28</v>
      </c>
      <c r="E240" s="66">
        <v>24</v>
      </c>
      <c r="F240" s="66">
        <v>672</v>
      </c>
      <c r="G240" s="66">
        <v>146</v>
      </c>
      <c r="H240" s="67">
        <v>0.217261904761905</v>
      </c>
      <c r="I240" s="67">
        <v>1</v>
      </c>
      <c r="J240" s="66" t="s">
        <v>252</v>
      </c>
    </row>
    <row r="241" customHeight="1" spans="1:10">
      <c r="A241" s="65"/>
      <c r="B241" s="66"/>
      <c r="C241" s="66" t="s">
        <v>187</v>
      </c>
      <c r="D241" s="66">
        <v>28</v>
      </c>
      <c r="E241" s="66">
        <v>24</v>
      </c>
      <c r="F241" s="66">
        <v>672</v>
      </c>
      <c r="G241" s="66">
        <v>146</v>
      </c>
      <c r="H241" s="67">
        <v>0.217261904761905</v>
      </c>
      <c r="I241" s="67">
        <v>1</v>
      </c>
      <c r="J241" s="66"/>
    </row>
    <row r="242" customHeight="1" spans="1:10">
      <c r="A242" s="65"/>
      <c r="B242" s="66"/>
      <c r="C242" s="66" t="s">
        <v>188</v>
      </c>
      <c r="D242" s="66">
        <v>28</v>
      </c>
      <c r="E242" s="66">
        <v>24</v>
      </c>
      <c r="F242" s="66">
        <v>672</v>
      </c>
      <c r="G242" s="66">
        <v>146</v>
      </c>
      <c r="H242" s="67">
        <v>0.217261904761905</v>
      </c>
      <c r="I242" s="67">
        <v>1</v>
      </c>
      <c r="J242" s="66"/>
    </row>
    <row r="243" customHeight="1" spans="1:10">
      <c r="A243" s="65"/>
      <c r="B243" s="65" t="s">
        <v>253</v>
      </c>
      <c r="C243" s="66" t="s">
        <v>182</v>
      </c>
      <c r="D243" s="66">
        <v>28</v>
      </c>
      <c r="E243" s="66">
        <v>24</v>
      </c>
      <c r="F243" s="66">
        <v>672</v>
      </c>
      <c r="G243" s="66">
        <v>56</v>
      </c>
      <c r="H243" s="67">
        <v>0.0833333333333333</v>
      </c>
      <c r="I243" s="67">
        <v>1</v>
      </c>
      <c r="J243" s="66"/>
    </row>
    <row r="244" customHeight="1" spans="1:10">
      <c r="A244" s="65"/>
      <c r="B244" s="66"/>
      <c r="C244" s="66" t="s">
        <v>183</v>
      </c>
      <c r="D244" s="66">
        <v>28</v>
      </c>
      <c r="E244" s="66">
        <v>24</v>
      </c>
      <c r="F244" s="66">
        <v>672</v>
      </c>
      <c r="G244" s="66">
        <v>24</v>
      </c>
      <c r="H244" s="67">
        <v>0.0357142857142857</v>
      </c>
      <c r="I244" s="67">
        <v>1</v>
      </c>
      <c r="J244" s="66"/>
    </row>
    <row r="245" customHeight="1" spans="1:10">
      <c r="A245" s="65"/>
      <c r="B245" s="66"/>
      <c r="C245" s="66" t="s">
        <v>187</v>
      </c>
      <c r="D245" s="66">
        <v>28</v>
      </c>
      <c r="E245" s="66">
        <v>24</v>
      </c>
      <c r="F245" s="66">
        <v>672</v>
      </c>
      <c r="G245" s="66">
        <v>32</v>
      </c>
      <c r="H245" s="67">
        <v>0.0476190476190476</v>
      </c>
      <c r="I245" s="67">
        <v>1</v>
      </c>
      <c r="J245" s="66"/>
    </row>
    <row r="246" customHeight="1" spans="1:10">
      <c r="A246" s="65"/>
      <c r="B246" s="66"/>
      <c r="C246" s="66" t="s">
        <v>188</v>
      </c>
      <c r="D246" s="66">
        <v>28</v>
      </c>
      <c r="E246" s="66">
        <v>24</v>
      </c>
      <c r="F246" s="66">
        <v>672</v>
      </c>
      <c r="G246" s="66">
        <v>8</v>
      </c>
      <c r="H246" s="67">
        <v>0.0119047619047619</v>
      </c>
      <c r="I246" s="67">
        <v>1</v>
      </c>
      <c r="J246" s="66"/>
    </row>
    <row r="247" customHeight="1" spans="1:10">
      <c r="A247" s="65"/>
      <c r="B247" s="66"/>
      <c r="C247" s="66" t="s">
        <v>189</v>
      </c>
      <c r="D247" s="66">
        <v>28</v>
      </c>
      <c r="E247" s="66">
        <v>24</v>
      </c>
      <c r="F247" s="66">
        <v>672</v>
      </c>
      <c r="G247" s="66">
        <v>0</v>
      </c>
      <c r="H247" s="67">
        <v>0</v>
      </c>
      <c r="I247" s="67">
        <v>1</v>
      </c>
      <c r="J247" s="66"/>
    </row>
    <row r="248" customHeight="1" spans="1:10">
      <c r="A248" s="65"/>
      <c r="B248" s="66"/>
      <c r="C248" s="66" t="s">
        <v>191</v>
      </c>
      <c r="D248" s="66">
        <v>28</v>
      </c>
      <c r="E248" s="66">
        <v>24</v>
      </c>
      <c r="F248" s="66">
        <v>672</v>
      </c>
      <c r="G248" s="66">
        <v>8</v>
      </c>
      <c r="H248" s="67">
        <v>0.0119047619047619</v>
      </c>
      <c r="I248" s="67">
        <v>1</v>
      </c>
      <c r="J248" s="66"/>
    </row>
    <row r="249" customHeight="1" spans="1:10">
      <c r="A249" s="65"/>
      <c r="B249" s="65" t="s">
        <v>254</v>
      </c>
      <c r="C249" s="66" t="s">
        <v>182</v>
      </c>
      <c r="D249" s="66">
        <v>28</v>
      </c>
      <c r="E249" s="66">
        <v>24</v>
      </c>
      <c r="F249" s="66">
        <v>672</v>
      </c>
      <c r="G249" s="66">
        <v>0</v>
      </c>
      <c r="H249" s="67">
        <v>0</v>
      </c>
      <c r="I249" s="67">
        <v>1</v>
      </c>
      <c r="J249" s="66"/>
    </row>
    <row r="250" customHeight="1" spans="1:10">
      <c r="A250" s="65"/>
      <c r="B250" s="66"/>
      <c r="C250" s="66" t="s">
        <v>183</v>
      </c>
      <c r="D250" s="66">
        <v>28</v>
      </c>
      <c r="E250" s="66">
        <v>24</v>
      </c>
      <c r="F250" s="66">
        <v>672</v>
      </c>
      <c r="G250" s="66">
        <v>0</v>
      </c>
      <c r="H250" s="67">
        <v>0</v>
      </c>
      <c r="I250" s="67">
        <v>1</v>
      </c>
      <c r="J250" s="66"/>
    </row>
    <row r="251" customHeight="1" spans="1:10">
      <c r="A251" s="65"/>
      <c r="B251" s="66"/>
      <c r="C251" s="66" t="s">
        <v>187</v>
      </c>
      <c r="D251" s="66">
        <v>28</v>
      </c>
      <c r="E251" s="66">
        <v>24</v>
      </c>
      <c r="F251" s="66">
        <v>672</v>
      </c>
      <c r="G251" s="66">
        <v>0</v>
      </c>
      <c r="H251" s="67">
        <v>0</v>
      </c>
      <c r="I251" s="67">
        <v>1</v>
      </c>
      <c r="J251" s="66"/>
    </row>
    <row r="252" customHeight="1" spans="1:10">
      <c r="A252" s="65"/>
      <c r="B252" s="66"/>
      <c r="C252" s="66" t="s">
        <v>188</v>
      </c>
      <c r="D252" s="66">
        <v>28</v>
      </c>
      <c r="E252" s="66">
        <v>24</v>
      </c>
      <c r="F252" s="66">
        <v>672</v>
      </c>
      <c r="G252" s="66">
        <v>0</v>
      </c>
      <c r="H252" s="67">
        <v>0</v>
      </c>
      <c r="I252" s="67">
        <v>1</v>
      </c>
      <c r="J252" s="66"/>
    </row>
    <row r="253" customHeight="1" spans="1:10">
      <c r="A253" s="65"/>
      <c r="B253" s="66"/>
      <c r="C253" s="66" t="s">
        <v>189</v>
      </c>
      <c r="D253" s="66">
        <v>28</v>
      </c>
      <c r="E253" s="66">
        <v>24</v>
      </c>
      <c r="F253" s="66">
        <v>672</v>
      </c>
      <c r="G253" s="66">
        <v>0</v>
      </c>
      <c r="H253" s="67">
        <v>0</v>
      </c>
      <c r="I253" s="67">
        <v>1</v>
      </c>
      <c r="J253" s="66"/>
    </row>
    <row r="254" customHeight="1" spans="1:10">
      <c r="A254" s="65"/>
      <c r="B254" s="66"/>
      <c r="C254" s="66" t="s">
        <v>191</v>
      </c>
      <c r="D254" s="66">
        <v>28</v>
      </c>
      <c r="E254" s="66">
        <v>24</v>
      </c>
      <c r="F254" s="66">
        <v>672</v>
      </c>
      <c r="G254" s="66">
        <v>0</v>
      </c>
      <c r="H254" s="67">
        <v>0</v>
      </c>
      <c r="I254" s="67">
        <v>1</v>
      </c>
      <c r="J254" s="66"/>
    </row>
    <row r="255" customHeight="1" spans="1:10">
      <c r="A255" s="65"/>
      <c r="B255" s="66"/>
      <c r="C255" s="66" t="s">
        <v>197</v>
      </c>
      <c r="D255" s="66">
        <v>28</v>
      </c>
      <c r="E255" s="66">
        <v>24</v>
      </c>
      <c r="F255" s="66">
        <v>672</v>
      </c>
      <c r="G255" s="66">
        <v>0</v>
      </c>
      <c r="H255" s="67">
        <v>0</v>
      </c>
      <c r="I255" s="67">
        <v>1</v>
      </c>
      <c r="J255" s="66"/>
    </row>
    <row r="256" customHeight="1" spans="1:10">
      <c r="A256" s="65"/>
      <c r="B256" s="66"/>
      <c r="C256" s="66" t="s">
        <v>198</v>
      </c>
      <c r="D256" s="66">
        <v>28</v>
      </c>
      <c r="E256" s="66">
        <v>24</v>
      </c>
      <c r="F256" s="66">
        <v>672</v>
      </c>
      <c r="G256" s="66">
        <v>0</v>
      </c>
      <c r="H256" s="67">
        <v>0</v>
      </c>
      <c r="I256" s="67">
        <v>1</v>
      </c>
      <c r="J256" s="66"/>
    </row>
    <row r="257" customHeight="1" spans="1:10">
      <c r="A257" s="65"/>
      <c r="B257" s="6" t="s">
        <v>255</v>
      </c>
      <c r="C257" s="66" t="s">
        <v>182</v>
      </c>
      <c r="D257" s="66">
        <v>28</v>
      </c>
      <c r="E257" s="66">
        <v>24</v>
      </c>
      <c r="F257" s="66">
        <v>672</v>
      </c>
      <c r="G257" s="66">
        <v>672</v>
      </c>
      <c r="H257" s="67">
        <v>1</v>
      </c>
      <c r="I257" s="67">
        <v>1</v>
      </c>
      <c r="J257" s="66"/>
    </row>
    <row r="258" customHeight="1" spans="1:10">
      <c r="A258" s="65"/>
      <c r="B258" s="5"/>
      <c r="C258" s="66" t="s">
        <v>183</v>
      </c>
      <c r="D258" s="66">
        <v>31</v>
      </c>
      <c r="E258" s="66">
        <v>24</v>
      </c>
      <c r="F258" s="66">
        <v>672</v>
      </c>
      <c r="G258" s="66">
        <v>672</v>
      </c>
      <c r="H258" s="67">
        <v>1</v>
      </c>
      <c r="I258" s="67">
        <v>1</v>
      </c>
      <c r="J258" s="66"/>
    </row>
    <row r="259" customHeight="1" spans="1:10">
      <c r="A259" s="65"/>
      <c r="B259" s="5"/>
      <c r="C259" s="66" t="s">
        <v>187</v>
      </c>
      <c r="D259" s="66">
        <v>28</v>
      </c>
      <c r="E259" s="66">
        <v>24</v>
      </c>
      <c r="F259" s="66">
        <v>672</v>
      </c>
      <c r="G259" s="66">
        <v>0</v>
      </c>
      <c r="H259" s="67">
        <v>0</v>
      </c>
      <c r="I259" s="67">
        <v>1</v>
      </c>
      <c r="J259" s="66" t="s">
        <v>256</v>
      </c>
    </row>
    <row r="260" customHeight="1" spans="1:10">
      <c r="A260" s="65"/>
      <c r="B260" s="6" t="s">
        <v>257</v>
      </c>
      <c r="C260" s="66" t="s">
        <v>182</v>
      </c>
      <c r="D260" s="66">
        <v>28</v>
      </c>
      <c r="E260" s="66">
        <v>24</v>
      </c>
      <c r="F260" s="66">
        <v>672</v>
      </c>
      <c r="G260" s="66">
        <v>672</v>
      </c>
      <c r="H260" s="67">
        <v>1</v>
      </c>
      <c r="I260" s="67">
        <v>1</v>
      </c>
      <c r="J260" s="66"/>
    </row>
    <row r="261" customHeight="1" spans="1:10">
      <c r="A261" s="65"/>
      <c r="B261" s="5"/>
      <c r="C261" s="66" t="s">
        <v>183</v>
      </c>
      <c r="D261" s="66">
        <v>28</v>
      </c>
      <c r="E261" s="66">
        <v>24</v>
      </c>
      <c r="F261" s="66">
        <v>672</v>
      </c>
      <c r="G261" s="66">
        <v>672</v>
      </c>
      <c r="H261" s="67">
        <v>1</v>
      </c>
      <c r="I261" s="67">
        <v>1</v>
      </c>
      <c r="J261" s="66"/>
    </row>
    <row r="262" customHeight="1" spans="1:10">
      <c r="A262" s="65"/>
      <c r="B262" s="5"/>
      <c r="C262" s="66" t="s">
        <v>187</v>
      </c>
      <c r="D262" s="66">
        <v>28</v>
      </c>
      <c r="E262" s="66">
        <v>24</v>
      </c>
      <c r="F262" s="66">
        <v>672</v>
      </c>
      <c r="G262" s="66">
        <v>670</v>
      </c>
      <c r="H262" s="67">
        <v>0.99</v>
      </c>
      <c r="I262" s="67">
        <v>0.99</v>
      </c>
      <c r="J262" s="66" t="s">
        <v>258</v>
      </c>
    </row>
    <row r="263" customHeight="1" spans="1:10">
      <c r="A263" s="65"/>
      <c r="B263" s="5"/>
      <c r="C263" s="66" t="s">
        <v>188</v>
      </c>
      <c r="D263" s="66">
        <v>28</v>
      </c>
      <c r="E263" s="66">
        <v>24</v>
      </c>
      <c r="F263" s="66">
        <v>672</v>
      </c>
      <c r="G263" s="66">
        <v>670</v>
      </c>
      <c r="H263" s="67">
        <v>0.99</v>
      </c>
      <c r="I263" s="67">
        <v>0.99</v>
      </c>
      <c r="J263" s="66" t="s">
        <v>259</v>
      </c>
    </row>
    <row r="264" customHeight="1" spans="1:10">
      <c r="A264" s="65"/>
      <c r="B264" s="5"/>
      <c r="C264" s="66" t="s">
        <v>189</v>
      </c>
      <c r="D264" s="66">
        <v>28</v>
      </c>
      <c r="E264" s="66">
        <v>24</v>
      </c>
      <c r="F264" s="66">
        <v>672</v>
      </c>
      <c r="G264" s="66">
        <v>672</v>
      </c>
      <c r="H264" s="67">
        <v>1</v>
      </c>
      <c r="I264" s="67">
        <v>1</v>
      </c>
      <c r="J264" s="66"/>
    </row>
    <row r="265" ht="19" customHeight="1" spans="1:10">
      <c r="A265" s="68" t="s">
        <v>72</v>
      </c>
      <c r="B265" s="68"/>
      <c r="C265" s="15"/>
      <c r="D265" s="15"/>
      <c r="E265" s="69" t="s">
        <v>73</v>
      </c>
      <c r="F265" s="69"/>
      <c r="G265" s="70"/>
      <c r="H265" s="10" t="str">
        <f>H38</f>
        <v>制表时间：2023/3/6</v>
      </c>
      <c r="I265" s="10"/>
      <c r="J265" s="10"/>
    </row>
    <row r="266" ht="19" customHeight="1" spans="1:10">
      <c r="A266" s="91"/>
      <c r="B266" s="91"/>
      <c r="C266" s="15"/>
      <c r="D266" s="15"/>
      <c r="E266" s="92"/>
      <c r="F266" s="92"/>
      <c r="G266" s="93"/>
      <c r="H266" s="15"/>
      <c r="I266" s="15"/>
      <c r="J266" s="15"/>
    </row>
    <row r="267" ht="19" customHeight="1" spans="1:10">
      <c r="A267" s="91"/>
      <c r="B267" s="91"/>
      <c r="C267" s="15"/>
      <c r="D267" s="15"/>
      <c r="E267" s="92"/>
      <c r="F267" s="92"/>
      <c r="G267" s="93"/>
      <c r="H267" s="15"/>
      <c r="I267" s="15"/>
      <c r="J267" s="15"/>
    </row>
    <row r="268" ht="17" customHeight="1" spans="1:10">
      <c r="A268" s="58" t="s">
        <v>165</v>
      </c>
      <c r="B268" s="58"/>
      <c r="C268" s="58"/>
      <c r="D268" s="58"/>
      <c r="E268" s="58"/>
      <c r="F268" s="58"/>
      <c r="G268" s="58"/>
      <c r="H268" s="59"/>
      <c r="I268" s="58"/>
      <c r="J268" s="58"/>
    </row>
    <row r="269" customHeight="1" spans="1:10">
      <c r="A269" s="60">
        <f>A2</f>
        <v>44958</v>
      </c>
      <c r="B269" s="60"/>
      <c r="C269" s="60"/>
      <c r="D269" s="60"/>
      <c r="E269" s="60"/>
      <c r="F269" s="60"/>
      <c r="G269" s="60"/>
      <c r="H269" s="60"/>
      <c r="I269" s="60"/>
      <c r="J269" s="60"/>
    </row>
    <row r="270" ht="13" customHeight="1" spans="1:10">
      <c r="A270" s="6" t="s">
        <v>166</v>
      </c>
      <c r="B270" s="6" t="s">
        <v>167</v>
      </c>
      <c r="C270" s="6" t="s">
        <v>168</v>
      </c>
      <c r="D270" s="6" t="s">
        <v>169</v>
      </c>
      <c r="E270" s="61" t="s">
        <v>170</v>
      </c>
      <c r="F270" s="61" t="s">
        <v>171</v>
      </c>
      <c r="G270" s="62" t="s">
        <v>172</v>
      </c>
      <c r="H270" s="63" t="s">
        <v>173</v>
      </c>
      <c r="I270" s="61" t="s">
        <v>174</v>
      </c>
      <c r="J270" s="6" t="s">
        <v>175</v>
      </c>
    </row>
    <row r="271" ht="12" customHeight="1" spans="1:10">
      <c r="A271" s="6"/>
      <c r="B271" s="6"/>
      <c r="C271" s="6"/>
      <c r="D271" s="6"/>
      <c r="E271" s="61"/>
      <c r="F271" s="61"/>
      <c r="G271" s="62"/>
      <c r="H271" s="63"/>
      <c r="I271" s="61"/>
      <c r="J271" s="6"/>
    </row>
    <row r="272" ht="15" customHeight="1" spans="1:10">
      <c r="A272" s="64"/>
      <c r="B272" s="6"/>
      <c r="C272" s="64"/>
      <c r="D272" s="6" t="s">
        <v>176</v>
      </c>
      <c r="E272" s="61" t="s">
        <v>177</v>
      </c>
      <c r="F272" s="61" t="s">
        <v>178</v>
      </c>
      <c r="G272" s="62" t="s">
        <v>178</v>
      </c>
      <c r="H272" s="63" t="s">
        <v>179</v>
      </c>
      <c r="I272" s="61" t="s">
        <v>179</v>
      </c>
      <c r="J272" s="6"/>
    </row>
    <row r="273" customHeight="1" spans="1:10">
      <c r="A273" s="65" t="s">
        <v>245</v>
      </c>
      <c r="B273" s="65" t="s">
        <v>257</v>
      </c>
      <c r="C273" s="66" t="s">
        <v>191</v>
      </c>
      <c r="D273" s="66">
        <v>28</v>
      </c>
      <c r="E273" s="66">
        <v>24</v>
      </c>
      <c r="F273" s="66">
        <v>672</v>
      </c>
      <c r="G273" s="66">
        <v>672</v>
      </c>
      <c r="H273" s="67">
        <v>1</v>
      </c>
      <c r="I273" s="67">
        <v>1</v>
      </c>
      <c r="J273" s="66"/>
    </row>
    <row r="274" customHeight="1" spans="1:10">
      <c r="A274" s="66"/>
      <c r="B274" s="65"/>
      <c r="C274" s="66" t="s">
        <v>197</v>
      </c>
      <c r="D274" s="66">
        <v>28</v>
      </c>
      <c r="E274" s="66">
        <v>24</v>
      </c>
      <c r="F274" s="66">
        <v>672</v>
      </c>
      <c r="G274" s="66">
        <v>672</v>
      </c>
      <c r="H274" s="67">
        <v>1</v>
      </c>
      <c r="I274" s="67">
        <v>1</v>
      </c>
      <c r="J274" s="66"/>
    </row>
    <row r="275" customHeight="1" spans="1:10">
      <c r="A275" s="66"/>
      <c r="B275" s="65"/>
      <c r="C275" s="66" t="s">
        <v>198</v>
      </c>
      <c r="D275" s="66">
        <v>28</v>
      </c>
      <c r="E275" s="66">
        <v>24</v>
      </c>
      <c r="F275" s="66">
        <v>672</v>
      </c>
      <c r="G275" s="66">
        <v>672</v>
      </c>
      <c r="H275" s="67">
        <v>1</v>
      </c>
      <c r="I275" s="67">
        <v>1</v>
      </c>
      <c r="J275" s="66"/>
    </row>
    <row r="276" customHeight="1" spans="1:10">
      <c r="A276" s="66"/>
      <c r="B276" s="65" t="s">
        <v>260</v>
      </c>
      <c r="C276" s="66" t="s">
        <v>199</v>
      </c>
      <c r="D276" s="66">
        <v>28</v>
      </c>
      <c r="E276" s="66">
        <v>24</v>
      </c>
      <c r="F276" s="66">
        <v>672</v>
      </c>
      <c r="G276" s="66">
        <v>672</v>
      </c>
      <c r="H276" s="67">
        <v>1</v>
      </c>
      <c r="I276" s="67">
        <v>1</v>
      </c>
      <c r="J276" s="66"/>
    </row>
    <row r="277" customHeight="1" spans="1:10">
      <c r="A277" s="66"/>
      <c r="B277" s="66"/>
      <c r="C277" s="66" t="s">
        <v>200</v>
      </c>
      <c r="D277" s="66">
        <v>28</v>
      </c>
      <c r="E277" s="66">
        <v>24</v>
      </c>
      <c r="F277" s="66">
        <v>672</v>
      </c>
      <c r="G277" s="66">
        <v>672</v>
      </c>
      <c r="H277" s="67">
        <v>1</v>
      </c>
      <c r="I277" s="67">
        <v>1</v>
      </c>
      <c r="J277" s="66"/>
    </row>
    <row r="278" ht="17" customHeight="1" spans="1:10">
      <c r="A278" s="66"/>
      <c r="B278" s="66"/>
      <c r="C278" s="66" t="s">
        <v>201</v>
      </c>
      <c r="D278" s="66">
        <v>28</v>
      </c>
      <c r="E278" s="66">
        <v>24</v>
      </c>
      <c r="F278" s="66">
        <v>672</v>
      </c>
      <c r="G278" s="66">
        <v>672</v>
      </c>
      <c r="H278" s="67">
        <v>1</v>
      </c>
      <c r="I278" s="67">
        <v>1</v>
      </c>
      <c r="J278" s="65"/>
    </row>
    <row r="279" customHeight="1" spans="1:10">
      <c r="A279" s="66"/>
      <c r="B279" s="66"/>
      <c r="C279" s="66" t="s">
        <v>202</v>
      </c>
      <c r="D279" s="66">
        <v>28</v>
      </c>
      <c r="E279" s="66">
        <v>24</v>
      </c>
      <c r="F279" s="66">
        <v>672</v>
      </c>
      <c r="G279" s="66">
        <v>672</v>
      </c>
      <c r="H279" s="67">
        <v>1</v>
      </c>
      <c r="I279" s="67">
        <v>1</v>
      </c>
      <c r="J279" s="66"/>
    </row>
    <row r="280" customHeight="1" spans="1:10">
      <c r="A280" s="66"/>
      <c r="B280" s="66"/>
      <c r="C280" s="66" t="s">
        <v>203</v>
      </c>
      <c r="D280" s="66">
        <v>28</v>
      </c>
      <c r="E280" s="66">
        <v>24</v>
      </c>
      <c r="F280" s="66">
        <v>672</v>
      </c>
      <c r="G280" s="66">
        <v>672</v>
      </c>
      <c r="H280" s="67">
        <v>1</v>
      </c>
      <c r="I280" s="67">
        <v>1</v>
      </c>
      <c r="J280" s="66"/>
    </row>
    <row r="281" customHeight="1" spans="1:10">
      <c r="A281" s="66"/>
      <c r="B281" s="66"/>
      <c r="C281" s="66" t="s">
        <v>204</v>
      </c>
      <c r="D281" s="66">
        <v>28</v>
      </c>
      <c r="E281" s="66">
        <v>24</v>
      </c>
      <c r="F281" s="66">
        <v>672</v>
      </c>
      <c r="G281" s="66">
        <v>672</v>
      </c>
      <c r="H281" s="67">
        <v>1</v>
      </c>
      <c r="I281" s="67">
        <v>1</v>
      </c>
      <c r="J281" s="66"/>
    </row>
    <row r="282" customHeight="1" spans="1:10">
      <c r="A282" s="66"/>
      <c r="B282" s="66"/>
      <c r="C282" s="66" t="s">
        <v>205</v>
      </c>
      <c r="D282" s="66">
        <v>28</v>
      </c>
      <c r="E282" s="66">
        <v>24</v>
      </c>
      <c r="F282" s="66">
        <v>672</v>
      </c>
      <c r="G282" s="66">
        <v>672</v>
      </c>
      <c r="H282" s="67">
        <v>1</v>
      </c>
      <c r="I282" s="67">
        <v>1</v>
      </c>
      <c r="J282" s="66"/>
    </row>
    <row r="283" customHeight="1" spans="1:10">
      <c r="A283" s="66"/>
      <c r="B283" s="66"/>
      <c r="C283" s="66" t="s">
        <v>206</v>
      </c>
      <c r="D283" s="66">
        <v>28</v>
      </c>
      <c r="E283" s="66">
        <v>24</v>
      </c>
      <c r="F283" s="66">
        <v>672</v>
      </c>
      <c r="G283" s="66">
        <v>672</v>
      </c>
      <c r="H283" s="67">
        <v>1</v>
      </c>
      <c r="I283" s="67">
        <v>1</v>
      </c>
      <c r="J283" s="66"/>
    </row>
    <row r="284" customHeight="1" spans="1:10">
      <c r="A284" s="66"/>
      <c r="B284" s="66" t="s">
        <v>261</v>
      </c>
      <c r="C284" s="66" t="s">
        <v>182</v>
      </c>
      <c r="D284" s="66">
        <v>28</v>
      </c>
      <c r="E284" s="66">
        <v>24</v>
      </c>
      <c r="F284" s="66">
        <v>672</v>
      </c>
      <c r="G284" s="66">
        <v>44.6</v>
      </c>
      <c r="H284" s="67">
        <v>0.0663690476190476</v>
      </c>
      <c r="I284" s="67">
        <v>1</v>
      </c>
      <c r="J284" s="66"/>
    </row>
    <row r="285" customHeight="1" spans="1:10">
      <c r="A285" s="66"/>
      <c r="B285" s="66"/>
      <c r="C285" s="66" t="s">
        <v>183</v>
      </c>
      <c r="D285" s="66">
        <v>28</v>
      </c>
      <c r="E285" s="66">
        <v>24</v>
      </c>
      <c r="F285" s="66">
        <v>672</v>
      </c>
      <c r="G285" s="66">
        <v>0</v>
      </c>
      <c r="H285" s="67">
        <v>0</v>
      </c>
      <c r="I285" s="67">
        <v>1</v>
      </c>
      <c r="J285" s="66"/>
    </row>
    <row r="286" customHeight="1" spans="1:10">
      <c r="A286" s="66"/>
      <c r="B286" s="66"/>
      <c r="C286" s="66" t="s">
        <v>187</v>
      </c>
      <c r="D286" s="66">
        <v>28</v>
      </c>
      <c r="E286" s="66">
        <v>24</v>
      </c>
      <c r="F286" s="66">
        <v>672</v>
      </c>
      <c r="G286" s="66">
        <v>43.2</v>
      </c>
      <c r="H286" s="67">
        <v>0.0642857142857143</v>
      </c>
      <c r="I286" s="67">
        <v>1</v>
      </c>
      <c r="J286" s="66"/>
    </row>
    <row r="287" customHeight="1" spans="1:10">
      <c r="A287" s="66"/>
      <c r="B287" s="66" t="s">
        <v>262</v>
      </c>
      <c r="C287" s="66" t="s">
        <v>182</v>
      </c>
      <c r="D287" s="66">
        <v>28</v>
      </c>
      <c r="E287" s="66">
        <v>24</v>
      </c>
      <c r="F287" s="66">
        <v>672</v>
      </c>
      <c r="G287" s="66">
        <v>33.6</v>
      </c>
      <c r="H287" s="67">
        <v>0.05</v>
      </c>
      <c r="I287" s="67">
        <v>1</v>
      </c>
      <c r="J287" s="66"/>
    </row>
    <row r="288" customHeight="1" spans="1:10">
      <c r="A288" s="66"/>
      <c r="B288" s="66"/>
      <c r="C288" s="66" t="s">
        <v>183</v>
      </c>
      <c r="D288" s="66">
        <v>28</v>
      </c>
      <c r="E288" s="66">
        <v>24</v>
      </c>
      <c r="F288" s="66">
        <v>672</v>
      </c>
      <c r="G288" s="66">
        <v>33.71</v>
      </c>
      <c r="H288" s="67">
        <v>0.0501636904761905</v>
      </c>
      <c r="I288" s="67">
        <v>1</v>
      </c>
      <c r="J288" s="66"/>
    </row>
    <row r="289" customHeight="1" spans="1:10">
      <c r="A289" s="66"/>
      <c r="B289" s="66"/>
      <c r="C289" s="66" t="s">
        <v>187</v>
      </c>
      <c r="D289" s="66">
        <v>28</v>
      </c>
      <c r="E289" s="66">
        <v>24</v>
      </c>
      <c r="F289" s="66">
        <v>672</v>
      </c>
      <c r="G289" s="66">
        <v>30.7</v>
      </c>
      <c r="H289" s="67">
        <v>0.0456845238095238</v>
      </c>
      <c r="I289" s="67">
        <v>1</v>
      </c>
      <c r="J289" s="66"/>
    </row>
    <row r="290" ht="17" customHeight="1" spans="1:10">
      <c r="A290" s="65" t="s">
        <v>263</v>
      </c>
      <c r="B290" s="81" t="s">
        <v>264</v>
      </c>
      <c r="C290" s="66" t="s">
        <v>182</v>
      </c>
      <c r="D290" s="66">
        <v>28</v>
      </c>
      <c r="E290" s="66">
        <v>24</v>
      </c>
      <c r="F290" s="66">
        <v>672</v>
      </c>
      <c r="G290" s="66">
        <v>672</v>
      </c>
      <c r="H290" s="67">
        <v>1</v>
      </c>
      <c r="I290" s="67">
        <v>1</v>
      </c>
      <c r="J290" s="66"/>
    </row>
    <row r="291" customHeight="1" spans="1:10">
      <c r="A291" s="66"/>
      <c r="B291" s="83"/>
      <c r="C291" s="66" t="s">
        <v>183</v>
      </c>
      <c r="D291" s="66">
        <v>28</v>
      </c>
      <c r="E291" s="66">
        <v>24</v>
      </c>
      <c r="F291" s="66">
        <v>672</v>
      </c>
      <c r="G291" s="66">
        <v>636</v>
      </c>
      <c r="H291" s="67">
        <v>0.946428571428571</v>
      </c>
      <c r="I291" s="67">
        <v>1</v>
      </c>
      <c r="J291" s="66"/>
    </row>
    <row r="292" customHeight="1" spans="1:10">
      <c r="A292" s="66"/>
      <c r="B292" s="83"/>
      <c r="C292" s="66" t="s">
        <v>187</v>
      </c>
      <c r="D292" s="66">
        <v>28</v>
      </c>
      <c r="E292" s="66">
        <v>24</v>
      </c>
      <c r="F292" s="66">
        <v>672</v>
      </c>
      <c r="G292" s="66">
        <v>672</v>
      </c>
      <c r="H292" s="67">
        <v>1</v>
      </c>
      <c r="I292" s="67">
        <v>1</v>
      </c>
      <c r="J292" s="66"/>
    </row>
    <row r="293" customHeight="1" spans="1:10">
      <c r="A293" s="66"/>
      <c r="B293" s="83"/>
      <c r="C293" s="66" t="s">
        <v>188</v>
      </c>
      <c r="D293" s="66">
        <v>28</v>
      </c>
      <c r="E293" s="66">
        <v>24</v>
      </c>
      <c r="F293" s="66">
        <v>672</v>
      </c>
      <c r="G293" s="66">
        <v>672</v>
      </c>
      <c r="H293" s="67">
        <v>1</v>
      </c>
      <c r="I293" s="67">
        <v>1</v>
      </c>
      <c r="J293" s="66"/>
    </row>
    <row r="294" customHeight="1" spans="1:10">
      <c r="A294" s="66"/>
      <c r="B294" s="83"/>
      <c r="C294" s="66" t="s">
        <v>189</v>
      </c>
      <c r="D294" s="66">
        <v>28</v>
      </c>
      <c r="E294" s="66">
        <v>24</v>
      </c>
      <c r="F294" s="66">
        <v>672</v>
      </c>
      <c r="G294" s="66">
        <v>672</v>
      </c>
      <c r="H294" s="67">
        <v>1</v>
      </c>
      <c r="I294" s="67">
        <v>1</v>
      </c>
      <c r="J294" s="66"/>
    </row>
    <row r="295" customHeight="1" spans="1:10">
      <c r="A295" s="66"/>
      <c r="B295" s="83"/>
      <c r="C295" s="66" t="s">
        <v>191</v>
      </c>
      <c r="D295" s="66">
        <v>28</v>
      </c>
      <c r="E295" s="66">
        <v>24</v>
      </c>
      <c r="F295" s="66">
        <v>672</v>
      </c>
      <c r="G295" s="66">
        <v>0</v>
      </c>
      <c r="H295" s="67">
        <v>0</v>
      </c>
      <c r="I295" s="67">
        <v>1</v>
      </c>
      <c r="J295" s="66"/>
    </row>
    <row r="296" customHeight="1" spans="1:10">
      <c r="A296" s="66"/>
      <c r="B296" s="83"/>
      <c r="C296" s="66" t="s">
        <v>197</v>
      </c>
      <c r="D296" s="66">
        <v>28</v>
      </c>
      <c r="E296" s="66">
        <v>24</v>
      </c>
      <c r="F296" s="66">
        <v>672</v>
      </c>
      <c r="G296" s="66">
        <v>212</v>
      </c>
      <c r="H296" s="67">
        <v>0.31547619047619</v>
      </c>
      <c r="I296" s="67">
        <v>1</v>
      </c>
      <c r="J296" s="66"/>
    </row>
    <row r="297" customHeight="1" spans="1:10">
      <c r="A297" s="66"/>
      <c r="B297" s="85"/>
      <c r="C297" s="66" t="s">
        <v>198</v>
      </c>
      <c r="D297" s="66">
        <v>28</v>
      </c>
      <c r="E297" s="66">
        <v>24</v>
      </c>
      <c r="F297" s="66">
        <v>672</v>
      </c>
      <c r="G297" s="66">
        <v>182</v>
      </c>
      <c r="H297" s="67">
        <v>0.270833333333333</v>
      </c>
      <c r="I297" s="67">
        <v>1</v>
      </c>
      <c r="J297" s="66"/>
    </row>
    <row r="298" customHeight="1" spans="1:10">
      <c r="A298" s="66"/>
      <c r="B298" s="81" t="s">
        <v>265</v>
      </c>
      <c r="C298" s="66" t="s">
        <v>199</v>
      </c>
      <c r="D298" s="66">
        <v>28</v>
      </c>
      <c r="E298" s="66">
        <v>24</v>
      </c>
      <c r="F298" s="66">
        <v>672</v>
      </c>
      <c r="G298" s="66">
        <v>396</v>
      </c>
      <c r="H298" s="67">
        <v>0.589285714285714</v>
      </c>
      <c r="I298" s="67">
        <v>1</v>
      </c>
      <c r="J298" s="66"/>
    </row>
    <row r="299" customHeight="1" spans="1:10">
      <c r="A299" s="66"/>
      <c r="B299" s="83"/>
      <c r="C299" s="66" t="s">
        <v>200</v>
      </c>
      <c r="D299" s="66">
        <v>28</v>
      </c>
      <c r="E299" s="66">
        <v>24</v>
      </c>
      <c r="F299" s="66">
        <v>672</v>
      </c>
      <c r="G299" s="66">
        <v>144</v>
      </c>
      <c r="H299" s="67">
        <v>0.214285714285714</v>
      </c>
      <c r="I299" s="67">
        <v>1</v>
      </c>
      <c r="J299" s="66"/>
    </row>
    <row r="300" customHeight="1" spans="1:10">
      <c r="A300" s="66"/>
      <c r="B300" s="83"/>
      <c r="C300" s="66" t="s">
        <v>201</v>
      </c>
      <c r="D300" s="66">
        <v>28</v>
      </c>
      <c r="E300" s="66">
        <v>24</v>
      </c>
      <c r="F300" s="66">
        <v>672</v>
      </c>
      <c r="G300" s="66">
        <v>20</v>
      </c>
      <c r="H300" s="67">
        <v>0.0297619047619048</v>
      </c>
      <c r="I300" s="67">
        <v>1</v>
      </c>
      <c r="J300" s="66"/>
    </row>
    <row r="301" customHeight="1" spans="1:10">
      <c r="A301" s="66"/>
      <c r="B301" s="83"/>
      <c r="C301" s="66" t="s">
        <v>202</v>
      </c>
      <c r="D301" s="66">
        <v>28</v>
      </c>
      <c r="E301" s="66">
        <v>24</v>
      </c>
      <c r="F301" s="66">
        <v>672</v>
      </c>
      <c r="G301" s="66">
        <v>662</v>
      </c>
      <c r="H301" s="67">
        <v>0.985119047619048</v>
      </c>
      <c r="I301" s="67">
        <v>1</v>
      </c>
      <c r="J301" s="66"/>
    </row>
    <row r="302" customHeight="1" spans="1:10">
      <c r="A302" s="66"/>
      <c r="B302" s="5" t="s">
        <v>266</v>
      </c>
      <c r="C302" s="66" t="s">
        <v>182</v>
      </c>
      <c r="D302" s="66">
        <v>28</v>
      </c>
      <c r="E302" s="66">
        <v>24</v>
      </c>
      <c r="F302" s="66">
        <v>672</v>
      </c>
      <c r="G302" s="66">
        <v>22</v>
      </c>
      <c r="H302" s="67">
        <v>0.0327380952380952</v>
      </c>
      <c r="I302" s="67">
        <v>1</v>
      </c>
      <c r="J302" s="66"/>
    </row>
    <row r="303" customHeight="1" spans="1:10">
      <c r="A303" s="66"/>
      <c r="B303" s="5"/>
      <c r="C303" s="66" t="s">
        <v>183</v>
      </c>
      <c r="D303" s="66">
        <v>28</v>
      </c>
      <c r="E303" s="66">
        <v>24</v>
      </c>
      <c r="F303" s="66">
        <v>672</v>
      </c>
      <c r="G303" s="66">
        <v>646</v>
      </c>
      <c r="H303" s="67">
        <v>0.961309523809524</v>
      </c>
      <c r="I303" s="67">
        <v>1</v>
      </c>
      <c r="J303" s="66"/>
    </row>
    <row r="304" customHeight="1" spans="1:10">
      <c r="A304" s="66"/>
      <c r="B304" s="5"/>
      <c r="C304" s="66" t="s">
        <v>187</v>
      </c>
      <c r="D304" s="66">
        <v>28</v>
      </c>
      <c r="E304" s="66">
        <v>24</v>
      </c>
      <c r="F304" s="66">
        <v>672</v>
      </c>
      <c r="G304" s="66">
        <v>0</v>
      </c>
      <c r="H304" s="67">
        <v>0</v>
      </c>
      <c r="I304" s="67">
        <v>1</v>
      </c>
      <c r="J304" s="66"/>
    </row>
    <row r="305" customHeight="1" spans="1:10">
      <c r="A305" s="65" t="s">
        <v>267</v>
      </c>
      <c r="B305" s="66" t="s">
        <v>268</v>
      </c>
      <c r="C305" s="66" t="s">
        <v>182</v>
      </c>
      <c r="D305" s="66">
        <v>28</v>
      </c>
      <c r="E305" s="66">
        <v>24</v>
      </c>
      <c r="F305" s="66">
        <v>672</v>
      </c>
      <c r="G305" s="66">
        <v>42</v>
      </c>
      <c r="H305" s="67">
        <v>0.0625</v>
      </c>
      <c r="I305" s="67">
        <v>0.89</v>
      </c>
      <c r="J305" s="66" t="s">
        <v>269</v>
      </c>
    </row>
    <row r="306" customHeight="1" spans="1:10">
      <c r="A306" s="66"/>
      <c r="B306" s="66"/>
      <c r="C306" s="66" t="s">
        <v>183</v>
      </c>
      <c r="D306" s="66">
        <v>28</v>
      </c>
      <c r="E306" s="66">
        <v>24</v>
      </c>
      <c r="F306" s="66">
        <v>672</v>
      </c>
      <c r="G306" s="66">
        <v>672</v>
      </c>
      <c r="H306" s="67">
        <v>1</v>
      </c>
      <c r="I306" s="67">
        <v>1</v>
      </c>
      <c r="J306" s="66" t="s">
        <v>270</v>
      </c>
    </row>
    <row r="307" customHeight="1" spans="1:10">
      <c r="A307" s="66"/>
      <c r="B307" s="66" t="s">
        <v>271</v>
      </c>
      <c r="C307" s="66" t="s">
        <v>182</v>
      </c>
      <c r="D307" s="66">
        <v>28</v>
      </c>
      <c r="E307" s="66">
        <v>24</v>
      </c>
      <c r="F307" s="66">
        <v>672</v>
      </c>
      <c r="G307" s="66">
        <v>0</v>
      </c>
      <c r="H307" s="67">
        <v>0</v>
      </c>
      <c r="I307" s="67">
        <v>1</v>
      </c>
      <c r="J307" s="66"/>
    </row>
    <row r="308" customHeight="1" spans="1:10">
      <c r="A308" s="66"/>
      <c r="B308" s="66"/>
      <c r="C308" s="66" t="s">
        <v>183</v>
      </c>
      <c r="D308" s="66">
        <v>28</v>
      </c>
      <c r="E308" s="66">
        <v>24</v>
      </c>
      <c r="F308" s="66">
        <v>672</v>
      </c>
      <c r="G308" s="66">
        <v>658</v>
      </c>
      <c r="H308" s="67">
        <v>0.979166666666667</v>
      </c>
      <c r="I308" s="67">
        <v>1</v>
      </c>
      <c r="J308" s="66"/>
    </row>
    <row r="309" customHeight="1" spans="1:10">
      <c r="A309" s="66"/>
      <c r="B309" s="66"/>
      <c r="C309" s="66" t="s">
        <v>187</v>
      </c>
      <c r="D309" s="66">
        <v>28</v>
      </c>
      <c r="E309" s="66">
        <v>24</v>
      </c>
      <c r="F309" s="66">
        <v>672</v>
      </c>
      <c r="G309" s="66">
        <v>96</v>
      </c>
      <c r="H309" s="67">
        <v>0.142857142857143</v>
      </c>
      <c r="I309" s="67">
        <v>1</v>
      </c>
      <c r="J309" s="66"/>
    </row>
    <row r="310" ht="18" customHeight="1" spans="1:10">
      <c r="A310" s="66"/>
      <c r="B310" s="66" t="s">
        <v>272</v>
      </c>
      <c r="C310" s="66" t="s">
        <v>182</v>
      </c>
      <c r="D310" s="66">
        <v>28</v>
      </c>
      <c r="E310" s="66">
        <v>24</v>
      </c>
      <c r="F310" s="66">
        <v>672</v>
      </c>
      <c r="G310" s="66">
        <v>88</v>
      </c>
      <c r="H310" s="67">
        <v>0.130952380952381</v>
      </c>
      <c r="I310" s="67">
        <v>1</v>
      </c>
      <c r="J310" s="65" t="s">
        <v>273</v>
      </c>
    </row>
    <row r="311" ht="27" customHeight="1" spans="1:10">
      <c r="A311" s="66"/>
      <c r="B311" s="66"/>
      <c r="C311" s="66" t="s">
        <v>183</v>
      </c>
      <c r="D311" s="66">
        <v>28</v>
      </c>
      <c r="E311" s="66">
        <v>24</v>
      </c>
      <c r="F311" s="66">
        <v>672</v>
      </c>
      <c r="G311" s="66">
        <v>666</v>
      </c>
      <c r="H311" s="67">
        <v>0.991071428571429</v>
      </c>
      <c r="I311" s="67">
        <v>1</v>
      </c>
      <c r="J311" s="65" t="s">
        <v>273</v>
      </c>
    </row>
    <row r="312" ht="24" customHeight="1" spans="1:10">
      <c r="A312" s="68" t="s">
        <v>72</v>
      </c>
      <c r="B312" s="68"/>
      <c r="C312" s="15"/>
      <c r="D312" s="15"/>
      <c r="E312" s="69" t="s">
        <v>73</v>
      </c>
      <c r="F312" s="69"/>
      <c r="G312" s="70"/>
      <c r="H312" s="10" t="str">
        <f>H38</f>
        <v>制表时间：2023/3/6</v>
      </c>
      <c r="I312" s="10"/>
      <c r="J312" s="10"/>
    </row>
    <row r="313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79:J179"/>
    <mergeCell ref="A180:J180"/>
    <mergeCell ref="H221:J221"/>
    <mergeCell ref="A224:J224"/>
    <mergeCell ref="A225:J225"/>
    <mergeCell ref="H265:J265"/>
    <mergeCell ref="A268:J268"/>
    <mergeCell ref="A269:J269"/>
    <mergeCell ref="H312:J312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1:A183"/>
    <mergeCell ref="A184:A212"/>
    <mergeCell ref="A213:A220"/>
    <mergeCell ref="A226:A228"/>
    <mergeCell ref="A229:A264"/>
    <mergeCell ref="A270:A272"/>
    <mergeCell ref="A273:A289"/>
    <mergeCell ref="A290:A304"/>
    <mergeCell ref="A305:A311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1:B183"/>
    <mergeCell ref="B184:B201"/>
    <mergeCell ref="B202:B203"/>
    <mergeCell ref="B204:B206"/>
    <mergeCell ref="B207:B212"/>
    <mergeCell ref="B213:B216"/>
    <mergeCell ref="B217:B220"/>
    <mergeCell ref="B226:B228"/>
    <mergeCell ref="B229:B232"/>
    <mergeCell ref="B233:B238"/>
    <mergeCell ref="B239:B242"/>
    <mergeCell ref="B243:B248"/>
    <mergeCell ref="B249:B256"/>
    <mergeCell ref="B257:B259"/>
    <mergeCell ref="B260:B264"/>
    <mergeCell ref="B270:B272"/>
    <mergeCell ref="B273:B275"/>
    <mergeCell ref="B276:B283"/>
    <mergeCell ref="B284:B286"/>
    <mergeCell ref="B287:B289"/>
    <mergeCell ref="B290:B297"/>
    <mergeCell ref="B298:B301"/>
    <mergeCell ref="B302:B304"/>
    <mergeCell ref="B305:B306"/>
    <mergeCell ref="B307:B309"/>
    <mergeCell ref="B310:B311"/>
    <mergeCell ref="C3:C5"/>
    <mergeCell ref="C48:C50"/>
    <mergeCell ref="C92:C94"/>
    <mergeCell ref="C137:C139"/>
    <mergeCell ref="C181:C183"/>
    <mergeCell ref="C226:C228"/>
    <mergeCell ref="C270:C272"/>
    <mergeCell ref="D3:D4"/>
    <mergeCell ref="D48:D49"/>
    <mergeCell ref="D92:D93"/>
    <mergeCell ref="D137:D138"/>
    <mergeCell ref="D181:D182"/>
    <mergeCell ref="D226:D227"/>
    <mergeCell ref="D270:D271"/>
    <mergeCell ref="E3:E4"/>
    <mergeCell ref="E48:E49"/>
    <mergeCell ref="E92:E93"/>
    <mergeCell ref="E137:E138"/>
    <mergeCell ref="E181:E182"/>
    <mergeCell ref="E226:E227"/>
    <mergeCell ref="E270:E271"/>
    <mergeCell ref="F3:F4"/>
    <mergeCell ref="F48:F49"/>
    <mergeCell ref="F92:F93"/>
    <mergeCell ref="F137:F138"/>
    <mergeCell ref="F181:F182"/>
    <mergeCell ref="F226:F227"/>
    <mergeCell ref="F270:F271"/>
    <mergeCell ref="G3:G4"/>
    <mergeCell ref="G48:G49"/>
    <mergeCell ref="G92:G93"/>
    <mergeCell ref="G137:G138"/>
    <mergeCell ref="G181:G182"/>
    <mergeCell ref="G226:G227"/>
    <mergeCell ref="G270:G271"/>
    <mergeCell ref="H3:H4"/>
    <mergeCell ref="H48:H49"/>
    <mergeCell ref="H92:H93"/>
    <mergeCell ref="H137:H138"/>
    <mergeCell ref="H181:H182"/>
    <mergeCell ref="H226:H227"/>
    <mergeCell ref="H270:H271"/>
    <mergeCell ref="I3:I4"/>
    <mergeCell ref="I48:I49"/>
    <mergeCell ref="I92:I93"/>
    <mergeCell ref="I137:I138"/>
    <mergeCell ref="I181:I182"/>
    <mergeCell ref="I226:I227"/>
    <mergeCell ref="I270:I271"/>
    <mergeCell ref="J3:J5"/>
    <mergeCell ref="J48:J50"/>
    <mergeCell ref="J92:J94"/>
    <mergeCell ref="J137:J139"/>
    <mergeCell ref="J181:J183"/>
    <mergeCell ref="J226:J228"/>
    <mergeCell ref="J270:J272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L31" sqref="L31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77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44958</v>
      </c>
      <c r="E2" s="33"/>
      <c r="F2" s="31"/>
    </row>
    <row r="3" ht="20.25" customHeight="1" spans="1:7">
      <c r="A3" s="34" t="s">
        <v>274</v>
      </c>
      <c r="B3" s="34" t="s">
        <v>168</v>
      </c>
      <c r="C3" s="34" t="s">
        <v>275</v>
      </c>
      <c r="D3" s="34" t="s">
        <v>276</v>
      </c>
      <c r="E3" s="34" t="s">
        <v>277</v>
      </c>
      <c r="F3" s="34" t="s">
        <v>278</v>
      </c>
      <c r="G3" s="35" t="s">
        <v>132</v>
      </c>
    </row>
    <row r="4" ht="22.5" spans="1:8">
      <c r="A4" s="36" t="s">
        <v>279</v>
      </c>
      <c r="B4" s="37" t="s">
        <v>280</v>
      </c>
      <c r="C4" s="37" t="s">
        <v>281</v>
      </c>
      <c r="D4" s="34" t="s">
        <v>282</v>
      </c>
      <c r="E4" s="34" t="s">
        <v>283</v>
      </c>
      <c r="F4" s="38" t="s">
        <v>284</v>
      </c>
      <c r="G4" s="39" t="s">
        <v>285</v>
      </c>
      <c r="H4" s="40"/>
    </row>
    <row r="5" ht="22.5" spans="1:7">
      <c r="A5" s="41"/>
      <c r="B5" s="37" t="s">
        <v>286</v>
      </c>
      <c r="C5" s="37" t="s">
        <v>281</v>
      </c>
      <c r="D5" s="34" t="s">
        <v>282</v>
      </c>
      <c r="E5" s="34" t="s">
        <v>283</v>
      </c>
      <c r="F5" s="34" t="s">
        <v>284</v>
      </c>
      <c r="G5" s="39" t="str">
        <f>G4</f>
        <v>2022-02-07 2022-02-14 2022-02-21 2022-02-28</v>
      </c>
    </row>
    <row r="6" ht="22.5" spans="1:7">
      <c r="A6" s="41"/>
      <c r="B6" s="37" t="s">
        <v>287</v>
      </c>
      <c r="C6" s="37" t="s">
        <v>281</v>
      </c>
      <c r="D6" s="34" t="s">
        <v>282</v>
      </c>
      <c r="E6" s="34" t="s">
        <v>283</v>
      </c>
      <c r="F6" s="34" t="s">
        <v>284</v>
      </c>
      <c r="G6" s="39" t="str">
        <f t="shared" ref="G6:G20" si="0">G5</f>
        <v>2022-02-07 2022-02-14 2022-02-21 2022-02-28</v>
      </c>
    </row>
    <row r="7" ht="22.5" spans="1:7">
      <c r="A7" s="42"/>
      <c r="B7" s="37" t="s">
        <v>288</v>
      </c>
      <c r="C7" s="37" t="s">
        <v>281</v>
      </c>
      <c r="D7" s="34" t="s">
        <v>282</v>
      </c>
      <c r="E7" s="34" t="s">
        <v>283</v>
      </c>
      <c r="F7" s="34" t="s">
        <v>284</v>
      </c>
      <c r="G7" s="39" t="str">
        <f t="shared" si="0"/>
        <v>2022-02-07 2022-02-14 2022-02-21 2022-02-28</v>
      </c>
    </row>
    <row r="8" ht="22.5" spans="1:7">
      <c r="A8" s="36" t="s">
        <v>289</v>
      </c>
      <c r="B8" s="37" t="s">
        <v>280</v>
      </c>
      <c r="C8" s="37" t="s">
        <v>290</v>
      </c>
      <c r="D8" s="34" t="s">
        <v>282</v>
      </c>
      <c r="E8" s="34" t="s">
        <v>283</v>
      </c>
      <c r="F8" s="34" t="s">
        <v>284</v>
      </c>
      <c r="G8" s="39" t="str">
        <f t="shared" si="0"/>
        <v>2022-02-07 2022-02-14 2022-02-21 2022-02-28</v>
      </c>
    </row>
    <row r="9" ht="22.5" spans="1:7">
      <c r="A9" s="41"/>
      <c r="B9" s="37" t="s">
        <v>286</v>
      </c>
      <c r="C9" s="37" t="s">
        <v>290</v>
      </c>
      <c r="D9" s="34" t="s">
        <v>282</v>
      </c>
      <c r="E9" s="34" t="s">
        <v>283</v>
      </c>
      <c r="F9" s="34" t="s">
        <v>284</v>
      </c>
      <c r="G9" s="39" t="str">
        <f t="shared" si="0"/>
        <v>2022-02-07 2022-02-14 2022-02-21 2022-02-28</v>
      </c>
    </row>
    <row r="10" ht="22.5" spans="1:7">
      <c r="A10" s="41"/>
      <c r="B10" s="37" t="s">
        <v>287</v>
      </c>
      <c r="C10" s="37" t="s">
        <v>290</v>
      </c>
      <c r="D10" s="34" t="s">
        <v>282</v>
      </c>
      <c r="E10" s="34" t="s">
        <v>283</v>
      </c>
      <c r="F10" s="34" t="s">
        <v>284</v>
      </c>
      <c r="G10" s="39" t="str">
        <f t="shared" si="0"/>
        <v>2022-02-07 2022-02-14 2022-02-21 2022-02-28</v>
      </c>
    </row>
    <row r="11" ht="22.5" spans="1:7">
      <c r="A11" s="42"/>
      <c r="B11" s="37" t="s">
        <v>288</v>
      </c>
      <c r="C11" s="37" t="s">
        <v>290</v>
      </c>
      <c r="D11" s="34" t="s">
        <v>282</v>
      </c>
      <c r="E11" s="34" t="s">
        <v>283</v>
      </c>
      <c r="F11" s="34" t="s">
        <v>284</v>
      </c>
      <c r="G11" s="39" t="str">
        <f t="shared" si="0"/>
        <v>2022-02-07 2022-02-14 2022-02-21 2022-02-28</v>
      </c>
    </row>
    <row r="12" ht="24" customHeight="1" spans="1:7">
      <c r="A12" s="37" t="s">
        <v>291</v>
      </c>
      <c r="B12" s="37" t="s">
        <v>182</v>
      </c>
      <c r="C12" s="34" t="s">
        <v>292</v>
      </c>
      <c r="D12" s="34" t="s">
        <v>293</v>
      </c>
      <c r="E12" s="34" t="s">
        <v>283</v>
      </c>
      <c r="F12" s="34" t="s">
        <v>294</v>
      </c>
      <c r="G12" s="39" t="str">
        <f t="shared" si="0"/>
        <v>2022-02-07 2022-02-14 2022-02-21 2022-02-28</v>
      </c>
    </row>
    <row r="13" ht="22.5" spans="1:7">
      <c r="A13" s="36" t="s">
        <v>295</v>
      </c>
      <c r="B13" s="37" t="s">
        <v>280</v>
      </c>
      <c r="C13" s="34" t="s">
        <v>296</v>
      </c>
      <c r="D13" s="34" t="s">
        <v>297</v>
      </c>
      <c r="E13" s="34" t="s">
        <v>283</v>
      </c>
      <c r="F13" s="34" t="s">
        <v>284</v>
      </c>
      <c r="G13" s="39" t="str">
        <f t="shared" si="0"/>
        <v>2022-02-07 2022-02-14 2022-02-21 2022-02-28</v>
      </c>
    </row>
    <row r="14" ht="22.5" spans="1:7">
      <c r="A14" s="41"/>
      <c r="B14" s="37" t="s">
        <v>286</v>
      </c>
      <c r="C14" s="34" t="s">
        <v>296</v>
      </c>
      <c r="D14" s="34" t="s">
        <v>297</v>
      </c>
      <c r="E14" s="34" t="s">
        <v>283</v>
      </c>
      <c r="F14" s="34" t="s">
        <v>284</v>
      </c>
      <c r="G14" s="39" t="str">
        <f t="shared" si="0"/>
        <v>2022-02-07 2022-02-14 2022-02-21 2022-02-28</v>
      </c>
    </row>
    <row r="15" ht="22.5" spans="1:7">
      <c r="A15" s="41"/>
      <c r="B15" s="37" t="s">
        <v>287</v>
      </c>
      <c r="C15" s="34" t="s">
        <v>296</v>
      </c>
      <c r="D15" s="34" t="s">
        <v>297</v>
      </c>
      <c r="E15" s="34" t="s">
        <v>283</v>
      </c>
      <c r="F15" s="34" t="s">
        <v>284</v>
      </c>
      <c r="G15" s="39" t="str">
        <f t="shared" si="0"/>
        <v>2022-02-07 2022-02-14 2022-02-21 2022-02-28</v>
      </c>
    </row>
    <row r="16" ht="22.5" spans="1:7">
      <c r="A16" s="42"/>
      <c r="B16" s="37" t="s">
        <v>288</v>
      </c>
      <c r="C16" s="34" t="s">
        <v>296</v>
      </c>
      <c r="D16" s="34" t="s">
        <v>297</v>
      </c>
      <c r="E16" s="34" t="s">
        <v>283</v>
      </c>
      <c r="F16" s="34" t="s">
        <v>284</v>
      </c>
      <c r="G16" s="39" t="str">
        <f t="shared" si="0"/>
        <v>2022-02-07 2022-02-14 2022-02-21 2022-02-28</v>
      </c>
    </row>
    <row r="17" ht="22.5" spans="1:7">
      <c r="A17" s="34" t="s">
        <v>298</v>
      </c>
      <c r="B17" s="37" t="s">
        <v>280</v>
      </c>
      <c r="C17" s="34" t="s">
        <v>299</v>
      </c>
      <c r="D17" s="34" t="s">
        <v>297</v>
      </c>
      <c r="E17" s="34" t="s">
        <v>283</v>
      </c>
      <c r="F17" s="34" t="s">
        <v>284</v>
      </c>
      <c r="G17" s="39" t="str">
        <f t="shared" si="0"/>
        <v>2022-02-07 2022-02-14 2022-02-21 2022-02-28</v>
      </c>
    </row>
    <row r="18" ht="22.5" spans="1:7">
      <c r="A18" s="34"/>
      <c r="B18" s="37" t="s">
        <v>286</v>
      </c>
      <c r="C18" s="37" t="s">
        <v>290</v>
      </c>
      <c r="D18" s="34" t="s">
        <v>297</v>
      </c>
      <c r="E18" s="34" t="s">
        <v>283</v>
      </c>
      <c r="F18" s="34" t="s">
        <v>284</v>
      </c>
      <c r="G18" s="39" t="str">
        <f t="shared" si="0"/>
        <v>2022-02-07 2022-02-14 2022-02-21 2022-02-28</v>
      </c>
    </row>
    <row r="19" ht="22.5" spans="1:7">
      <c r="A19" s="34"/>
      <c r="B19" s="37" t="s">
        <v>287</v>
      </c>
      <c r="C19" s="34" t="s">
        <v>299</v>
      </c>
      <c r="D19" s="34" t="s">
        <v>297</v>
      </c>
      <c r="E19" s="34" t="s">
        <v>283</v>
      </c>
      <c r="F19" s="34" t="s">
        <v>284</v>
      </c>
      <c r="G19" s="39" t="str">
        <f t="shared" si="0"/>
        <v>2022-02-07 2022-02-14 2022-02-21 2022-02-28</v>
      </c>
    </row>
    <row r="20" ht="22.5" spans="1:7">
      <c r="A20" s="34"/>
      <c r="B20" s="37" t="s">
        <v>288</v>
      </c>
      <c r="C20" s="37" t="s">
        <v>290</v>
      </c>
      <c r="D20" s="34" t="s">
        <v>297</v>
      </c>
      <c r="E20" s="34" t="s">
        <v>283</v>
      </c>
      <c r="F20" s="34" t="s">
        <v>284</v>
      </c>
      <c r="G20" s="39" t="str">
        <f t="shared" si="0"/>
        <v>2022-02-07 2022-02-14 2022-02-21 2022-02-28</v>
      </c>
    </row>
    <row r="21" ht="20.25" customHeight="1" spans="1:7">
      <c r="A21" s="43" t="s">
        <v>72</v>
      </c>
      <c r="B21" s="43"/>
      <c r="C21" s="43"/>
      <c r="D21" s="43" t="s">
        <v>73</v>
      </c>
      <c r="E21" s="43"/>
      <c r="F21" s="43" t="s">
        <v>300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77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44958</v>
      </c>
      <c r="E26" s="50"/>
      <c r="F26" s="31"/>
    </row>
    <row r="27" ht="18.75" customHeight="1" spans="1:7">
      <c r="A27" s="34" t="s">
        <v>274</v>
      </c>
      <c r="B27" s="34" t="s">
        <v>168</v>
      </c>
      <c r="C27" s="34" t="s">
        <v>275</v>
      </c>
      <c r="D27" s="34" t="s">
        <v>276</v>
      </c>
      <c r="E27" s="34" t="s">
        <v>277</v>
      </c>
      <c r="F27" s="34" t="s">
        <v>278</v>
      </c>
      <c r="G27" s="34" t="s">
        <v>132</v>
      </c>
    </row>
    <row r="28" ht="19.5" customHeight="1" spans="1:7">
      <c r="A28" s="34" t="s">
        <v>301</v>
      </c>
      <c r="B28" s="51" t="s">
        <v>280</v>
      </c>
      <c r="C28" s="51" t="s">
        <v>290</v>
      </c>
      <c r="D28" s="34" t="s">
        <v>282</v>
      </c>
      <c r="E28" s="37" t="s">
        <v>283</v>
      </c>
      <c r="F28" s="34" t="s">
        <v>294</v>
      </c>
      <c r="G28" s="52">
        <v>44609</v>
      </c>
    </row>
    <row r="29" ht="19.5" customHeight="1" spans="1:7">
      <c r="A29" s="34"/>
      <c r="B29" s="51" t="s">
        <v>288</v>
      </c>
      <c r="C29" s="51" t="s">
        <v>290</v>
      </c>
      <c r="D29" s="34" t="s">
        <v>282</v>
      </c>
      <c r="E29" s="37" t="s">
        <v>283</v>
      </c>
      <c r="F29" s="34" t="s">
        <v>294</v>
      </c>
      <c r="G29" s="52">
        <f>G28</f>
        <v>44609</v>
      </c>
    </row>
    <row r="30" ht="19.5" customHeight="1" spans="1:7">
      <c r="A30" s="34" t="s">
        <v>302</v>
      </c>
      <c r="B30" s="51" t="s">
        <v>280</v>
      </c>
      <c r="C30" s="37" t="s">
        <v>292</v>
      </c>
      <c r="D30" s="34" t="s">
        <v>297</v>
      </c>
      <c r="E30" s="37" t="s">
        <v>283</v>
      </c>
      <c r="F30" s="34" t="s">
        <v>294</v>
      </c>
      <c r="G30" s="52">
        <f>G29</f>
        <v>44609</v>
      </c>
    </row>
    <row r="31" ht="19.5" customHeight="1" spans="1:7">
      <c r="A31" s="34"/>
      <c r="B31" s="51" t="s">
        <v>288</v>
      </c>
      <c r="C31" s="37" t="s">
        <v>292</v>
      </c>
      <c r="D31" s="34" t="s">
        <v>297</v>
      </c>
      <c r="E31" s="37" t="s">
        <v>283</v>
      </c>
      <c r="F31" s="34" t="s">
        <v>294</v>
      </c>
      <c r="G31" s="52">
        <f>G30</f>
        <v>44609</v>
      </c>
    </row>
    <row r="32" ht="20.25" customHeight="1" spans="1:7">
      <c r="A32" s="43" t="s">
        <v>72</v>
      </c>
      <c r="B32" s="43"/>
      <c r="C32" s="43"/>
      <c r="D32" s="43" t="s">
        <v>73</v>
      </c>
      <c r="E32" s="43"/>
      <c r="F32" s="43" t="str">
        <f>F21</f>
        <v>制表日期：2023/3/6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F17" sqref="F17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303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304</v>
      </c>
      <c r="B3" s="5"/>
      <c r="C3" s="5"/>
      <c r="D3" s="5"/>
      <c r="E3" s="5" t="s">
        <v>305</v>
      </c>
      <c r="F3" s="5"/>
      <c r="G3" s="5"/>
      <c r="H3" s="5"/>
      <c r="I3" s="3"/>
    </row>
    <row r="4" customHeight="1" spans="1:9">
      <c r="A4" s="5" t="s">
        <v>306</v>
      </c>
      <c r="B4" s="5"/>
      <c r="C4" s="5"/>
      <c r="D4" s="5"/>
      <c r="E4" s="5" t="s">
        <v>307</v>
      </c>
      <c r="F4" s="5"/>
      <c r="G4" s="5" t="s">
        <v>308</v>
      </c>
      <c r="H4" s="5"/>
      <c r="I4" s="25"/>
    </row>
    <row r="5" customHeight="1" spans="1:8">
      <c r="A5" s="5" t="s">
        <v>309</v>
      </c>
      <c r="B5" s="5" t="s">
        <v>310</v>
      </c>
      <c r="C5" s="5" t="s">
        <v>311</v>
      </c>
      <c r="D5" s="5" t="s">
        <v>312</v>
      </c>
      <c r="E5" s="5" t="s">
        <v>309</v>
      </c>
      <c r="F5" s="5" t="s">
        <v>310</v>
      </c>
      <c r="G5" s="5" t="s">
        <v>309</v>
      </c>
      <c r="H5" s="5" t="s">
        <v>312</v>
      </c>
    </row>
    <row r="6" customHeight="1" spans="1:15">
      <c r="A6" s="6" t="s">
        <v>313</v>
      </c>
      <c r="B6" s="7">
        <v>2.19</v>
      </c>
      <c r="C6" s="7">
        <v>7.67</v>
      </c>
      <c r="D6" s="7">
        <v>0.91</v>
      </c>
      <c r="E6" s="6" t="s">
        <v>313</v>
      </c>
      <c r="F6" s="7">
        <v>6.02</v>
      </c>
      <c r="G6" s="6" t="s">
        <v>313</v>
      </c>
      <c r="H6" s="7">
        <v>0.57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314</v>
      </c>
      <c r="B7" s="7">
        <v>2.79</v>
      </c>
      <c r="C7" s="7">
        <v>6.91</v>
      </c>
      <c r="D7" s="7">
        <v>0.8</v>
      </c>
      <c r="E7" s="6" t="s">
        <v>314</v>
      </c>
      <c r="F7" s="7">
        <v>5.71</v>
      </c>
      <c r="G7" s="6" t="s">
        <v>315</v>
      </c>
      <c r="H7" s="7">
        <v>0.81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315</v>
      </c>
      <c r="B8" s="7">
        <v>4.08</v>
      </c>
      <c r="C8" s="7">
        <v>4.01</v>
      </c>
      <c r="D8" s="7">
        <v>0.38</v>
      </c>
      <c r="E8" s="6" t="s">
        <v>315</v>
      </c>
      <c r="F8" s="7">
        <v>4.32</v>
      </c>
      <c r="G8" s="6" t="s">
        <v>316</v>
      </c>
      <c r="H8" s="7">
        <v>0.91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316</v>
      </c>
      <c r="B9" s="7">
        <v>6.16</v>
      </c>
      <c r="C9" s="7">
        <v>3.29</v>
      </c>
      <c r="D9" s="7">
        <v>0.2</v>
      </c>
      <c r="E9" s="6" t="s">
        <v>317</v>
      </c>
      <c r="F9" s="7">
        <v>3.58</v>
      </c>
      <c r="G9" s="6" t="s">
        <v>318</v>
      </c>
      <c r="H9" s="7">
        <v>1.53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319</v>
      </c>
      <c r="B10" s="9">
        <v>4654</v>
      </c>
      <c r="C10" s="10"/>
      <c r="D10" s="11"/>
      <c r="E10" s="6" t="s">
        <v>316</v>
      </c>
      <c r="F10" s="7">
        <v>2.92</v>
      </c>
      <c r="G10" s="5" t="s">
        <v>319</v>
      </c>
      <c r="H10" s="12">
        <v>4252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318</v>
      </c>
      <c r="F11" s="7">
        <v>2.03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319</v>
      </c>
      <c r="F12" s="5">
        <v>4680</v>
      </c>
      <c r="G12" s="5"/>
      <c r="H12" s="22"/>
      <c r="M12" s="26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320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2023-03-07T01:40:57Z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AC0587F76FD54565A1D1EFF08F6CA2B5</vt:lpwstr>
  </property>
</Properties>
</file>