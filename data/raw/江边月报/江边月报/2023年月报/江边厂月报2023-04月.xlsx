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 activeTab="2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<sst xmlns="http://schemas.openxmlformats.org/spreadsheetml/2006/main" count="957" uniqueCount="321">
  <si>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</si>
  <si>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</si>
  <si>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</si>
  <si>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</si>
  <si>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</si>
  <si>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</si>
  <si>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</si>
  <si>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</si>
  <si>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</si>
  <si>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</si>
  <si>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</si>
  <si>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</si>
  <si>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</si>
  <si>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</si>
  <si>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</si>
  <si>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</si>
  <si>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</si>
  <si>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</si>
  <si>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</si>
  <si>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</si>
  <si>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</si>
  <si>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</si>
  <si>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</si>
  <si>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</si>
  <si>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</si>
  <si>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</si>
  <si>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</si>
  <si>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</si>
  <si>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</si>
  <si>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</si>
  <si>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</si>
  <si>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</si>
  <si>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</si>
  <si>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</si>
  <si>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</si>
  <si>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</si>
  <si>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</si>
  <si>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</si>
  <si>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</si>
  <si>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</si>
  <si>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</si>
  <si>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</si>
  <si>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</si>
  <si>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</si>
  <si>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阴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</si>
  <si>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</si>
  <si>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</si>
  <si>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</si>
  <si>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</si>
  <si>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</si>
  <si>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</si>
  <si>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</si>
  <si>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</si>
  <si>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</si>
  <si>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</si>
  <si>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</si>
  <si>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</si>
  <si>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</si>
  <si>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</si>
  <si>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</si>
  <si>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</si>
  <si>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</si>
  <si>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</si>
  <si>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</si>
  <si>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</si>
  <si>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t>雨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</si>
  <si>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</si>
  <si>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</si>
  <si>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</si>
  <si>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</si>
  <si>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</si>
  <si>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</si>
  <si>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</si>
  <si>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</si>
  <si>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</si>
  <si>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</si>
  <si>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</si>
  <si>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</si>
  <si>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</si>
  <si>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</si>
  <si>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</si>
  <si>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</si>
  <si>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</si>
  <si>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</si>
  <si>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</si>
  <si>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</si>
  <si>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</si>
  <si>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</si>
  <si>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</si>
  <si>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</si>
  <si>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</si>
  <si>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</si>
  <si>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</si>
  <si>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</si>
  <si>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</si>
  <si>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</si>
  <si>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</si>
  <si>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</si>
  <si>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</si>
  <si>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</si>
  <si>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</si>
  <si>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</si>
  <si>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</si>
  <si>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</si>
  <si>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</si>
  <si>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</si>
  <si>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</si>
  <si>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</si>
  <si>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</si>
  <si>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</si>
  <si>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</si>
  <si>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</si>
  <si>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</si>
  <si>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</si>
  <si>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</si>
  <si>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</si>
  <si>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</si>
  <si>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</si>
  <si>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</si>
  <si>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</si>
  <si>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</si>
  <si>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</si>
  <si>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</si>
  <si>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</si>
  <si>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</si>
  <si>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</si>
  <si>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</si>
  <si>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</si>
  <si>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</si>
  <si>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</si>
  <si>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</si>
  <si>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</si>
  <si>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本月产生泥饼5267.60吨，其中运往常州市英科环境科技有限公司1946.70吨，国电常州发电有限公司3246.10吨，江苏腾业新材料有限公司24.48吨，外运接种：江苏盈天化学有限公司50.32吨。</t>
  </si>
  <si>
    <t>审核：                                               制表：                               制表日期：2023/5/4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</si>
  <si>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</si>
  <si>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</si>
  <si>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</si>
  <si>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</si>
  <si>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</si>
  <si>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</si>
  <si>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</si>
  <si>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</si>
  <si>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</si>
  <si>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</si>
  <si>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</si>
  <si>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</si>
  <si>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</si>
  <si>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</si>
  <si>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制表时间：2023/5/7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</si>
  <si>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</si>
  <si>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</si>
  <si>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</si>
  <si>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</si>
  <si>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</si>
  <si>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</si>
  <si>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</si>
  <si>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</si>
  <si>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</si>
  <si>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</si>
  <si>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</si>
  <si>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</si>
  <si>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</si>
  <si>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</si>
  <si>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</si>
  <si>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</si>
  <si>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</si>
  <si>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</si>
  <si>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</si>
  <si>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</si>
  <si>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</si>
  <si>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</si>
  <si>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</si>
  <si>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</si>
  <si>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</si>
  <si>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</si>
  <si>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</si>
  <si>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</si>
  <si>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</si>
  <si>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</si>
  <si>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</si>
  <si>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11日加油保养</t>
  </si>
  <si>
    <t>2#</t>
  </si>
  <si>
    <t>螺旋输送机</t>
  </si>
  <si>
    <t>螺旋压榨机</t>
  </si>
  <si>
    <t>进水泵</t>
  </si>
  <si>
    <t>3#</t>
  </si>
  <si>
    <t>4#</t>
  </si>
  <si>
    <t>7日保养</t>
  </si>
  <si>
    <t>5#</t>
  </si>
  <si>
    <t>细格栅机</t>
  </si>
  <si>
    <t>6#</t>
  </si>
  <si>
    <t>搅拌机</t>
  </si>
  <si>
    <t>砂水分离机</t>
  </si>
  <si>
    <t>高压鼓风机</t>
  </si>
  <si>
    <t>17日加油</t>
  </si>
  <si>
    <t>11日更换滤网</t>
  </si>
  <si>
    <t>4日更换滤网、17日加油</t>
  </si>
  <si>
    <t>11日更换滤网、17日加油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</si>
  <si>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</si>
  <si>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</si>
  <si>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</si>
  <si>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</si>
  <si>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</si>
  <si>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</si>
  <si>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</si>
  <si>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</si>
  <si>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</si>
  <si>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</si>
  <si>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</si>
  <si>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</si>
  <si>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</si>
  <si>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</si>
  <si>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</si>
  <si>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</si>
  <si>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</si>
  <si>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</si>
  <si>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</si>
  <si>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</si>
  <si>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</si>
  <si>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</si>
  <si>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</si>
  <si>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</si>
  <si>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</si>
  <si>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</si>
  <si>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</si>
  <si>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</si>
  <si>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</si>
  <si>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</si>
  <si>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</si>
  <si>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</si>
  <si>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</si>
  <si>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</si>
  <si>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</si>
  <si>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</si>
  <si>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</si>
  <si>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10日配合修理（正常）</t>
  </si>
  <si>
    <t>一
期
二
级
处
理</t>
  </si>
  <si>
    <t>一
期
厌
、
缺
、
好
氧
区
搅
拌
器</t>
  </si>
  <si>
    <t>工艺调整，停开</t>
  </si>
  <si>
    <t>一期
厌、缺
、好氧
区搅拌
器</t>
  </si>
  <si>
    <t>二沉池
刮吸泥机</t>
  </si>
  <si>
    <t>20-21日真空泵修理</t>
  </si>
  <si>
    <t>剩余
污泥泵</t>
  </si>
  <si>
    <t>24日保养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</si>
  <si>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</si>
  <si>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</si>
  <si>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</si>
  <si>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</si>
  <si>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</si>
  <si>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</si>
  <si>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</si>
  <si>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</si>
  <si>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</si>
  <si>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</si>
  <si>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</si>
  <si>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</si>
  <si>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</si>
  <si>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</si>
  <si>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7日更换排气阀电磁阀一只</t>
  </si>
  <si>
    <t>V型滤池
（北）</t>
  </si>
  <si>
    <t>反冲洗泵</t>
  </si>
  <si>
    <t>17日保养</t>
  </si>
  <si>
    <t>反冲洗风机</t>
  </si>
  <si>
    <t>二
氧
化
氯
发
生
器
房</t>
  </si>
  <si>
    <t>欧泰华
二氧化氯
发生器</t>
  </si>
  <si>
    <t>18日保养</t>
  </si>
  <si>
    <t>18日保养、23日更换氯酸钠计量泵、背压阀</t>
  </si>
  <si>
    <t>山大华特
二氧化氯
发生器</t>
  </si>
  <si>
    <t>18日保养、23日更换氯酸钠计量泵</t>
  </si>
  <si>
    <t>增压水泵</t>
  </si>
  <si>
    <t>脱
水
机
房</t>
  </si>
  <si>
    <t>浓缩池刮泥机</t>
  </si>
  <si>
    <t>进泥泵</t>
  </si>
  <si>
    <t>脱水离心机</t>
  </si>
  <si>
    <t>28日保养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</si>
  <si>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</si>
  <si>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</si>
  <si>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</si>
  <si>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</si>
  <si>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</si>
  <si>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</si>
  <si>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</si>
  <si>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t>哈希LDO2</t>
  </si>
  <si>
    <t>一期生反池</t>
  </si>
  <si>
    <t>正常</t>
  </si>
  <si>
    <t>校准</t>
  </si>
  <si>
    <t>2023-04-06 2023-04-13 2023-04-20 2023-04-27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</si>
  <si>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</si>
  <si>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</si>
  <si>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</si>
  <si>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</si>
  <si>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</si>
  <si>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</si>
  <si>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</si>
  <si>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</si>
  <si>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</si>
  <si>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</si>
  <si>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</si>
  <si>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</si>
  <si>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</si>
  <si>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t>制表日期：2023/5/5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</si>
  <si>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</si>
  <si>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</si>
  <si>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</si>
  <si>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</si>
  <si>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采样时间：2023-04-27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</si>
  <si>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</si>
  <si>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</si>
  <si>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</si>
  <si>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</si>
  <si>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</si>
  <si>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</si>
  <si>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</si>
  <si>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</si>
  <si>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</si>
  <si>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</si>
  <si>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</si>
  <si>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</si>
  <si>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</si>
  <si>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</si>
  <si>
    <t>制表日期：2023/05/5</t>
  </si>
</sst>
</file>

<file path=xl/styles.xml><?xml version="1.0" encoding="utf-8"?>
<styleSheet xmlns="http://schemas.openxmlformats.org/spreadsheetml/2006/main">
  <numFmts count="27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;[Red]0.0"/>
    <numFmt numFmtId="177" formatCode="0.0_);\(0.0\)"/>
    <numFmt numFmtId="178" formatCode="0_ "/>
    <numFmt numFmtId="179" formatCode="0.00;_鰀"/>
    <numFmt numFmtId="180" formatCode="0.000_ "/>
    <numFmt numFmtId="181" formatCode="0_);[Red]\(0\)"/>
    <numFmt numFmtId="182" formatCode="0.0%"/>
    <numFmt numFmtId="183" formatCode="0;[Red]0"/>
    <numFmt numFmtId="184" formatCode="0.00_);[Red]\(0.00\)"/>
    <numFmt numFmtId="185" formatCode="0.000_);[Red]\(0.000\)"/>
    <numFmt numFmtId="186" formatCode="0;_鰀"/>
    <numFmt numFmtId="187" formatCode="yyyy&quot;年&quot;m&quot;月&quot;;@"/>
    <numFmt numFmtId="188" formatCode="0.0000_);[Red]\(0.0000\)"/>
    <numFmt numFmtId="189" formatCode="0.0;_ﰀ"/>
    <numFmt numFmtId="190" formatCode="0.0_ "/>
    <numFmt numFmtId="191" formatCode="0.00;[Red]0.00"/>
    <numFmt numFmtId="192" formatCode="0.000;_鰀"/>
    <numFmt numFmtId="193" formatCode="#,##0.00_ "/>
    <numFmt numFmtId="194" formatCode="0.0_);[Red]\(0.0\)"/>
    <numFmt numFmtId="195" formatCode="0.0000_ "/>
    <numFmt numFmtId="196" formatCode="0;_䠀"/>
    <numFmt numFmtId="197" formatCode="0.00_ "/>
    <numFmt numFmtId="198" formatCode="0;_ﰀ"/>
  </numFmts>
  <fonts count="58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15"/>
      <color indexed="56"/>
      <name val="宋体"/>
      <charset val="134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u/>
      <sz val="12"/>
      <color indexed="12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u/>
      <sz val="12"/>
      <color indexed="36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39" fillId="0" borderId="21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8" fillId="8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6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0" fillId="19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40" fillId="10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6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36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11" borderId="0" applyNumberFormat="0" applyBorder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36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36" fillId="5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>
      <alignment vertical="top"/>
      <protection locked="0"/>
    </xf>
    <xf numFmtId="0" fontId="36" fillId="2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0" fillId="0" borderId="0"/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21" borderId="0">
      <alignment vertical="top"/>
      <protection locked="0"/>
    </xf>
    <xf numFmtId="0" fontId="40" fillId="1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6" fillId="0" borderId="0">
      <alignment vertical="center"/>
    </xf>
    <xf numFmtId="0" fontId="52" fillId="0" borderId="27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36" fillId="0" borderId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/>
    <xf numFmtId="0" fontId="38" fillId="8" borderId="20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47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1" fillId="1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36" fillId="0" borderId="0">
      <alignment vertical="center"/>
    </xf>
    <xf numFmtId="0" fontId="0" fillId="23" borderId="25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40" fillId="22" borderId="0" applyNumberFormat="0" applyBorder="0" applyAlignment="0" applyProtection="0">
      <alignment vertical="center"/>
    </xf>
    <xf numFmtId="0" fontId="0" fillId="0" borderId="0"/>
    <xf numFmtId="0" fontId="48" fillId="0" borderId="23" applyNumberFormat="0" applyFill="0" applyAlignment="0" applyProtection="0">
      <alignment vertical="center"/>
    </xf>
    <xf numFmtId="0" fontId="0" fillId="0" borderId="0"/>
    <xf numFmtId="0" fontId="40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0" borderId="0">
      <alignment vertical="center"/>
    </xf>
    <xf numFmtId="0" fontId="36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8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8" fillId="8" borderId="20" applyNumberFormat="0" applyAlignment="0" applyProtection="0">
      <alignment vertical="center"/>
    </xf>
    <xf numFmtId="0" fontId="0" fillId="0" borderId="0"/>
    <xf numFmtId="0" fontId="38" fillId="8" borderId="20" applyNumberFormat="0" applyAlignment="0" applyProtection="0">
      <alignment vertical="center"/>
    </xf>
    <xf numFmtId="0" fontId="0" fillId="0" borderId="0"/>
    <xf numFmtId="0" fontId="0" fillId="0" borderId="0"/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37" fillId="7" borderId="20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9" fillId="20" borderId="24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43" fillId="7" borderId="22" applyNumberFormat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38" fillId="8" borderId="20" applyNumberFormat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0" fillId="23" borderId="25" applyNumberFormat="0" applyFont="0" applyAlignment="0" applyProtection="0">
      <alignment vertical="center"/>
    </xf>
    <xf numFmtId="0" fontId="0" fillId="23" borderId="25" applyNumberFormat="0" applyFont="0" applyAlignment="0" applyProtection="0">
      <alignment vertical="center"/>
    </xf>
  </cellStyleXfs>
  <cellXfs count="32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1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/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87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94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97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1" fontId="1" fillId="0" borderId="1" xfId="10" applyNumberFormat="1" applyFont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3" fontId="17" fillId="0" borderId="4" xfId="0" applyNumberFormat="1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197" fontId="17" fillId="0" borderId="4" xfId="0" applyNumberFormat="1" applyFont="1" applyBorder="1" applyAlignment="1">
      <alignment vertical="center"/>
    </xf>
    <xf numFmtId="176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3" fontId="17" fillId="0" borderId="0" xfId="0" applyNumberFormat="1" applyFont="1" applyBorder="1" applyAlignment="1">
      <alignment vertical="center"/>
    </xf>
    <xf numFmtId="183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vertical="center"/>
    </xf>
    <xf numFmtId="197" fontId="17" fillId="0" borderId="0" xfId="0" applyNumberFormat="1" applyFont="1" applyAlignment="1">
      <alignment vertical="center"/>
    </xf>
    <xf numFmtId="176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90" fontId="19" fillId="0" borderId="4" xfId="0" applyNumberFormat="1" applyFont="1" applyFill="1" applyBorder="1" applyAlignment="1">
      <alignment horizontal="center" vertical="center"/>
    </xf>
    <xf numFmtId="190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90" fontId="19" fillId="0" borderId="0" xfId="0" applyNumberFormat="1" applyFont="1" applyFill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90" fontId="20" fillId="0" borderId="0" xfId="0" applyNumberFormat="1" applyFont="1" applyFill="1" applyBorder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90" fontId="20" fillId="0" borderId="0" xfId="0" applyNumberFormat="1" applyFont="1" applyFill="1" applyAlignment="1">
      <alignment horizontal="center" vertical="center"/>
    </xf>
    <xf numFmtId="197" fontId="19" fillId="0" borderId="0" xfId="0" applyNumberFormat="1" applyFont="1" applyFill="1" applyAlignment="1">
      <alignment horizontal="center" vertical="center"/>
    </xf>
    <xf numFmtId="197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90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97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4" fontId="1" fillId="0" borderId="1" xfId="0" applyNumberFormat="1" applyFont="1" applyBorder="1" applyAlignment="1">
      <alignment horizontal="center" vertical="center" wrapText="1"/>
    </xf>
    <xf numFmtId="191" fontId="25" fillId="3" borderId="1" xfId="0" applyNumberFormat="1" applyFont="1" applyFill="1" applyBorder="1" applyAlignment="1">
      <alignment horizontal="center" vertical="center"/>
    </xf>
    <xf numFmtId="191" fontId="1" fillId="0" borderId="1" xfId="10" applyNumberFormat="1" applyFont="1" applyBorder="1" applyAlignment="1">
      <alignment horizontal="center" vertical="center" wrapText="1"/>
    </xf>
    <xf numFmtId="184" fontId="1" fillId="0" borderId="1" xfId="0" applyNumberFormat="1" applyFont="1" applyFill="1" applyBorder="1" applyAlignment="1">
      <alignment horizontal="center" vertical="center" wrapText="1"/>
    </xf>
    <xf numFmtId="191" fontId="1" fillId="2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2" fontId="20" fillId="0" borderId="5" xfId="20" applyNumberFormat="1" applyFont="1" applyFill="1" applyBorder="1" applyAlignment="1">
      <alignment horizontal="center" vertical="center"/>
    </xf>
    <xf numFmtId="180" fontId="20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82" fontId="20" fillId="0" borderId="8" xfId="20" applyNumberFormat="1" applyFont="1" applyFill="1" applyBorder="1" applyAlignment="1">
      <alignment horizontal="center" vertical="center"/>
    </xf>
    <xf numFmtId="197" fontId="20" fillId="0" borderId="8" xfId="0" applyNumberFormat="1" applyFont="1" applyFill="1" applyBorder="1" applyAlignment="1">
      <alignment horizontal="center" vertical="center"/>
    </xf>
    <xf numFmtId="190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82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3" fontId="0" fillId="0" borderId="0" xfId="0" applyNumberFormat="1"/>
    <xf numFmtId="182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90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96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97" fontId="9" fillId="0" borderId="1" xfId="0" applyNumberFormat="1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90" fontId="9" fillId="0" borderId="9" xfId="0" applyNumberFormat="1" applyFont="1" applyBorder="1" applyAlignment="1">
      <alignment horizontal="center" vertical="center" wrapText="1"/>
    </xf>
    <xf numFmtId="186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78" fontId="9" fillId="0" borderId="1" xfId="491" applyNumberFormat="1" applyFont="1" applyBorder="1" applyAlignment="1">
      <alignment horizontal="center" vertical="center" wrapText="1"/>
    </xf>
    <xf numFmtId="197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90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90" fontId="9" fillId="0" borderId="13" xfId="0" applyNumberFormat="1" applyFont="1" applyBorder="1" applyAlignment="1">
      <alignment horizontal="center" vertical="center" wrapText="1"/>
    </xf>
    <xf numFmtId="190" fontId="9" fillId="0" borderId="14" xfId="0" applyNumberFormat="1" applyFont="1" applyBorder="1" applyAlignment="1">
      <alignment horizontal="center" vertical="center" wrapText="1"/>
    </xf>
    <xf numFmtId="197" fontId="9" fillId="0" borderId="13" xfId="0" applyNumberFormat="1" applyFont="1" applyBorder="1" applyAlignment="1">
      <alignment horizontal="center" vertical="center" wrapText="1"/>
    </xf>
    <xf numFmtId="197" fontId="9" fillId="0" borderId="14" xfId="0" applyNumberFormat="1" applyFont="1" applyBorder="1" applyAlignment="1">
      <alignment horizontal="center" vertical="center" wrapText="1"/>
    </xf>
    <xf numFmtId="190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8" fontId="0" fillId="0" borderId="0" xfId="0" applyNumberFormat="1" applyFont="1"/>
    <xf numFmtId="180" fontId="9" fillId="0" borderId="1" xfId="491" applyNumberFormat="1" applyFont="1" applyBorder="1" applyAlignment="1">
      <alignment horizontal="center" vertical="center" wrapText="1"/>
    </xf>
    <xf numFmtId="197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7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84" fontId="9" fillId="0" borderId="1" xfId="491" applyNumberFormat="1" applyFont="1" applyFill="1" applyBorder="1" applyAlignment="1">
      <alignment horizontal="center" vertical="center" wrapText="1"/>
    </xf>
    <xf numFmtId="197" fontId="9" fillId="0" borderId="1" xfId="0" applyNumberFormat="1" applyFont="1" applyBorder="1" applyAlignment="1">
      <alignment horizontal="center" vertical="center"/>
    </xf>
    <xf numFmtId="193" fontId="9" fillId="0" borderId="0" xfId="0" applyNumberFormat="1" applyFont="1"/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96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6" fontId="1" fillId="0" borderId="1" xfId="341" applyNumberFormat="1" applyFont="1" applyFill="1" applyBorder="1" applyAlignment="1">
      <alignment horizontal="center" vertical="center" wrapText="1"/>
    </xf>
    <xf numFmtId="179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8" fontId="1" fillId="0" borderId="1" xfId="0" applyNumberFormat="1" applyFont="1" applyFill="1" applyBorder="1" applyAlignment="1">
      <alignment horizontal="center" vertical="center" wrapText="1"/>
    </xf>
    <xf numFmtId="186" fontId="1" fillId="0" borderId="1" xfId="481" applyNumberFormat="1" applyFont="1" applyFill="1" applyBorder="1" applyAlignment="1">
      <alignment horizontal="center" vertical="center" wrapText="1"/>
    </xf>
    <xf numFmtId="179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90" fontId="12" fillId="0" borderId="1" xfId="341" applyNumberFormat="1" applyFont="1" applyFill="1" applyBorder="1" applyAlignment="1">
      <alignment horizontal="center" vertical="center" wrapText="1"/>
    </xf>
    <xf numFmtId="178" fontId="12" fillId="0" borderId="1" xfId="341" applyNumberFormat="1" applyFont="1" applyFill="1" applyBorder="1" applyAlignment="1">
      <alignment horizontal="center" vertical="center" wrapText="1"/>
    </xf>
    <xf numFmtId="184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5" fontId="2" fillId="0" borderId="0" xfId="0" applyNumberFormat="1" applyFont="1" applyFill="1" applyBorder="1" applyAlignment="1">
      <alignment horizontal="center" vertical="center"/>
    </xf>
    <xf numFmtId="186" fontId="12" fillId="0" borderId="1" xfId="341" applyNumberFormat="1" applyFont="1" applyFill="1" applyBorder="1" applyAlignment="1">
      <alignment horizontal="center" vertical="center" wrapText="1"/>
    </xf>
    <xf numFmtId="186" fontId="12" fillId="0" borderId="1" xfId="508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86" fontId="2" fillId="0" borderId="0" xfId="0" applyNumberFormat="1" applyFont="1" applyAlignment="1">
      <alignment horizontal="center" vertical="center"/>
    </xf>
    <xf numFmtId="184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86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88" fontId="2" fillId="0" borderId="0" xfId="485" applyNumberFormat="1" applyFont="1" applyBorder="1" applyAlignment="1">
      <alignment horizontal="center" vertical="center"/>
    </xf>
    <xf numFmtId="186" fontId="2" fillId="0" borderId="1" xfId="0" applyNumberFormat="1" applyFont="1" applyBorder="1" applyAlignment="1">
      <alignment horizontal="center" vertical="center"/>
    </xf>
    <xf numFmtId="197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7" fontId="2" fillId="0" borderId="1" xfId="0" applyNumberFormat="1" applyFont="1" applyFill="1" applyBorder="1" applyAlignment="1">
      <alignment horizontal="center" vertical="center"/>
    </xf>
    <xf numFmtId="0" fontId="32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84" fontId="2" fillId="4" borderId="1" xfId="0" applyNumberFormat="1" applyFont="1" applyFill="1" applyBorder="1" applyAlignment="1">
      <alignment horizontal="center" vertical="center"/>
    </xf>
    <xf numFmtId="190" fontId="2" fillId="4" borderId="1" xfId="0" applyNumberFormat="1" applyFont="1" applyFill="1" applyBorder="1" applyAlignment="1">
      <alignment horizontal="center" vertical="center"/>
    </xf>
    <xf numFmtId="197" fontId="2" fillId="4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97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98" fontId="2" fillId="0" borderId="0" xfId="0" applyNumberFormat="1" applyFont="1" applyFill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86" fontId="1" fillId="0" borderId="1" xfId="508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9" fontId="29" fillId="0" borderId="0" xfId="20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92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7" fontId="2" fillId="0" borderId="0" xfId="0" applyNumberFormat="1" applyFont="1"/>
    <xf numFmtId="0" fontId="31" fillId="0" borderId="0" xfId="0" applyFont="1" applyFill="1" applyAlignment="1">
      <alignment horizontal="center" vertical="center"/>
    </xf>
    <xf numFmtId="0" fontId="34" fillId="0" borderId="0" xfId="0" applyFont="1"/>
  </cellXfs>
  <cellStyles count="617">
    <cellStyle name="常规" xfId="0" builtinId="0"/>
    <cellStyle name="货币[0]" xfId="1" builtinId="7"/>
    <cellStyle name="链接单元格 3 2" xfId="2"/>
    <cellStyle name="20% - 强调文字颜色 1 2" xfId="3"/>
    <cellStyle name="20% - 强调文字颜色 3" xfId="4" builtinId="38"/>
    <cellStyle name="链接单元格 5" xfId="5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40% - 强调文字颜色 3" xfId="11" builtinId="39"/>
    <cellStyle name="标题 5 6" xfId="12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60% - 强调文字颜色 2 2 2" xfId="35"/>
    <cellStyle name="计算 2 10" xfId="36"/>
    <cellStyle name="常规 5 2" xfId="37"/>
    <cellStyle name="强调文字颜色 1 2 3" xfId="38"/>
    <cellStyle name="20% - 强调文字颜色 4 4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计算 3 2" xfId="52"/>
    <cellStyle name="40% - 强调文字颜色 4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适中 2 5" xfId="58"/>
    <cellStyle name="强调文字颜色 3 2 4" xfId="59"/>
    <cellStyle name="40% - 强调文字颜色 6 5" xfId="60"/>
    <cellStyle name="60% - 强调文字颜色 4 2 3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检查单元格 3 2" xfId="68"/>
    <cellStyle name="标题 4 5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适中 2" xfId="94"/>
    <cellStyle name="计算 5" xfId="95"/>
    <cellStyle name="20% - 强调文字颜色 3 3 2" xfId="96"/>
    <cellStyle name="40% - 强调文字颜色 6" xfId="97" builtinId="51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强调文字颜色 6 5 2" xfId="112"/>
    <cellStyle name="20% - 强调文字颜色 1 2 6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好_汇总二_江边厂月报2013-5" xfId="136"/>
    <cellStyle name="20% - 强调文字颜色 3 4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常规 4" xfId="155"/>
    <cellStyle name="20% - 强调文字颜色 4 3" xfId="156"/>
    <cellStyle name="20% - 强调文字颜色 4 3 2" xfId="157"/>
    <cellStyle name="常规 5" xfId="158"/>
    <cellStyle name="60% - 强调文字颜色 2 2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差_汇总二" xfId="174"/>
    <cellStyle name="百分比 3" xfId="175"/>
    <cellStyle name="20% - 强调文字颜色 5 3 2" xfId="176"/>
    <cellStyle name="60% - 强调文字颜色 3 2" xfId="177"/>
    <cellStyle name="20% - 强调文字颜色 5 4" xfId="178"/>
    <cellStyle name="标题 1 2 6" xfId="179"/>
    <cellStyle name="60% - 强调文字颜色 3 2 2" xfId="180"/>
    <cellStyle name="强调文字颜色 2 2 3" xfId="181"/>
    <cellStyle name="20% - 强调文字颜色 5 4 2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60% - 强调文字颜色 6 2 4" xfId="187"/>
    <cellStyle name="20% - 强调文字颜色 6 2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40% - 强调文字颜色 5 4" xfId="198"/>
    <cellStyle name="好 2 5" xfId="199"/>
    <cellStyle name="20% - 强调文字颜色 6 3 2" xfId="200"/>
    <cellStyle name="60% - 强调文字颜色 4 2" xfId="201"/>
    <cellStyle name="60% - 强调文字颜色 6 2 6" xfId="202"/>
    <cellStyle name="20% - 强调文字颜色 6 4" xfId="203"/>
    <cellStyle name="标题 2 2 6" xfId="204"/>
    <cellStyle name="40% - 强调文字颜色 6 4" xfId="205"/>
    <cellStyle name="60% - 强调文字颜色 4 2 2" xfId="206"/>
    <cellStyle name="强调文字颜色 3 2 3" xfId="207"/>
    <cellStyle name="适中 2 4" xfId="208"/>
    <cellStyle name="20% - 强调文字颜色 6 4 2" xfId="209"/>
    <cellStyle name="60% - 强调文字颜色 4 3" xfId="210"/>
    <cellStyle name="40% - 强调文字颜色 5 2 2" xfId="211"/>
    <cellStyle name="20% - 强调文字颜色 6 5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警告文本 5" xfId="252"/>
    <cellStyle name="40% - 强调文字颜色 3 4 2" xfId="253"/>
    <cellStyle name="计算 2 5" xfId="254"/>
    <cellStyle name="40% - 强调文字颜色 3 5" xfId="255"/>
    <cellStyle name="链接单元格 2 4" xfId="256"/>
    <cellStyle name="40% - 强调文字颜色 3 5 2" xfId="257"/>
    <cellStyle name="检查单元格 2" xfId="258"/>
    <cellStyle name="汇总 2 3" xfId="259"/>
    <cellStyle name="标题 4 4" xfId="260"/>
    <cellStyle name="40% - 强调文字颜色 4 2 2" xfId="261"/>
    <cellStyle name="检查单元格 3" xfId="262"/>
    <cellStyle name="汇总 2 4" xfId="263"/>
    <cellStyle name="标题 4 5" xfId="264"/>
    <cellStyle name="40% - 强调文字颜色 4 2 3" xfId="265"/>
    <cellStyle name="检查单元格 4" xfId="266"/>
    <cellStyle name="汇总 2 5" xfId="267"/>
    <cellStyle name="40% - 强调文字颜色 4 2 4" xfId="268"/>
    <cellStyle name="检查单元格 5" xfId="269"/>
    <cellStyle name="汇总 2 6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警告文本 5 2" xfId="283"/>
    <cellStyle name="40% - 强调文字颜色 5 2 4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适中 2 2" xfId="297"/>
    <cellStyle name="计算 5 2" xfId="298"/>
    <cellStyle name="标题 2 2 4" xfId="299"/>
    <cellStyle name="40% - 强调文字颜色 6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标题 4 2 3" xfId="320"/>
    <cellStyle name="60% - 强调文字颜色 1 4 2" xfId="321"/>
    <cellStyle name="警告文本 2 2" xfId="322"/>
    <cellStyle name="60% - 强调文字颜色 1 5" xfId="323"/>
    <cellStyle name="60% - 强调文字颜色 1 5 2" xfId="324"/>
    <cellStyle name="强调文字颜色 4 4 2" xfId="325"/>
    <cellStyle name="警告文本 2 6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常规 7" xfId="337"/>
    <cellStyle name="60% - 强调文字颜色 2 4" xfId="338"/>
    <cellStyle name="60% - 强调文字颜色 2 4 2" xfId="339"/>
    <cellStyle name="警告文本 3 2" xfId="340"/>
    <cellStyle name="常规 8" xfId="341"/>
    <cellStyle name="60% - 强调文字颜色 2 5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强调文字颜色 4 2 5" xfId="366"/>
    <cellStyle name="百分比 2 11" xfId="367"/>
    <cellStyle name="千位分隔 2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24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适中 3 2" xfId="477"/>
    <cellStyle name="计算 6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zoomScale="85" zoomScaleNormal="85" workbookViewId="0">
      <selection activeCell="W8" sqref="W8"/>
    </sheetView>
  </sheetViews>
  <sheetFormatPr defaultColWidth="8.75" defaultRowHeight="14.25"/>
  <cols>
    <col min="1" max="1" width="3.75" style="3" customWidth="1"/>
    <col min="2" max="3" width="4.25" style="255" customWidth="1"/>
    <col min="4" max="4" width="6.5" style="255" customWidth="1"/>
    <col min="5" max="5" width="7.5" style="255" customWidth="1"/>
    <col min="6" max="6" width="7.16666666666667" style="255" customWidth="1"/>
    <col min="7" max="7" width="6.94166666666667" style="256" customWidth="1"/>
    <col min="8" max="8" width="5.625" style="256" customWidth="1"/>
    <col min="9" max="9" width="6" style="255" customWidth="1"/>
    <col min="10" max="10" width="6.46666666666667" style="255" customWidth="1"/>
    <col min="11" max="11" width="6.5" style="255" customWidth="1"/>
    <col min="12" max="12" width="6.375" style="255" customWidth="1"/>
    <col min="13" max="13" width="6.11666666666667" style="255" customWidth="1"/>
    <col min="14" max="14" width="6.125" style="255" customWidth="1"/>
    <col min="15" max="15" width="6.61666666666667" style="255" customWidth="1"/>
    <col min="16" max="16" width="6.46666666666667" style="255" customWidth="1"/>
    <col min="17" max="17" width="7.5" style="255" customWidth="1"/>
    <col min="18" max="18" width="10.125" style="255" customWidth="1"/>
    <col min="19" max="19" width="10" style="257" customWidth="1"/>
    <col min="20" max="20" width="15.875" style="257" customWidth="1"/>
    <col min="21" max="21" width="12.875" style="257" customWidth="1"/>
    <col min="22" max="22" width="12.25" style="257" customWidth="1"/>
    <col min="23" max="25" width="12.625" style="257"/>
    <col min="26" max="26" width="15" style="257" customWidth="1"/>
    <col min="27" max="34" width="9" style="3"/>
    <col min="35" max="35" width="12.625" style="3"/>
    <col min="36" max="36" width="8.75" style="3"/>
    <col min="37" max="37" width="9.375" style="3"/>
    <col min="38" max="16384" width="8.75" style="3"/>
  </cols>
  <sheetData>
    <row r="1" ht="17" customHeight="1" spans="1:18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</row>
    <row r="2" ht="14" customHeight="1" spans="1:18">
      <c r="A2" s="259">
        <v>45017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</row>
    <row r="3" ht="20.25" customHeight="1" spans="1:38">
      <c r="A3" s="261" t="s">
        <v>1</v>
      </c>
      <c r="B3" s="262" t="s">
        <v>2</v>
      </c>
      <c r="C3" s="262" t="s">
        <v>3</v>
      </c>
      <c r="D3" s="8" t="s">
        <v>4</v>
      </c>
      <c r="E3" s="5" t="s">
        <v>5</v>
      </c>
      <c r="F3" s="5"/>
      <c r="G3" s="5"/>
      <c r="H3" s="262" t="s">
        <v>6</v>
      </c>
      <c r="I3" s="262" t="s">
        <v>7</v>
      </c>
      <c r="J3" s="262" t="s">
        <v>8</v>
      </c>
      <c r="K3" s="262" t="s">
        <v>9</v>
      </c>
      <c r="L3" s="8" t="s">
        <v>10</v>
      </c>
      <c r="M3" s="262" t="s">
        <v>11</v>
      </c>
      <c r="N3" s="262" t="s">
        <v>12</v>
      </c>
      <c r="O3" s="5" t="s">
        <v>13</v>
      </c>
      <c r="P3" s="5"/>
      <c r="Q3" s="8" t="s">
        <v>14</v>
      </c>
      <c r="R3" s="8" t="s">
        <v>15</v>
      </c>
      <c r="T3" s="257" t="s">
        <v>16</v>
      </c>
      <c r="U3" s="257" t="s">
        <v>17</v>
      </c>
      <c r="W3" s="283" t="s">
        <v>18</v>
      </c>
      <c r="X3" s="283" t="s">
        <v>19</v>
      </c>
      <c r="Y3" s="283" t="s">
        <v>20</v>
      </c>
      <c r="Z3" s="283" t="s">
        <v>21</v>
      </c>
      <c r="AD3" s="3" t="s">
        <v>22</v>
      </c>
      <c r="AE3" s="3" t="s">
        <v>23</v>
      </c>
      <c r="AF3" s="3" t="s">
        <v>24</v>
      </c>
      <c r="AG3" s="3" t="s">
        <v>25</v>
      </c>
      <c r="AH3" s="3" t="s">
        <v>26</v>
      </c>
      <c r="AI3" s="3" t="s">
        <v>27</v>
      </c>
      <c r="AK3" s="3" t="s">
        <v>28</v>
      </c>
      <c r="AL3" s="3" t="s">
        <v>19</v>
      </c>
    </row>
    <row r="4" ht="21" customHeight="1" spans="1:28">
      <c r="A4" s="263"/>
      <c r="B4" s="264" t="s">
        <v>29</v>
      </c>
      <c r="C4" s="264" t="s">
        <v>30</v>
      </c>
      <c r="D4" s="264"/>
      <c r="E4" s="264" t="s">
        <v>31</v>
      </c>
      <c r="F4" s="264" t="s">
        <v>32</v>
      </c>
      <c r="G4" s="264" t="s">
        <v>33</v>
      </c>
      <c r="H4" s="264" t="s">
        <v>34</v>
      </c>
      <c r="I4" s="264" t="s">
        <v>35</v>
      </c>
      <c r="J4" s="264" t="s">
        <v>36</v>
      </c>
      <c r="K4" s="264" t="s">
        <v>34</v>
      </c>
      <c r="L4" s="264"/>
      <c r="M4" s="264" t="s">
        <v>34</v>
      </c>
      <c r="N4" s="264" t="s">
        <v>34</v>
      </c>
      <c r="O4" s="264" t="s">
        <v>37</v>
      </c>
      <c r="P4" s="264" t="s">
        <v>38</v>
      </c>
      <c r="Q4" s="264"/>
      <c r="R4" s="264"/>
      <c r="T4" s="56" t="s">
        <v>39</v>
      </c>
      <c r="U4" s="284">
        <f>ROUND(J36*W4,2)</f>
        <v>1106297.36</v>
      </c>
      <c r="V4" s="284"/>
      <c r="W4" s="285">
        <v>0.677380208966104</v>
      </c>
      <c r="X4" s="286">
        <f>J35/R35</f>
        <v>0.322144855120617</v>
      </c>
      <c r="Y4" s="283">
        <v>0.678412105877773</v>
      </c>
      <c r="Z4" s="319">
        <v>44929</v>
      </c>
      <c r="AA4" s="320"/>
      <c r="AB4" s="3" t="s">
        <v>40</v>
      </c>
    </row>
    <row r="5" ht="18.6" customHeight="1" spans="1:38">
      <c r="A5" s="6">
        <v>1</v>
      </c>
      <c r="B5" s="265">
        <v>18.7</v>
      </c>
      <c r="C5" s="266" t="s">
        <v>41</v>
      </c>
      <c r="D5" s="267">
        <v>169891</v>
      </c>
      <c r="E5" s="268">
        <v>100.48</v>
      </c>
      <c r="F5" s="268">
        <v>0</v>
      </c>
      <c r="G5" s="268">
        <v>0</v>
      </c>
      <c r="H5" s="269">
        <v>100</v>
      </c>
      <c r="I5" s="6">
        <v>5762</v>
      </c>
      <c r="J5" s="275">
        <v>53499.9999999854</v>
      </c>
      <c r="K5" s="276">
        <v>0</v>
      </c>
      <c r="L5" s="276">
        <v>0</v>
      </c>
      <c r="M5" s="277">
        <v>852</v>
      </c>
      <c r="N5" s="277">
        <v>336</v>
      </c>
      <c r="O5" s="278">
        <v>0</v>
      </c>
      <c r="P5" s="278">
        <v>0</v>
      </c>
      <c r="Q5" s="287">
        <v>5538</v>
      </c>
      <c r="R5" s="288">
        <f>D5-Q5</f>
        <v>164353</v>
      </c>
      <c r="S5" s="289"/>
      <c r="T5" s="290" t="s">
        <v>42</v>
      </c>
      <c r="U5" s="291">
        <f>H36*W5/1000</f>
        <v>203000</v>
      </c>
      <c r="V5" s="284"/>
      <c r="W5" s="292">
        <v>28000</v>
      </c>
      <c r="X5" s="284">
        <f>H35/R35*1000</f>
        <v>1.43004543205026</v>
      </c>
      <c r="Y5" s="283">
        <v>28000</v>
      </c>
      <c r="Z5" s="319">
        <v>44656</v>
      </c>
      <c r="AB5" s="321">
        <f>E5+F5+G5</f>
        <v>100.48</v>
      </c>
      <c r="AD5" s="3">
        <f t="shared" ref="AD5:AD35" si="0">$W$9*K5/1000/R5</f>
        <v>0</v>
      </c>
      <c r="AE5" s="3">
        <f>$W$5*H5/1000/R5</f>
        <v>0.0170365007027557</v>
      </c>
      <c r="AF5" s="3">
        <f t="shared" ref="AF5:AF35" si="1">$W$6*L5/1000/R5</f>
        <v>0</v>
      </c>
      <c r="AG5" s="3">
        <f t="shared" ref="AG5:AG35" si="2">$W$7*M5/1000/R5</f>
        <v>0.00242609505150499</v>
      </c>
      <c r="AH5" s="3">
        <f t="shared" ref="AH5:AH35" si="3">$W$8*N5/1000/R5</f>
        <v>0.0113871970697219</v>
      </c>
      <c r="AI5" s="3">
        <f t="shared" ref="AI5:AI35" si="4">AD5+AE5+AF5+AG5+AH5</f>
        <v>0.0308497928239825</v>
      </c>
      <c r="AK5" s="3">
        <f>AB5*(100-进出水!T7)/100</f>
        <v>21.70368</v>
      </c>
      <c r="AL5" s="3">
        <f t="shared" ref="AL5:AL35" si="5">H5/AK5</f>
        <v>4.60751356451993</v>
      </c>
    </row>
    <row r="6" ht="18.6" customHeight="1" spans="1:38">
      <c r="A6" s="6">
        <v>2</v>
      </c>
      <c r="B6" s="265">
        <v>20.5</v>
      </c>
      <c r="C6" s="266" t="s">
        <v>41</v>
      </c>
      <c r="D6" s="267">
        <v>165793</v>
      </c>
      <c r="E6" s="268">
        <v>33.68</v>
      </c>
      <c r="F6" s="268">
        <v>101.7</v>
      </c>
      <c r="G6" s="268">
        <v>0</v>
      </c>
      <c r="H6" s="269">
        <v>150</v>
      </c>
      <c r="I6" s="6">
        <v>5684</v>
      </c>
      <c r="J6" s="275">
        <v>53899.9999999942</v>
      </c>
      <c r="K6" s="276">
        <v>0</v>
      </c>
      <c r="L6" s="276">
        <v>0</v>
      </c>
      <c r="M6" s="277">
        <v>2130</v>
      </c>
      <c r="N6" s="277">
        <v>840</v>
      </c>
      <c r="O6" s="278">
        <v>0</v>
      </c>
      <c r="P6" s="278">
        <v>0</v>
      </c>
      <c r="Q6" s="287">
        <v>5705</v>
      </c>
      <c r="R6" s="288">
        <f t="shared" ref="R6:R35" si="6">D6-Q6</f>
        <v>160088</v>
      </c>
      <c r="S6" s="289"/>
      <c r="T6" s="290" t="s">
        <v>43</v>
      </c>
      <c r="U6" s="291">
        <f>L36*W6/1000</f>
        <v>27.04</v>
      </c>
      <c r="V6" s="284">
        <f>U5+U6</f>
        <v>203027.04</v>
      </c>
      <c r="W6" s="56">
        <v>10400</v>
      </c>
      <c r="X6" s="284">
        <f>L35/R35*1000</f>
        <v>0.000512843879080092</v>
      </c>
      <c r="Y6" s="283">
        <v>10400</v>
      </c>
      <c r="Z6" s="319">
        <v>44656</v>
      </c>
      <c r="AB6" s="321">
        <f t="shared" ref="AB6:AB34" si="7">E6+F6+G6</f>
        <v>135.38</v>
      </c>
      <c r="AD6" s="3">
        <f t="shared" si="0"/>
        <v>0</v>
      </c>
      <c r="AE6" s="3">
        <f>$W$5*H6/1000/R6</f>
        <v>0.0262355704362601</v>
      </c>
      <c r="AF6" s="3">
        <f t="shared" si="1"/>
        <v>0</v>
      </c>
      <c r="AG6" s="3">
        <f t="shared" si="2"/>
        <v>0.00622682524611464</v>
      </c>
      <c r="AH6" s="3">
        <f t="shared" si="3"/>
        <v>0.0292264254659937</v>
      </c>
      <c r="AI6" s="3">
        <f t="shared" si="4"/>
        <v>0.0616888211483684</v>
      </c>
      <c r="AK6" s="3">
        <f>AB6*(100-进出水!T8)/100</f>
        <v>29.1067</v>
      </c>
      <c r="AL6" s="3">
        <f t="shared" si="5"/>
        <v>5.15345264148804</v>
      </c>
    </row>
    <row r="7" ht="18.6" customHeight="1" spans="1:38">
      <c r="A7" s="6">
        <v>3</v>
      </c>
      <c r="B7" s="265">
        <v>20.7</v>
      </c>
      <c r="C7" s="266" t="s">
        <v>44</v>
      </c>
      <c r="D7" s="267">
        <v>175450</v>
      </c>
      <c r="E7" s="268">
        <v>67.96</v>
      </c>
      <c r="F7" s="268">
        <v>48.06</v>
      </c>
      <c r="G7" s="268">
        <v>0</v>
      </c>
      <c r="H7" s="269">
        <v>125</v>
      </c>
      <c r="I7" s="6">
        <v>5518</v>
      </c>
      <c r="J7" s="275">
        <v>51900.0000000233</v>
      </c>
      <c r="K7" s="276">
        <v>0</v>
      </c>
      <c r="L7" s="276">
        <v>0.2</v>
      </c>
      <c r="M7" s="277">
        <v>5467</v>
      </c>
      <c r="N7" s="277">
        <v>1800</v>
      </c>
      <c r="O7" s="278">
        <v>0</v>
      </c>
      <c r="P7" s="278">
        <v>0</v>
      </c>
      <c r="Q7" s="287">
        <v>5208</v>
      </c>
      <c r="R7" s="288">
        <f t="shared" si="6"/>
        <v>170242</v>
      </c>
      <c r="S7" s="289"/>
      <c r="T7" s="290" t="s">
        <v>45</v>
      </c>
      <c r="U7" s="291">
        <f>M36*W7/1000</f>
        <v>52898.976</v>
      </c>
      <c r="V7" s="284"/>
      <c r="W7" s="56">
        <v>468</v>
      </c>
      <c r="X7" s="284">
        <f>M35/R35*1000</f>
        <v>22.2952959000696</v>
      </c>
      <c r="Y7" s="283">
        <v>445</v>
      </c>
      <c r="Z7" s="319">
        <v>44656</v>
      </c>
      <c r="AB7" s="321">
        <f t="shared" si="7"/>
        <v>116.02</v>
      </c>
      <c r="AD7" s="3">
        <f t="shared" si="0"/>
        <v>0</v>
      </c>
      <c r="AE7" s="3">
        <f>$W$5*H7/1000/R7</f>
        <v>0.0205589689970748</v>
      </c>
      <c r="AF7" s="3">
        <f t="shared" si="1"/>
        <v>1.22179015754044e-5</v>
      </c>
      <c r="AG7" s="3">
        <f t="shared" si="2"/>
        <v>0.0150289352803656</v>
      </c>
      <c r="AH7" s="3">
        <f t="shared" si="3"/>
        <v>0.0588926351899061</v>
      </c>
      <c r="AI7" s="3">
        <f t="shared" si="4"/>
        <v>0.0944927573689219</v>
      </c>
      <c r="AK7" s="3">
        <f>AB7*(100-进出水!T9)/100</f>
        <v>25.29236</v>
      </c>
      <c r="AL7" s="3">
        <f t="shared" si="5"/>
        <v>4.9422038908192</v>
      </c>
    </row>
    <row r="8" ht="18.6" customHeight="1" spans="1:38">
      <c r="A8" s="6">
        <v>4</v>
      </c>
      <c r="B8" s="265">
        <v>20.6</v>
      </c>
      <c r="C8" s="266" t="s">
        <v>44</v>
      </c>
      <c r="D8" s="267">
        <v>170282</v>
      </c>
      <c r="E8" s="268">
        <v>75.86</v>
      </c>
      <c r="F8" s="268">
        <v>96.48</v>
      </c>
      <c r="G8" s="268">
        <v>0</v>
      </c>
      <c r="H8" s="269">
        <v>150</v>
      </c>
      <c r="I8" s="6">
        <v>5016</v>
      </c>
      <c r="J8" s="275">
        <v>42500</v>
      </c>
      <c r="K8" s="276">
        <v>0</v>
      </c>
      <c r="L8" s="276">
        <v>0</v>
      </c>
      <c r="M8" s="277">
        <v>3053</v>
      </c>
      <c r="N8" s="277">
        <v>1080</v>
      </c>
      <c r="O8" s="278">
        <v>0</v>
      </c>
      <c r="P8" s="278">
        <v>0</v>
      </c>
      <c r="Q8" s="287">
        <v>5504</v>
      </c>
      <c r="R8" s="288">
        <f t="shared" si="6"/>
        <v>164778</v>
      </c>
      <c r="S8" s="289"/>
      <c r="T8" s="290" t="s">
        <v>46</v>
      </c>
      <c r="U8" s="291">
        <f>N36*W8/1000</f>
        <v>215358.48</v>
      </c>
      <c r="V8" s="284">
        <f>U7+U8</f>
        <v>268257.456</v>
      </c>
      <c r="W8" s="56">
        <v>5570</v>
      </c>
      <c r="X8" s="284">
        <f>N35/R35*1000</f>
        <v>7.62638297721257</v>
      </c>
      <c r="Y8" s="56">
        <v>6495</v>
      </c>
      <c r="Z8" s="319">
        <v>44900</v>
      </c>
      <c r="AB8" s="321">
        <f t="shared" si="7"/>
        <v>172.34</v>
      </c>
      <c r="AD8" s="3">
        <f t="shared" si="0"/>
        <v>0</v>
      </c>
      <c r="AE8" s="3">
        <f>$W$5*H8/1000/R8</f>
        <v>0.0254888395295488</v>
      </c>
      <c r="AF8" s="3">
        <f t="shared" si="1"/>
        <v>0</v>
      </c>
      <c r="AG8" s="3">
        <f t="shared" si="2"/>
        <v>0.00867108473218512</v>
      </c>
      <c r="AH8" s="3">
        <f t="shared" si="3"/>
        <v>0.0365073007318938</v>
      </c>
      <c r="AI8" s="3">
        <f t="shared" si="4"/>
        <v>0.0706672249936278</v>
      </c>
      <c r="AK8" s="3">
        <f>AB8*(100-进出水!T10)/100</f>
        <v>36.70842</v>
      </c>
      <c r="AL8" s="3">
        <f t="shared" si="5"/>
        <v>4.08625595980432</v>
      </c>
    </row>
    <row r="9" ht="18.6" customHeight="1" spans="1:38">
      <c r="A9" s="6">
        <v>5</v>
      </c>
      <c r="B9" s="265">
        <v>19.8</v>
      </c>
      <c r="C9" s="266" t="s">
        <v>44</v>
      </c>
      <c r="D9" s="267">
        <v>174043</v>
      </c>
      <c r="E9" s="268">
        <v>32.36</v>
      </c>
      <c r="F9" s="268">
        <v>91.92</v>
      </c>
      <c r="G9" s="268">
        <v>0</v>
      </c>
      <c r="H9" s="269">
        <v>150</v>
      </c>
      <c r="I9" s="6">
        <v>5328</v>
      </c>
      <c r="J9" s="279">
        <v>60699.9999999971</v>
      </c>
      <c r="K9" s="276">
        <v>0</v>
      </c>
      <c r="L9" s="276">
        <v>0.2</v>
      </c>
      <c r="M9" s="277">
        <v>4260</v>
      </c>
      <c r="N9" s="277">
        <v>1488</v>
      </c>
      <c r="O9" s="278">
        <v>0</v>
      </c>
      <c r="P9" s="278">
        <v>0</v>
      </c>
      <c r="Q9" s="287">
        <v>5488</v>
      </c>
      <c r="R9" s="288">
        <f t="shared" si="6"/>
        <v>168555</v>
      </c>
      <c r="S9" s="289"/>
      <c r="T9" s="290" t="s">
        <v>47</v>
      </c>
      <c r="U9" s="291">
        <f>K36*W9/1000</f>
        <v>5041.92</v>
      </c>
      <c r="V9" s="284"/>
      <c r="W9" s="56">
        <v>416</v>
      </c>
      <c r="X9" s="284">
        <f>K35/R35*1000</f>
        <v>2.39064146709643</v>
      </c>
      <c r="Y9" s="283">
        <v>526</v>
      </c>
      <c r="Z9" s="319">
        <v>44656</v>
      </c>
      <c r="AB9" s="321">
        <f t="shared" si="7"/>
        <v>124.28</v>
      </c>
      <c r="AD9" s="3">
        <f t="shared" si="0"/>
        <v>0</v>
      </c>
      <c r="AE9" s="3">
        <f>$W$5*H9/1000/R9</f>
        <v>0.024917682655513</v>
      </c>
      <c r="AF9" s="3">
        <f t="shared" si="1"/>
        <v>1.23401856960636e-5</v>
      </c>
      <c r="AG9" s="3">
        <f t="shared" si="2"/>
        <v>0.011828067989677</v>
      </c>
      <c r="AH9" s="3">
        <f t="shared" si="3"/>
        <v>0.0491718430185993</v>
      </c>
      <c r="AI9" s="3">
        <f t="shared" si="4"/>
        <v>0.0859299338494853</v>
      </c>
      <c r="AK9" s="3">
        <f>AB9*(100-进出水!T11)/100</f>
        <v>26.34736</v>
      </c>
      <c r="AL9" s="3">
        <f t="shared" si="5"/>
        <v>5.69317001779305</v>
      </c>
    </row>
    <row r="10" ht="18.6" customHeight="1" spans="1:38">
      <c r="A10" s="6">
        <v>6</v>
      </c>
      <c r="B10" s="265">
        <v>19.1</v>
      </c>
      <c r="C10" s="266" t="s">
        <v>44</v>
      </c>
      <c r="D10" s="267">
        <v>174599</v>
      </c>
      <c r="E10" s="268">
        <v>30.92</v>
      </c>
      <c r="F10" s="268">
        <v>116.16</v>
      </c>
      <c r="G10" s="268">
        <v>0</v>
      </c>
      <c r="H10" s="269">
        <v>250</v>
      </c>
      <c r="I10" s="6">
        <v>5598</v>
      </c>
      <c r="J10" s="275">
        <v>55200.0000000044</v>
      </c>
      <c r="K10" s="276">
        <v>0</v>
      </c>
      <c r="L10" s="276">
        <v>0</v>
      </c>
      <c r="M10" s="277">
        <v>3905</v>
      </c>
      <c r="N10" s="277">
        <v>1344</v>
      </c>
      <c r="O10" s="278">
        <v>0</v>
      </c>
      <c r="P10" s="278">
        <v>0</v>
      </c>
      <c r="Q10" s="287">
        <v>5504</v>
      </c>
      <c r="R10" s="288">
        <f t="shared" si="6"/>
        <v>169095</v>
      </c>
      <c r="S10" s="289"/>
      <c r="T10" s="290" t="s">
        <v>48</v>
      </c>
      <c r="U10" s="291">
        <f>T18</f>
        <v>49850.88</v>
      </c>
      <c r="V10" s="284" t="s">
        <v>49</v>
      </c>
      <c r="W10" s="293"/>
      <c r="X10" s="293"/>
      <c r="Y10" s="322"/>
      <c r="Z10" s="322"/>
      <c r="AB10" s="321">
        <f t="shared" si="7"/>
        <v>147.08</v>
      </c>
      <c r="AD10" s="3">
        <f t="shared" si="0"/>
        <v>0</v>
      </c>
      <c r="AE10" s="3">
        <f>$W$5*H10/1000/R10</f>
        <v>0.0413968479257222</v>
      </c>
      <c r="AF10" s="3">
        <f t="shared" si="1"/>
        <v>0</v>
      </c>
      <c r="AG10" s="3">
        <f t="shared" si="2"/>
        <v>0.0108077707797392</v>
      </c>
      <c r="AH10" s="3">
        <f t="shared" si="3"/>
        <v>0.0442714450456844</v>
      </c>
      <c r="AI10" s="3">
        <f t="shared" si="4"/>
        <v>0.0964760637511458</v>
      </c>
      <c r="AK10" s="3">
        <f>AB10*(100-进出水!T12)/100</f>
        <v>31.76928</v>
      </c>
      <c r="AL10" s="3">
        <f t="shared" si="5"/>
        <v>7.86923720021354</v>
      </c>
    </row>
    <row r="11" ht="18.6" customHeight="1" spans="1:38">
      <c r="A11" s="6">
        <v>7</v>
      </c>
      <c r="B11" s="265">
        <v>19.8</v>
      </c>
      <c r="C11" s="266" t="s">
        <v>41</v>
      </c>
      <c r="D11" s="267">
        <v>172179</v>
      </c>
      <c r="E11" s="268">
        <v>68.26</v>
      </c>
      <c r="F11" s="268">
        <v>70.42</v>
      </c>
      <c r="G11" s="268">
        <v>24.48</v>
      </c>
      <c r="H11" s="269">
        <v>325</v>
      </c>
      <c r="I11" s="13">
        <v>5196</v>
      </c>
      <c r="J11" s="279">
        <v>51899.9999999869</v>
      </c>
      <c r="K11" s="276">
        <v>0</v>
      </c>
      <c r="L11" s="276">
        <v>0.2</v>
      </c>
      <c r="M11" s="277">
        <v>5183</v>
      </c>
      <c r="N11" s="277">
        <v>1680</v>
      </c>
      <c r="O11" s="278">
        <v>0</v>
      </c>
      <c r="P11" s="278">
        <v>0</v>
      </c>
      <c r="Q11" s="287">
        <v>5488</v>
      </c>
      <c r="R11" s="288">
        <f t="shared" si="6"/>
        <v>166691</v>
      </c>
      <c r="S11" s="289"/>
      <c r="T11" s="290" t="s">
        <v>50</v>
      </c>
      <c r="U11" s="291">
        <f>汇总!J5*4.2</f>
        <v>22100.4</v>
      </c>
      <c r="V11" s="284"/>
      <c r="W11" s="56">
        <v>4.2</v>
      </c>
      <c r="X11" s="56"/>
      <c r="Y11" s="56"/>
      <c r="Z11" s="283"/>
      <c r="AB11" s="321">
        <f t="shared" si="7"/>
        <v>163.16</v>
      </c>
      <c r="AD11" s="3">
        <f t="shared" si="0"/>
        <v>0</v>
      </c>
      <c r="AE11" s="3">
        <f>$W$5*H11/1000/R11</f>
        <v>0.0545920295636837</v>
      </c>
      <c r="AF11" s="3">
        <f t="shared" si="1"/>
        <v>1.24781781859848e-5</v>
      </c>
      <c r="AG11" s="3">
        <f t="shared" si="2"/>
        <v>0.0145517394460409</v>
      </c>
      <c r="AH11" s="3">
        <f t="shared" si="3"/>
        <v>0.0561374039390249</v>
      </c>
      <c r="AI11" s="3">
        <f t="shared" si="4"/>
        <v>0.125293651126935</v>
      </c>
      <c r="AK11" s="3">
        <f>AB11*(100-进出水!T13)/100</f>
        <v>34.91624</v>
      </c>
      <c r="AL11" s="3">
        <f t="shared" si="5"/>
        <v>9.30798963462274</v>
      </c>
    </row>
    <row r="12" ht="18.6" customHeight="1" spans="1:38">
      <c r="A12" s="6">
        <v>8</v>
      </c>
      <c r="B12" s="265">
        <v>20.7</v>
      </c>
      <c r="C12" s="266" t="s">
        <v>41</v>
      </c>
      <c r="D12" s="269">
        <v>175967</v>
      </c>
      <c r="E12" s="268">
        <v>106.88</v>
      </c>
      <c r="F12" s="268">
        <v>24</v>
      </c>
      <c r="G12" s="268">
        <v>0</v>
      </c>
      <c r="H12" s="269">
        <v>275</v>
      </c>
      <c r="I12" s="6">
        <v>5478</v>
      </c>
      <c r="J12" s="275">
        <v>52500</v>
      </c>
      <c r="K12" s="276">
        <v>0</v>
      </c>
      <c r="L12" s="276">
        <v>0</v>
      </c>
      <c r="M12" s="277">
        <v>3976</v>
      </c>
      <c r="N12" s="277">
        <v>1416</v>
      </c>
      <c r="O12" s="278">
        <v>0</v>
      </c>
      <c r="P12" s="278">
        <v>0</v>
      </c>
      <c r="Q12" s="287">
        <v>5504</v>
      </c>
      <c r="R12" s="288">
        <f t="shared" si="6"/>
        <v>170463</v>
      </c>
      <c r="S12" s="289"/>
      <c r="T12" s="294"/>
      <c r="U12" s="295"/>
      <c r="V12" s="293"/>
      <c r="W12" s="293"/>
      <c r="X12" s="293"/>
      <c r="AB12" s="321">
        <f t="shared" si="7"/>
        <v>130.88</v>
      </c>
      <c r="AD12" s="3">
        <f t="shared" si="0"/>
        <v>0</v>
      </c>
      <c r="AE12" s="3">
        <f>$W$5*H12/1000/R12</f>
        <v>0.0451710928471281</v>
      </c>
      <c r="AF12" s="3">
        <f t="shared" si="1"/>
        <v>0</v>
      </c>
      <c r="AG12" s="3">
        <f t="shared" si="2"/>
        <v>0.0109159641681773</v>
      </c>
      <c r="AH12" s="3">
        <f t="shared" si="3"/>
        <v>0.0462688090670703</v>
      </c>
      <c r="AI12" s="3">
        <f t="shared" si="4"/>
        <v>0.102355866082376</v>
      </c>
      <c r="AK12" s="3">
        <f>AB12*(100-进出水!T14)/100</f>
        <v>27.74656</v>
      </c>
      <c r="AL12" s="3">
        <f t="shared" si="5"/>
        <v>9.91113853392997</v>
      </c>
    </row>
    <row r="13" ht="18.6" customHeight="1" spans="1:38">
      <c r="A13" s="6">
        <v>9</v>
      </c>
      <c r="B13" s="265">
        <v>19.9</v>
      </c>
      <c r="C13" s="266" t="s">
        <v>41</v>
      </c>
      <c r="D13" s="267">
        <v>180432</v>
      </c>
      <c r="E13" s="268">
        <v>68.5</v>
      </c>
      <c r="F13" s="268">
        <v>94.72</v>
      </c>
      <c r="G13" s="268">
        <v>0</v>
      </c>
      <c r="H13" s="269">
        <v>275</v>
      </c>
      <c r="I13" s="6">
        <v>5244</v>
      </c>
      <c r="J13" s="275">
        <v>53300.0000000175</v>
      </c>
      <c r="K13" s="276">
        <v>0</v>
      </c>
      <c r="L13" s="276">
        <v>0</v>
      </c>
      <c r="M13" s="277">
        <v>4686</v>
      </c>
      <c r="N13" s="277">
        <v>1608</v>
      </c>
      <c r="O13" s="278">
        <v>0</v>
      </c>
      <c r="P13" s="278">
        <v>0</v>
      </c>
      <c r="Q13" s="287">
        <v>5504</v>
      </c>
      <c r="R13" s="288">
        <f t="shared" si="6"/>
        <v>174928</v>
      </c>
      <c r="S13" s="289"/>
      <c r="T13" s="290"/>
      <c r="U13" s="296">
        <f>U14/R36</f>
        <v>0.0939542641883683</v>
      </c>
      <c r="V13" s="56"/>
      <c r="W13" s="56"/>
      <c r="X13" s="293"/>
      <c r="AB13" s="321">
        <f t="shared" si="7"/>
        <v>163.22</v>
      </c>
      <c r="AD13" s="3">
        <f t="shared" si="0"/>
        <v>0</v>
      </c>
      <c r="AE13" s="3">
        <f>$W$5*H13/1000/R13</f>
        <v>0.0440181103082411</v>
      </c>
      <c r="AF13" s="3">
        <f t="shared" si="1"/>
        <v>0</v>
      </c>
      <c r="AG13" s="3">
        <f t="shared" si="2"/>
        <v>0.0125368608799049</v>
      </c>
      <c r="AH13" s="3">
        <f t="shared" si="3"/>
        <v>0.0512014085795299</v>
      </c>
      <c r="AI13" s="3">
        <f t="shared" si="4"/>
        <v>0.107756379767676</v>
      </c>
      <c r="AK13" s="3">
        <f>AB13*(100-进出水!T15)/100</f>
        <v>34.76586</v>
      </c>
      <c r="AL13" s="3">
        <f t="shared" si="5"/>
        <v>7.91005889110754</v>
      </c>
    </row>
    <row r="14" ht="18.6" customHeight="1" spans="1:38">
      <c r="A14" s="6">
        <v>10</v>
      </c>
      <c r="B14" s="265">
        <v>20.1</v>
      </c>
      <c r="C14" s="266" t="s">
        <v>41</v>
      </c>
      <c r="D14" s="267">
        <v>174842</v>
      </c>
      <c r="E14" s="268">
        <v>69.7</v>
      </c>
      <c r="F14" s="268">
        <v>119</v>
      </c>
      <c r="G14" s="268">
        <v>0</v>
      </c>
      <c r="H14" s="269">
        <v>250</v>
      </c>
      <c r="I14" s="6">
        <v>5424</v>
      </c>
      <c r="J14" s="275">
        <v>56999.9999999709</v>
      </c>
      <c r="K14" s="276">
        <v>0</v>
      </c>
      <c r="L14" s="276">
        <v>0.2</v>
      </c>
      <c r="M14" s="277">
        <v>6035</v>
      </c>
      <c r="N14" s="277">
        <v>1920</v>
      </c>
      <c r="O14" s="278">
        <v>0</v>
      </c>
      <c r="P14" s="278">
        <v>0</v>
      </c>
      <c r="Q14" s="287">
        <v>5504</v>
      </c>
      <c r="R14" s="288">
        <f t="shared" si="6"/>
        <v>169338</v>
      </c>
      <c r="S14" s="289"/>
      <c r="T14" s="297" t="s">
        <v>51</v>
      </c>
      <c r="U14" s="298">
        <f>U5+U6+U7+U8+U9</f>
        <v>476326.416</v>
      </c>
      <c r="V14" s="299" t="s">
        <v>52</v>
      </c>
      <c r="W14" s="300">
        <f>U6+U9</f>
        <v>5068.96</v>
      </c>
      <c r="X14" s="293"/>
      <c r="AB14" s="321">
        <f t="shared" si="7"/>
        <v>188.7</v>
      </c>
      <c r="AD14" s="3">
        <f t="shared" si="0"/>
        <v>0</v>
      </c>
      <c r="AE14" s="3">
        <f>$W$5*H14/1000/R14</f>
        <v>0.0413374434562827</v>
      </c>
      <c r="AF14" s="3">
        <f t="shared" si="1"/>
        <v>1.22831260555811e-5</v>
      </c>
      <c r="AG14" s="3">
        <f t="shared" si="2"/>
        <v>0.0166789497927222</v>
      </c>
      <c r="AH14" s="3">
        <f t="shared" si="3"/>
        <v>0.0631541650426957</v>
      </c>
      <c r="AI14" s="3">
        <f t="shared" si="4"/>
        <v>0.121182841417756</v>
      </c>
      <c r="AK14" s="3">
        <f>AB14*(100-进出水!T16)/100</f>
        <v>40.5705</v>
      </c>
      <c r="AL14" s="3">
        <f t="shared" si="5"/>
        <v>6.16211286525924</v>
      </c>
    </row>
    <row r="15" ht="18.6" customHeight="1" spans="1:38">
      <c r="A15" s="6">
        <v>11</v>
      </c>
      <c r="B15" s="265">
        <v>20.4</v>
      </c>
      <c r="C15" s="266" t="s">
        <v>41</v>
      </c>
      <c r="D15" s="267">
        <v>175031</v>
      </c>
      <c r="E15" s="268">
        <v>104.04</v>
      </c>
      <c r="F15" s="268">
        <v>119.68</v>
      </c>
      <c r="G15" s="268">
        <v>0</v>
      </c>
      <c r="H15" s="269">
        <v>225</v>
      </c>
      <c r="I15" s="6">
        <v>5402</v>
      </c>
      <c r="J15" s="279">
        <v>53200.0000000335</v>
      </c>
      <c r="K15" s="276">
        <v>0</v>
      </c>
      <c r="L15" s="276">
        <v>0</v>
      </c>
      <c r="M15" s="277">
        <v>4970</v>
      </c>
      <c r="N15" s="277">
        <v>1728</v>
      </c>
      <c r="O15" s="278">
        <v>0</v>
      </c>
      <c r="P15" s="278">
        <v>0</v>
      </c>
      <c r="Q15" s="287">
        <v>5488</v>
      </c>
      <c r="R15" s="288">
        <f t="shared" si="6"/>
        <v>169543</v>
      </c>
      <c r="S15" s="289"/>
      <c r="T15" s="297" t="s">
        <v>53</v>
      </c>
      <c r="U15" s="301" t="s">
        <v>54</v>
      </c>
      <c r="V15" s="301" t="s">
        <v>55</v>
      </c>
      <c r="W15" s="302" t="s">
        <v>56</v>
      </c>
      <c r="X15" s="293"/>
      <c r="AB15" s="321">
        <f t="shared" si="7"/>
        <v>223.72</v>
      </c>
      <c r="AD15" s="3">
        <f t="shared" si="0"/>
        <v>0</v>
      </c>
      <c r="AE15" s="3">
        <f>$W$5*H15/1000/R15</f>
        <v>0.0371587148982854</v>
      </c>
      <c r="AF15" s="3">
        <f t="shared" si="1"/>
        <v>0</v>
      </c>
      <c r="AG15" s="3">
        <f t="shared" si="2"/>
        <v>0.013718997540447</v>
      </c>
      <c r="AH15" s="3">
        <f t="shared" si="3"/>
        <v>0.0567700229440319</v>
      </c>
      <c r="AI15" s="3">
        <f t="shared" si="4"/>
        <v>0.107647735382764</v>
      </c>
      <c r="AK15" s="3">
        <f>AB15*(100-进出水!T17)/100</f>
        <v>48.54724</v>
      </c>
      <c r="AL15" s="3">
        <f t="shared" si="5"/>
        <v>4.63466100235564</v>
      </c>
    </row>
    <row r="16" ht="18.6" customHeight="1" spans="1:38">
      <c r="A16" s="6">
        <v>12</v>
      </c>
      <c r="B16" s="265">
        <v>20.8</v>
      </c>
      <c r="C16" s="266" t="s">
        <v>41</v>
      </c>
      <c r="D16" s="267">
        <v>186347</v>
      </c>
      <c r="E16" s="268">
        <v>142.68</v>
      </c>
      <c r="F16" s="268">
        <v>96.42</v>
      </c>
      <c r="G16" s="268">
        <v>0</v>
      </c>
      <c r="H16" s="269">
        <v>275</v>
      </c>
      <c r="I16" s="6">
        <v>5808</v>
      </c>
      <c r="J16" s="280">
        <v>57500</v>
      </c>
      <c r="K16" s="276">
        <v>0</v>
      </c>
      <c r="L16" s="276">
        <v>0.2</v>
      </c>
      <c r="M16" s="277">
        <v>2840</v>
      </c>
      <c r="N16" s="277">
        <v>1008</v>
      </c>
      <c r="O16" s="278">
        <v>0</v>
      </c>
      <c r="P16" s="278">
        <v>0</v>
      </c>
      <c r="Q16" s="287">
        <v>5480</v>
      </c>
      <c r="R16" s="288">
        <f t="shared" si="6"/>
        <v>180867</v>
      </c>
      <c r="S16" s="289"/>
      <c r="T16" s="303">
        <f>U16+V16+W16</f>
        <v>5267.6</v>
      </c>
      <c r="U16" s="300">
        <f>F36</f>
        <v>1946.7</v>
      </c>
      <c r="V16" s="300">
        <f>E36</f>
        <v>3246.1</v>
      </c>
      <c r="W16" s="300">
        <f>G36</f>
        <v>74.8</v>
      </c>
      <c r="X16" s="293"/>
      <c r="AB16" s="321">
        <f t="shared" si="7"/>
        <v>239.1</v>
      </c>
      <c r="AD16" s="3">
        <f t="shared" si="0"/>
        <v>0</v>
      </c>
      <c r="AE16" s="3">
        <f>$W$5*H16/1000/R16</f>
        <v>0.0425727191803922</v>
      </c>
      <c r="AF16" s="3">
        <f t="shared" si="1"/>
        <v>1.15001631032748e-5</v>
      </c>
      <c r="AG16" s="3">
        <f t="shared" si="2"/>
        <v>0.00734860422299259</v>
      </c>
      <c r="AH16" s="3">
        <f t="shared" si="3"/>
        <v>0.0310424787274627</v>
      </c>
      <c r="AI16" s="3">
        <f t="shared" si="4"/>
        <v>0.0809753022939508</v>
      </c>
      <c r="AK16" s="3">
        <f>AB16*(100-进出水!T18)/100</f>
        <v>51.6456</v>
      </c>
      <c r="AL16" s="3">
        <f t="shared" si="5"/>
        <v>5.32475176975386</v>
      </c>
    </row>
    <row r="17" ht="18.6" customHeight="1" spans="1:38">
      <c r="A17" s="6">
        <v>13</v>
      </c>
      <c r="B17" s="265">
        <v>21</v>
      </c>
      <c r="C17" s="266" t="s">
        <v>41</v>
      </c>
      <c r="D17" s="267">
        <v>191282</v>
      </c>
      <c r="E17" s="268">
        <v>71.96</v>
      </c>
      <c r="F17" s="268">
        <v>96.2</v>
      </c>
      <c r="G17" s="268">
        <v>0</v>
      </c>
      <c r="H17" s="269">
        <v>250</v>
      </c>
      <c r="I17" s="6">
        <v>5942</v>
      </c>
      <c r="J17" s="280">
        <v>56699.9999999825</v>
      </c>
      <c r="K17" s="276">
        <v>0</v>
      </c>
      <c r="L17" s="276">
        <v>0</v>
      </c>
      <c r="M17" s="277">
        <v>2982</v>
      </c>
      <c r="N17" s="277">
        <v>1032</v>
      </c>
      <c r="O17" s="278">
        <v>0</v>
      </c>
      <c r="P17" s="278">
        <v>0</v>
      </c>
      <c r="Q17" s="287">
        <v>5472</v>
      </c>
      <c r="R17" s="288">
        <f t="shared" si="6"/>
        <v>185810</v>
      </c>
      <c r="S17" s="289"/>
      <c r="T17" s="297" t="s">
        <v>57</v>
      </c>
      <c r="U17" s="304">
        <v>9.6</v>
      </c>
      <c r="V17" s="304">
        <v>9.6</v>
      </c>
      <c r="W17" s="299"/>
      <c r="X17" s="293"/>
      <c r="Y17" s="323"/>
      <c r="Z17" s="323"/>
      <c r="AB17" s="321">
        <f t="shared" si="7"/>
        <v>168.16</v>
      </c>
      <c r="AD17" s="3">
        <f t="shared" si="0"/>
        <v>0</v>
      </c>
      <c r="AE17" s="3">
        <f>$W$5*H17/1000/R17</f>
        <v>0.0376728916635273</v>
      </c>
      <c r="AF17" s="3">
        <f t="shared" si="1"/>
        <v>0</v>
      </c>
      <c r="AG17" s="3">
        <f t="shared" si="2"/>
        <v>0.0075107690651741</v>
      </c>
      <c r="AH17" s="3">
        <f t="shared" si="3"/>
        <v>0.030936117539422</v>
      </c>
      <c r="AI17" s="3">
        <f t="shared" si="4"/>
        <v>0.0761197782681234</v>
      </c>
      <c r="AK17" s="3">
        <f>AB17*(100-进出水!T19)/100</f>
        <v>36.65888</v>
      </c>
      <c r="AL17" s="3">
        <f t="shared" si="5"/>
        <v>6.81963005961993</v>
      </c>
    </row>
    <row r="18" ht="18.6" customHeight="1" spans="1:38">
      <c r="A18" s="6">
        <v>14</v>
      </c>
      <c r="B18" s="265">
        <v>21.3</v>
      </c>
      <c r="C18" s="266" t="s">
        <v>41</v>
      </c>
      <c r="D18" s="267">
        <v>179811</v>
      </c>
      <c r="E18" s="268">
        <v>101.36</v>
      </c>
      <c r="F18" s="268">
        <v>69.58</v>
      </c>
      <c r="G18" s="268">
        <v>0</v>
      </c>
      <c r="H18" s="269">
        <v>275</v>
      </c>
      <c r="I18" s="6">
        <v>5578</v>
      </c>
      <c r="J18" s="280">
        <v>57999.9999999927</v>
      </c>
      <c r="K18" s="276">
        <v>0</v>
      </c>
      <c r="L18" s="276">
        <v>0.2</v>
      </c>
      <c r="M18" s="277">
        <v>3976</v>
      </c>
      <c r="N18" s="277">
        <v>1320</v>
      </c>
      <c r="O18" s="278">
        <v>0</v>
      </c>
      <c r="P18" s="278">
        <v>0</v>
      </c>
      <c r="Q18" s="287">
        <v>5488</v>
      </c>
      <c r="R18" s="288">
        <f t="shared" si="6"/>
        <v>174323</v>
      </c>
      <c r="S18" s="289"/>
      <c r="T18" s="303">
        <f>U18+V18</f>
        <v>49850.88</v>
      </c>
      <c r="U18" s="305">
        <f>ROUND(U16*U17,2)</f>
        <v>18688.32</v>
      </c>
      <c r="V18" s="302">
        <f>ROUND(V16*V17,2)</f>
        <v>31162.56</v>
      </c>
      <c r="W18" s="299"/>
      <c r="X18" s="293"/>
      <c r="Y18" s="323"/>
      <c r="Z18" s="323"/>
      <c r="AB18" s="321">
        <f t="shared" si="7"/>
        <v>170.94</v>
      </c>
      <c r="AD18" s="3">
        <f t="shared" si="0"/>
        <v>0</v>
      </c>
      <c r="AE18" s="3">
        <f>$W$5*H18/1000/R18</f>
        <v>0.0441708781973692</v>
      </c>
      <c r="AF18" s="3">
        <f t="shared" si="1"/>
        <v>1.19318735909777e-5</v>
      </c>
      <c r="AG18" s="3">
        <f t="shared" si="2"/>
        <v>0.0106742541144886</v>
      </c>
      <c r="AH18" s="3">
        <f t="shared" si="3"/>
        <v>0.0421768785530309</v>
      </c>
      <c r="AI18" s="3">
        <f t="shared" si="4"/>
        <v>0.0970339427384797</v>
      </c>
      <c r="AK18" s="3">
        <f>AB18*(100-进出水!T20)/100</f>
        <v>36.7521</v>
      </c>
      <c r="AL18" s="3">
        <f t="shared" si="5"/>
        <v>7.48256562210051</v>
      </c>
    </row>
    <row r="19" ht="18.6" customHeight="1" spans="1:38">
      <c r="A19" s="6">
        <v>15</v>
      </c>
      <c r="B19" s="265">
        <v>20</v>
      </c>
      <c r="C19" s="266" t="s">
        <v>44</v>
      </c>
      <c r="D19" s="267">
        <v>155039</v>
      </c>
      <c r="E19" s="268">
        <v>104.52</v>
      </c>
      <c r="F19" s="268">
        <v>94.36</v>
      </c>
      <c r="G19" s="268">
        <v>0</v>
      </c>
      <c r="H19" s="269">
        <v>200</v>
      </c>
      <c r="I19" s="6">
        <v>5468</v>
      </c>
      <c r="J19" s="280">
        <v>53899.9999999942</v>
      </c>
      <c r="K19" s="276">
        <v>0</v>
      </c>
      <c r="L19" s="276">
        <v>0</v>
      </c>
      <c r="M19" s="277">
        <v>3053</v>
      </c>
      <c r="N19" s="277">
        <v>1056</v>
      </c>
      <c r="O19" s="278">
        <v>0</v>
      </c>
      <c r="P19" s="278">
        <v>0</v>
      </c>
      <c r="Q19" s="287">
        <v>5512</v>
      </c>
      <c r="R19" s="288">
        <f t="shared" si="6"/>
        <v>149527</v>
      </c>
      <c r="S19" s="289"/>
      <c r="T19" s="297" t="s">
        <v>58</v>
      </c>
      <c r="U19" s="301"/>
      <c r="V19" s="304">
        <v>0</v>
      </c>
      <c r="W19" s="299"/>
      <c r="X19" s="293"/>
      <c r="AB19" s="321">
        <f t="shared" si="7"/>
        <v>198.88</v>
      </c>
      <c r="AD19" s="3">
        <f t="shared" si="0"/>
        <v>0</v>
      </c>
      <c r="AE19" s="3">
        <f>$W$5*H19/1000/R19</f>
        <v>0.0374514301764899</v>
      </c>
      <c r="AF19" s="3">
        <f t="shared" si="1"/>
        <v>0</v>
      </c>
      <c r="AG19" s="3">
        <f t="shared" si="2"/>
        <v>0.0095554916503374</v>
      </c>
      <c r="AH19" s="3">
        <f t="shared" si="3"/>
        <v>0.0393368421756606</v>
      </c>
      <c r="AI19" s="3">
        <f t="shared" si="4"/>
        <v>0.0863437640024878</v>
      </c>
      <c r="AK19" s="3">
        <f>AB19*(100-进出水!T21)/100</f>
        <v>42.56032</v>
      </c>
      <c r="AL19" s="3">
        <f t="shared" si="5"/>
        <v>4.69921278787377</v>
      </c>
    </row>
    <row r="20" ht="18.6" customHeight="1" spans="1:38">
      <c r="A20" s="6">
        <v>16</v>
      </c>
      <c r="B20" s="265">
        <v>20.5</v>
      </c>
      <c r="C20" s="266" t="s">
        <v>44</v>
      </c>
      <c r="D20" s="267">
        <v>146919</v>
      </c>
      <c r="E20" s="268">
        <v>138.76</v>
      </c>
      <c r="F20" s="268">
        <v>46.14</v>
      </c>
      <c r="G20" s="268">
        <v>0</v>
      </c>
      <c r="H20" s="269">
        <v>250</v>
      </c>
      <c r="I20" s="6">
        <v>4934</v>
      </c>
      <c r="J20" s="280">
        <v>53700.0000000262</v>
      </c>
      <c r="K20" s="276">
        <v>7560</v>
      </c>
      <c r="L20" s="276">
        <v>0.2</v>
      </c>
      <c r="M20" s="277">
        <v>3195</v>
      </c>
      <c r="N20" s="277">
        <v>1128</v>
      </c>
      <c r="O20" s="278">
        <v>0</v>
      </c>
      <c r="P20" s="278">
        <v>0</v>
      </c>
      <c r="Q20" s="287">
        <v>5480</v>
      </c>
      <c r="R20" s="288">
        <f t="shared" si="6"/>
        <v>141439</v>
      </c>
      <c r="S20" s="289"/>
      <c r="T20" s="303">
        <f>U20+V20</f>
        <v>0</v>
      </c>
      <c r="U20" s="301"/>
      <c r="V20" s="302">
        <f>ROUND(V16*V19,2)</f>
        <v>0</v>
      </c>
      <c r="W20" s="299"/>
      <c r="X20" s="293"/>
      <c r="AB20" s="321">
        <f t="shared" si="7"/>
        <v>184.9</v>
      </c>
      <c r="AD20" s="3">
        <f t="shared" si="0"/>
        <v>0.0222354513253063</v>
      </c>
      <c r="AE20" s="3">
        <f>$W$5*H20/1000/R20</f>
        <v>0.0494913001364546</v>
      </c>
      <c r="AF20" s="3">
        <f t="shared" si="1"/>
        <v>1.47059863262608e-5</v>
      </c>
      <c r="AG20" s="3">
        <f t="shared" si="2"/>
        <v>0.0105717659202907</v>
      </c>
      <c r="AH20" s="3">
        <f t="shared" si="3"/>
        <v>0.0444216941579055</v>
      </c>
      <c r="AI20" s="3">
        <f t="shared" si="4"/>
        <v>0.126734917526283</v>
      </c>
      <c r="AK20" s="3">
        <f>AB20*(100-进出水!T22)/100</f>
        <v>40.1233</v>
      </c>
      <c r="AL20" s="3">
        <f t="shared" si="5"/>
        <v>6.23079357879337</v>
      </c>
    </row>
    <row r="21" ht="18.6" customHeight="1" spans="1:38">
      <c r="A21" s="6">
        <v>17</v>
      </c>
      <c r="B21" s="265">
        <v>22.5</v>
      </c>
      <c r="C21" s="266" t="s">
        <v>41</v>
      </c>
      <c r="D21" s="267">
        <v>161468</v>
      </c>
      <c r="E21" s="268">
        <v>172.5</v>
      </c>
      <c r="F21" s="268">
        <v>0</v>
      </c>
      <c r="G21" s="268">
        <v>0</v>
      </c>
      <c r="H21" s="269">
        <v>300</v>
      </c>
      <c r="I21" s="6">
        <v>5640</v>
      </c>
      <c r="J21" s="280">
        <v>55099.999999984</v>
      </c>
      <c r="K21" s="276">
        <v>4560</v>
      </c>
      <c r="L21" s="276">
        <v>0</v>
      </c>
      <c r="M21" s="277">
        <v>4047</v>
      </c>
      <c r="N21" s="277">
        <v>1392</v>
      </c>
      <c r="O21" s="278">
        <v>0</v>
      </c>
      <c r="P21" s="278">
        <v>0</v>
      </c>
      <c r="Q21" s="287">
        <v>5496</v>
      </c>
      <c r="R21" s="288">
        <f t="shared" si="6"/>
        <v>155972</v>
      </c>
      <c r="S21" s="289"/>
      <c r="T21" s="297" t="s">
        <v>59</v>
      </c>
      <c r="U21" s="306" t="s">
        <v>60</v>
      </c>
      <c r="V21" s="307">
        <f>V17+V19</f>
        <v>9.6</v>
      </c>
      <c r="W21" s="56" t="s">
        <v>61</v>
      </c>
      <c r="X21" s="293"/>
      <c r="AB21" s="321">
        <f t="shared" si="7"/>
        <v>172.5</v>
      </c>
      <c r="AD21" s="3">
        <f t="shared" si="0"/>
        <v>0.0121621829559152</v>
      </c>
      <c r="AE21" s="3">
        <f>$W$5*H21/1000/R21</f>
        <v>0.053855820275434</v>
      </c>
      <c r="AF21" s="3">
        <f t="shared" si="1"/>
        <v>0</v>
      </c>
      <c r="AG21" s="3">
        <f t="shared" si="2"/>
        <v>0.0121431795450465</v>
      </c>
      <c r="AH21" s="3">
        <f t="shared" si="3"/>
        <v>0.0497104608519478</v>
      </c>
      <c r="AI21" s="3">
        <f t="shared" si="4"/>
        <v>0.127871643628344</v>
      </c>
      <c r="AK21" s="3">
        <f>AB21*(100-进出水!T23)/100</f>
        <v>36.7425</v>
      </c>
      <c r="AL21" s="3">
        <f t="shared" si="5"/>
        <v>8.16493161869769</v>
      </c>
    </row>
    <row r="22" ht="18.6" customHeight="1" spans="1:38">
      <c r="A22" s="6">
        <v>18</v>
      </c>
      <c r="B22" s="265">
        <v>22.6</v>
      </c>
      <c r="C22" s="266" t="s">
        <v>41</v>
      </c>
      <c r="D22" s="267">
        <v>182674</v>
      </c>
      <c r="E22" s="268">
        <v>135.84</v>
      </c>
      <c r="F22" s="268">
        <v>24.66</v>
      </c>
      <c r="G22" s="268">
        <v>0</v>
      </c>
      <c r="H22" s="269">
        <v>275</v>
      </c>
      <c r="I22" s="6">
        <v>5644</v>
      </c>
      <c r="J22" s="63">
        <v>56899.9999999869</v>
      </c>
      <c r="K22" s="276">
        <v>0</v>
      </c>
      <c r="L22" s="276">
        <v>0</v>
      </c>
      <c r="M22" s="277">
        <v>3905</v>
      </c>
      <c r="N22" s="277">
        <v>1296</v>
      </c>
      <c r="O22" s="278">
        <v>0</v>
      </c>
      <c r="P22" s="278">
        <v>0</v>
      </c>
      <c r="Q22" s="287">
        <v>5504</v>
      </c>
      <c r="R22" s="288">
        <f t="shared" si="6"/>
        <v>177170</v>
      </c>
      <c r="S22" s="289"/>
      <c r="T22" s="303">
        <f>T18+T20</f>
        <v>49850.88</v>
      </c>
      <c r="U22" s="306"/>
      <c r="V22" s="56"/>
      <c r="W22" s="308">
        <f>T16-E36-F36-G36</f>
        <v>4.12114786740858e-13</v>
      </c>
      <c r="X22" s="293"/>
      <c r="AB22" s="321">
        <f t="shared" si="7"/>
        <v>160.5</v>
      </c>
      <c r="AD22" s="3">
        <f t="shared" si="0"/>
        <v>0</v>
      </c>
      <c r="AE22" s="3">
        <f>$W$5*H22/1000/R22</f>
        <v>0.0434610825760569</v>
      </c>
      <c r="AF22" s="3">
        <f t="shared" si="1"/>
        <v>0</v>
      </c>
      <c r="AG22" s="3">
        <f t="shared" si="2"/>
        <v>0.010315177513123</v>
      </c>
      <c r="AH22" s="3">
        <f t="shared" si="3"/>
        <v>0.0407445955861602</v>
      </c>
      <c r="AI22" s="3">
        <f t="shared" si="4"/>
        <v>0.0945208556753401</v>
      </c>
      <c r="AK22" s="3">
        <f>AB22*(100-进出水!T24)/100</f>
        <v>33.8655</v>
      </c>
      <c r="AL22" s="3">
        <f t="shared" si="5"/>
        <v>8.12035847691604</v>
      </c>
    </row>
    <row r="23" ht="18.6" customHeight="1" spans="1:38">
      <c r="A23" s="6">
        <v>19</v>
      </c>
      <c r="B23" s="265">
        <v>22.1</v>
      </c>
      <c r="C23" s="266" t="s">
        <v>41</v>
      </c>
      <c r="D23" s="267">
        <v>164667</v>
      </c>
      <c r="E23" s="268">
        <v>170.68</v>
      </c>
      <c r="F23" s="268">
        <v>0</v>
      </c>
      <c r="G23" s="268">
        <v>0</v>
      </c>
      <c r="H23" s="269">
        <v>250</v>
      </c>
      <c r="I23" s="6">
        <v>5806</v>
      </c>
      <c r="J23" s="63">
        <v>53000.0000000291</v>
      </c>
      <c r="K23" s="276">
        <v>0</v>
      </c>
      <c r="L23" s="276">
        <v>0.2</v>
      </c>
      <c r="M23" s="277">
        <v>2840</v>
      </c>
      <c r="N23" s="277">
        <v>1008</v>
      </c>
      <c r="O23" s="278">
        <v>0</v>
      </c>
      <c r="P23" s="278">
        <v>0</v>
      </c>
      <c r="Q23" s="287">
        <v>5496</v>
      </c>
      <c r="R23" s="288">
        <f t="shared" si="6"/>
        <v>159171</v>
      </c>
      <c r="S23" s="289"/>
      <c r="T23" s="290"/>
      <c r="U23" s="309"/>
      <c r="V23" s="56"/>
      <c r="W23" s="56"/>
      <c r="X23" s="56"/>
      <c r="AB23" s="321">
        <f t="shared" si="7"/>
        <v>170.68</v>
      </c>
      <c r="AD23" s="3">
        <f t="shared" si="0"/>
        <v>0</v>
      </c>
      <c r="AE23" s="3">
        <f>$W$5*H23/1000/R23</f>
        <v>0.0439778602886204</v>
      </c>
      <c r="AF23" s="3">
        <f t="shared" si="1"/>
        <v>1.30677070571901e-5</v>
      </c>
      <c r="AG23" s="3">
        <f t="shared" si="2"/>
        <v>0.00835026480954445</v>
      </c>
      <c r="AH23" s="3">
        <f t="shared" si="3"/>
        <v>0.0352737621802967</v>
      </c>
      <c r="AI23" s="3">
        <f t="shared" si="4"/>
        <v>0.0876149549855187</v>
      </c>
      <c r="AK23" s="3">
        <f>AB23*(100-进出水!T25)/100</f>
        <v>36.52552</v>
      </c>
      <c r="AL23" s="3">
        <f t="shared" si="5"/>
        <v>6.84452952346743</v>
      </c>
    </row>
    <row r="24" ht="18.6" customHeight="1" spans="1:38">
      <c r="A24" s="6">
        <v>20</v>
      </c>
      <c r="B24" s="265">
        <v>20.9</v>
      </c>
      <c r="C24" s="266" t="s">
        <v>41</v>
      </c>
      <c r="D24" s="267">
        <v>191721</v>
      </c>
      <c r="E24" s="268">
        <v>209.62</v>
      </c>
      <c r="F24" s="268">
        <v>0</v>
      </c>
      <c r="G24" s="268">
        <v>0</v>
      </c>
      <c r="H24" s="269">
        <v>225</v>
      </c>
      <c r="I24" s="6">
        <v>5224</v>
      </c>
      <c r="J24" s="63">
        <v>57899.9999999724</v>
      </c>
      <c r="K24" s="276">
        <v>0</v>
      </c>
      <c r="L24" s="276">
        <v>0</v>
      </c>
      <c r="M24" s="277">
        <v>3053</v>
      </c>
      <c r="N24" s="277">
        <v>1056</v>
      </c>
      <c r="O24" s="278">
        <v>0</v>
      </c>
      <c r="P24" s="278">
        <v>0</v>
      </c>
      <c r="Q24" s="287">
        <v>5504</v>
      </c>
      <c r="R24" s="288">
        <f t="shared" si="6"/>
        <v>186217</v>
      </c>
      <c r="S24" s="289"/>
      <c r="T24" s="290" t="s">
        <v>62</v>
      </c>
      <c r="U24" s="309" t="s">
        <v>63</v>
      </c>
      <c r="V24" s="310">
        <f>H36</f>
        <v>7250</v>
      </c>
      <c r="W24" s="56">
        <f>L36</f>
        <v>2.6</v>
      </c>
      <c r="X24" s="56"/>
      <c r="AB24" s="321">
        <f t="shared" si="7"/>
        <v>209.62</v>
      </c>
      <c r="AD24" s="3">
        <f t="shared" si="0"/>
        <v>0</v>
      </c>
      <c r="AE24" s="3">
        <f>$W$5*H24/1000/R24</f>
        <v>0.0338314976613306</v>
      </c>
      <c r="AF24" s="3">
        <f t="shared" si="1"/>
        <v>0</v>
      </c>
      <c r="AG24" s="3">
        <f t="shared" si="2"/>
        <v>0.007672790346746</v>
      </c>
      <c r="AH24" s="3">
        <f t="shared" si="3"/>
        <v>0.0315863750355768</v>
      </c>
      <c r="AI24" s="3">
        <f t="shared" si="4"/>
        <v>0.0730906630436534</v>
      </c>
      <c r="AK24" s="3">
        <f>AB24*(100-进出水!T26)/100</f>
        <v>45.0683</v>
      </c>
      <c r="AL24" s="3">
        <f t="shared" si="5"/>
        <v>4.99242261190238</v>
      </c>
    </row>
    <row r="25" ht="18.6" customHeight="1" spans="1:38">
      <c r="A25" s="6">
        <v>21</v>
      </c>
      <c r="B25" s="265">
        <v>23</v>
      </c>
      <c r="C25" s="266" t="s">
        <v>41</v>
      </c>
      <c r="D25" s="267">
        <v>188077</v>
      </c>
      <c r="E25" s="268">
        <v>205.04</v>
      </c>
      <c r="F25" s="268">
        <v>48.04</v>
      </c>
      <c r="G25" s="268">
        <v>0</v>
      </c>
      <c r="H25" s="269">
        <v>275</v>
      </c>
      <c r="I25" s="6">
        <v>4874</v>
      </c>
      <c r="J25" s="280">
        <v>56300.0000000102</v>
      </c>
      <c r="K25" s="276">
        <v>0</v>
      </c>
      <c r="L25" s="276">
        <v>0.2</v>
      </c>
      <c r="M25" s="277">
        <v>3905</v>
      </c>
      <c r="N25" s="277">
        <v>1368</v>
      </c>
      <c r="O25" s="278">
        <v>0</v>
      </c>
      <c r="P25" s="278">
        <v>0</v>
      </c>
      <c r="Q25" s="287">
        <v>5504</v>
      </c>
      <c r="R25" s="288">
        <f t="shared" si="6"/>
        <v>182573</v>
      </c>
      <c r="S25" s="289"/>
      <c r="T25" s="290"/>
      <c r="U25" s="309" t="s">
        <v>64</v>
      </c>
      <c r="V25" s="284">
        <f>汇总!F6</f>
        <v>6.41350591992251</v>
      </c>
      <c r="W25" s="284">
        <f>W24/R36*1000</f>
        <v>0.000512843879080092</v>
      </c>
      <c r="X25" s="56"/>
      <c r="AB25" s="321">
        <f t="shared" si="7"/>
        <v>253.08</v>
      </c>
      <c r="AD25" s="3">
        <f t="shared" si="0"/>
        <v>0</v>
      </c>
      <c r="AE25" s="3">
        <f>$W$5*H25/1000/R25</f>
        <v>0.0421749108575748</v>
      </c>
      <c r="AF25" s="3">
        <f t="shared" si="1"/>
        <v>1.13927031926955e-5</v>
      </c>
      <c r="AG25" s="3">
        <f t="shared" si="2"/>
        <v>0.0100099138426821</v>
      </c>
      <c r="AH25" s="3">
        <f t="shared" si="3"/>
        <v>0.041735415422872</v>
      </c>
      <c r="AI25" s="3">
        <f t="shared" si="4"/>
        <v>0.0939316328263215</v>
      </c>
      <c r="AK25" s="3">
        <f>AB25*(100-进出水!T27)/100</f>
        <v>54.66528</v>
      </c>
      <c r="AL25" s="3">
        <f t="shared" si="5"/>
        <v>5.03061541073237</v>
      </c>
    </row>
    <row r="26" ht="18.6" customHeight="1" spans="1:38">
      <c r="A26" s="6">
        <v>22</v>
      </c>
      <c r="B26" s="265">
        <v>22.6</v>
      </c>
      <c r="C26" s="266" t="s">
        <v>41</v>
      </c>
      <c r="D26" s="267">
        <v>185088</v>
      </c>
      <c r="E26" s="268">
        <v>157.4</v>
      </c>
      <c r="F26" s="268">
        <v>17.28</v>
      </c>
      <c r="G26" s="268">
        <v>0</v>
      </c>
      <c r="H26" s="269">
        <v>250</v>
      </c>
      <c r="I26" s="6">
        <v>5492</v>
      </c>
      <c r="J26" s="63">
        <v>56000.0000000218</v>
      </c>
      <c r="K26" s="276">
        <v>0</v>
      </c>
      <c r="L26" s="276">
        <v>0</v>
      </c>
      <c r="M26" s="277">
        <v>5822</v>
      </c>
      <c r="N26" s="277">
        <v>1920</v>
      </c>
      <c r="O26" s="278">
        <v>0</v>
      </c>
      <c r="P26" s="278">
        <v>0</v>
      </c>
      <c r="Q26" s="287">
        <v>5504</v>
      </c>
      <c r="R26" s="288">
        <f t="shared" si="6"/>
        <v>179584</v>
      </c>
      <c r="S26" s="289"/>
      <c r="T26" s="290" t="s">
        <v>9</v>
      </c>
      <c r="U26" s="309" t="s">
        <v>63</v>
      </c>
      <c r="V26" s="310">
        <f>K36</f>
        <v>12120</v>
      </c>
      <c r="W26" s="56"/>
      <c r="X26" s="56"/>
      <c r="AB26" s="321">
        <f t="shared" si="7"/>
        <v>174.68</v>
      </c>
      <c r="AD26" s="3">
        <f t="shared" si="0"/>
        <v>0</v>
      </c>
      <c r="AE26" s="3">
        <f>$W$5*H26/1000/R26</f>
        <v>0.0389789736279401</v>
      </c>
      <c r="AF26" s="3">
        <f t="shared" si="1"/>
        <v>0</v>
      </c>
      <c r="AG26" s="3">
        <f t="shared" si="2"/>
        <v>0.0151722647897363</v>
      </c>
      <c r="AH26" s="3">
        <f t="shared" si="3"/>
        <v>0.0595509622238061</v>
      </c>
      <c r="AI26" s="3">
        <f t="shared" si="4"/>
        <v>0.113702200641483</v>
      </c>
      <c r="AK26" s="3">
        <f>AB26*(100-进出水!T28)/100</f>
        <v>37.38152</v>
      </c>
      <c r="AL26" s="3">
        <f t="shared" si="5"/>
        <v>6.68779653689844</v>
      </c>
    </row>
    <row r="27" ht="18.6" customHeight="1" spans="1:38">
      <c r="A27" s="6">
        <v>23</v>
      </c>
      <c r="B27" s="265">
        <v>22</v>
      </c>
      <c r="C27" s="266" t="s">
        <v>65</v>
      </c>
      <c r="D27" s="267">
        <v>176415</v>
      </c>
      <c r="E27" s="268">
        <v>210.6</v>
      </c>
      <c r="F27" s="268">
        <v>0</v>
      </c>
      <c r="G27" s="268">
        <v>0</v>
      </c>
      <c r="H27" s="269">
        <v>275</v>
      </c>
      <c r="I27" s="6">
        <v>4726</v>
      </c>
      <c r="J27" s="63">
        <v>53099.9999999767</v>
      </c>
      <c r="K27" s="276">
        <v>0</v>
      </c>
      <c r="L27" s="276">
        <v>0.2</v>
      </c>
      <c r="M27" s="277">
        <v>5325</v>
      </c>
      <c r="N27" s="277">
        <v>1776</v>
      </c>
      <c r="O27" s="278">
        <v>0</v>
      </c>
      <c r="P27" s="278">
        <v>0</v>
      </c>
      <c r="Q27" s="287">
        <v>5512</v>
      </c>
      <c r="R27" s="288">
        <f t="shared" si="6"/>
        <v>170903</v>
      </c>
      <c r="S27" s="289"/>
      <c r="T27" s="290"/>
      <c r="U27" s="309" t="s">
        <v>66</v>
      </c>
      <c r="V27" s="308">
        <f>ROUND(K36/R36*1000,1)</f>
        <v>2.4</v>
      </c>
      <c r="W27" s="56"/>
      <c r="X27" s="56"/>
      <c r="AB27" s="321">
        <f t="shared" si="7"/>
        <v>210.6</v>
      </c>
      <c r="AD27" s="3">
        <f t="shared" si="0"/>
        <v>0</v>
      </c>
      <c r="AE27" s="3">
        <f>$W$5*H27/1000/R27</f>
        <v>0.0450547971656437</v>
      </c>
      <c r="AF27" s="3">
        <f t="shared" si="1"/>
        <v>1.2170646507083e-5</v>
      </c>
      <c r="AG27" s="3">
        <f t="shared" si="2"/>
        <v>0.0145819558462988</v>
      </c>
      <c r="AH27" s="3">
        <f t="shared" si="3"/>
        <v>0.0578826585841091</v>
      </c>
      <c r="AI27" s="3">
        <f t="shared" si="4"/>
        <v>0.117531582242559</v>
      </c>
      <c r="AK27" s="3">
        <f>AB27*(100-进出水!T29)/100</f>
        <v>45.7002</v>
      </c>
      <c r="AL27" s="3">
        <f t="shared" si="5"/>
        <v>6.01747913575871</v>
      </c>
    </row>
    <row r="28" ht="18.6" customHeight="1" spans="1:38">
      <c r="A28" s="6">
        <v>24</v>
      </c>
      <c r="B28" s="265">
        <v>22.4</v>
      </c>
      <c r="C28" s="266" t="s">
        <v>41</v>
      </c>
      <c r="D28" s="267">
        <v>184770</v>
      </c>
      <c r="E28" s="268">
        <v>105.2</v>
      </c>
      <c r="F28" s="268">
        <v>72.06</v>
      </c>
      <c r="G28" s="268">
        <v>0</v>
      </c>
      <c r="H28" s="269">
        <v>250</v>
      </c>
      <c r="I28" s="6">
        <v>5702</v>
      </c>
      <c r="J28" s="63">
        <v>51300.0000000102</v>
      </c>
      <c r="K28" s="276">
        <v>0</v>
      </c>
      <c r="L28" s="276">
        <v>0</v>
      </c>
      <c r="M28" s="277">
        <v>5680</v>
      </c>
      <c r="N28" s="277">
        <v>1872</v>
      </c>
      <c r="O28" s="278">
        <v>0</v>
      </c>
      <c r="P28" s="278">
        <v>0</v>
      </c>
      <c r="Q28" s="287">
        <v>5504</v>
      </c>
      <c r="R28" s="288">
        <f t="shared" si="6"/>
        <v>179266</v>
      </c>
      <c r="S28" s="289"/>
      <c r="T28" s="290" t="s">
        <v>11</v>
      </c>
      <c r="U28" s="309" t="s">
        <v>63</v>
      </c>
      <c r="V28" s="310">
        <f>M36</f>
        <v>113032</v>
      </c>
      <c r="W28" s="56"/>
      <c r="X28" s="56"/>
      <c r="AB28" s="321">
        <f t="shared" si="7"/>
        <v>177.26</v>
      </c>
      <c r="AD28" s="3">
        <f t="shared" si="0"/>
        <v>0</v>
      </c>
      <c r="AE28" s="3">
        <f>$W$5*H28/1000/R28</f>
        <v>0.0390481184385215</v>
      </c>
      <c r="AF28" s="3">
        <f t="shared" si="1"/>
        <v>0</v>
      </c>
      <c r="AG28" s="3">
        <f t="shared" si="2"/>
        <v>0.0148284671940022</v>
      </c>
      <c r="AH28" s="3">
        <f t="shared" si="3"/>
        <v>0.0581651846976002</v>
      </c>
      <c r="AI28" s="3">
        <f t="shared" si="4"/>
        <v>0.112041770330124</v>
      </c>
      <c r="AK28" s="3">
        <f>AB28*(100-进出水!T30)/100</f>
        <v>37.93364</v>
      </c>
      <c r="AL28" s="3">
        <f t="shared" si="5"/>
        <v>6.59045638646858</v>
      </c>
    </row>
    <row r="29" ht="18.6" customHeight="1" spans="1:38">
      <c r="A29" s="6">
        <v>25</v>
      </c>
      <c r="B29" s="265">
        <v>22</v>
      </c>
      <c r="C29" s="266" t="s">
        <v>41</v>
      </c>
      <c r="D29" s="267">
        <v>183373</v>
      </c>
      <c r="E29" s="268">
        <v>136.28</v>
      </c>
      <c r="F29" s="268">
        <v>68.58</v>
      </c>
      <c r="G29" s="268">
        <v>16.9</v>
      </c>
      <c r="H29" s="269">
        <v>275</v>
      </c>
      <c r="I29" s="6">
        <v>5808</v>
      </c>
      <c r="J29" s="63">
        <v>52799.9999999884</v>
      </c>
      <c r="K29" s="276">
        <v>0</v>
      </c>
      <c r="L29" s="276">
        <v>0.2</v>
      </c>
      <c r="M29" s="277">
        <v>4331</v>
      </c>
      <c r="N29" s="277">
        <v>1512</v>
      </c>
      <c r="O29" s="278">
        <v>0</v>
      </c>
      <c r="P29" s="278">
        <v>0</v>
      </c>
      <c r="Q29" s="287">
        <v>5504</v>
      </c>
      <c r="R29" s="288">
        <f t="shared" si="6"/>
        <v>177869</v>
      </c>
      <c r="S29" s="289"/>
      <c r="T29" s="290"/>
      <c r="U29" s="309" t="s">
        <v>66</v>
      </c>
      <c r="V29" s="311">
        <f>ROUND(M36/R36*1000,1)</f>
        <v>22.3</v>
      </c>
      <c r="W29" s="56"/>
      <c r="X29" s="56"/>
      <c r="AB29" s="321">
        <f t="shared" si="7"/>
        <v>221.76</v>
      </c>
      <c r="AD29" s="3">
        <f t="shared" si="0"/>
        <v>0</v>
      </c>
      <c r="AE29" s="3">
        <f>$W$5*H29/1000/R29</f>
        <v>0.0432902866716516</v>
      </c>
      <c r="AF29" s="3">
        <f t="shared" si="1"/>
        <v>1.16939995164981e-5</v>
      </c>
      <c r="AG29" s="3">
        <f t="shared" si="2"/>
        <v>0.0113955101788395</v>
      </c>
      <c r="AH29" s="3">
        <f t="shared" si="3"/>
        <v>0.0473485542730886</v>
      </c>
      <c r="AI29" s="3">
        <f t="shared" si="4"/>
        <v>0.102046045123096</v>
      </c>
      <c r="AK29" s="3">
        <f>AB29*(100-进出水!T31)/100</f>
        <v>47.90016</v>
      </c>
      <c r="AL29" s="3">
        <f t="shared" si="5"/>
        <v>5.74110817166373</v>
      </c>
    </row>
    <row r="30" ht="18.6" customHeight="1" spans="1:38">
      <c r="A30" s="6">
        <v>26</v>
      </c>
      <c r="B30" s="265">
        <v>22.8</v>
      </c>
      <c r="C30" s="266" t="s">
        <v>41</v>
      </c>
      <c r="D30" s="267">
        <v>187285</v>
      </c>
      <c r="E30" s="268">
        <v>102.82</v>
      </c>
      <c r="F30" s="268">
        <v>70.32</v>
      </c>
      <c r="G30" s="268">
        <v>33.42</v>
      </c>
      <c r="H30" s="269">
        <v>250</v>
      </c>
      <c r="I30" s="6">
        <v>5442</v>
      </c>
      <c r="J30" s="63">
        <v>56100.0000000058</v>
      </c>
      <c r="K30" s="276">
        <v>0</v>
      </c>
      <c r="L30" s="276">
        <v>0</v>
      </c>
      <c r="M30" s="277">
        <v>3195</v>
      </c>
      <c r="N30" s="277">
        <v>1104</v>
      </c>
      <c r="O30" s="278">
        <v>0</v>
      </c>
      <c r="P30" s="278">
        <v>0</v>
      </c>
      <c r="Q30" s="287">
        <v>5512</v>
      </c>
      <c r="R30" s="288">
        <f t="shared" si="6"/>
        <v>181773</v>
      </c>
      <c r="S30" s="289"/>
      <c r="T30" s="290" t="s">
        <v>12</v>
      </c>
      <c r="U30" s="309" t="s">
        <v>63</v>
      </c>
      <c r="V30" s="310">
        <f>处理量!N36</f>
        <v>38664</v>
      </c>
      <c r="W30" s="56"/>
      <c r="X30" s="56"/>
      <c r="AB30" s="321">
        <f t="shared" si="7"/>
        <v>206.56</v>
      </c>
      <c r="AD30" s="3">
        <f t="shared" si="0"/>
        <v>0</v>
      </c>
      <c r="AE30" s="3">
        <f>$W$5*H30/1000/R30</f>
        <v>0.0385095696280526</v>
      </c>
      <c r="AF30" s="3">
        <f t="shared" si="1"/>
        <v>0</v>
      </c>
      <c r="AG30" s="3">
        <f t="shared" si="2"/>
        <v>0.00822597415457741</v>
      </c>
      <c r="AH30" s="3">
        <f t="shared" si="3"/>
        <v>0.0338294466174844</v>
      </c>
      <c r="AI30" s="3">
        <f t="shared" si="4"/>
        <v>0.0805649904001144</v>
      </c>
      <c r="AK30" s="3">
        <f>AB30*(100-进出水!T32)/100</f>
        <v>43.99728</v>
      </c>
      <c r="AL30" s="3">
        <f t="shared" si="5"/>
        <v>5.68216944320194</v>
      </c>
    </row>
    <row r="31" ht="18.6" customHeight="1" spans="1:38">
      <c r="A31" s="6">
        <v>27</v>
      </c>
      <c r="B31" s="265">
        <v>22.9</v>
      </c>
      <c r="C31" s="266" t="s">
        <v>41</v>
      </c>
      <c r="D31" s="267">
        <v>194901</v>
      </c>
      <c r="E31" s="268">
        <v>102.1</v>
      </c>
      <c r="F31" s="268">
        <v>74.08</v>
      </c>
      <c r="G31" s="268">
        <v>0</v>
      </c>
      <c r="H31" s="269">
        <v>300</v>
      </c>
      <c r="I31" s="6">
        <v>4310</v>
      </c>
      <c r="J31" s="63">
        <v>58300.0000000175</v>
      </c>
      <c r="K31" s="276">
        <v>0</v>
      </c>
      <c r="L31" s="276">
        <v>0.2</v>
      </c>
      <c r="M31" s="277">
        <v>3408</v>
      </c>
      <c r="N31" s="277">
        <v>1128</v>
      </c>
      <c r="O31" s="278">
        <v>0</v>
      </c>
      <c r="P31" s="278">
        <v>0</v>
      </c>
      <c r="Q31" s="287">
        <v>5528</v>
      </c>
      <c r="R31" s="288">
        <f t="shared" si="6"/>
        <v>189373</v>
      </c>
      <c r="S31" s="289"/>
      <c r="T31" s="290"/>
      <c r="U31" s="309" t="s">
        <v>66</v>
      </c>
      <c r="V31" s="308">
        <f>ROUND(N36/R36*1000,2)</f>
        <v>7.63</v>
      </c>
      <c r="W31" s="56"/>
      <c r="X31" s="56"/>
      <c r="AB31" s="321">
        <f t="shared" si="7"/>
        <v>176.18</v>
      </c>
      <c r="AD31" s="3">
        <f t="shared" si="0"/>
        <v>0</v>
      </c>
      <c r="AE31" s="3">
        <f>$W$5*H31/1000/R31</f>
        <v>0.0443569040993172</v>
      </c>
      <c r="AF31" s="3">
        <f t="shared" si="1"/>
        <v>1.09836143484024e-5</v>
      </c>
      <c r="AG31" s="3">
        <f t="shared" si="2"/>
        <v>0.00842223548235493</v>
      </c>
      <c r="AH31" s="3">
        <f t="shared" si="3"/>
        <v>0.0331776969261722</v>
      </c>
      <c r="AI31" s="3">
        <f t="shared" si="4"/>
        <v>0.0859678201221927</v>
      </c>
      <c r="AK31" s="3">
        <f>AB31*(100-进出水!T33)/100</f>
        <v>37.8787</v>
      </c>
      <c r="AL31" s="3">
        <f t="shared" si="5"/>
        <v>7.92001837444263</v>
      </c>
    </row>
    <row r="32" ht="18.6" customHeight="1" spans="1:38">
      <c r="A32" s="6">
        <v>28</v>
      </c>
      <c r="B32" s="265">
        <v>22.4</v>
      </c>
      <c r="C32" s="266" t="s">
        <v>41</v>
      </c>
      <c r="D32" s="267">
        <v>182868</v>
      </c>
      <c r="E32" s="268">
        <v>105.8</v>
      </c>
      <c r="F32" s="268">
        <v>47.28</v>
      </c>
      <c r="G32" s="268">
        <v>0</v>
      </c>
      <c r="H32" s="269">
        <v>250</v>
      </c>
      <c r="I32" s="6">
        <v>5314</v>
      </c>
      <c r="J32" s="63">
        <v>58599.9999999694</v>
      </c>
      <c r="K32" s="276">
        <v>0</v>
      </c>
      <c r="L32" s="276">
        <v>0</v>
      </c>
      <c r="M32" s="277">
        <v>2485</v>
      </c>
      <c r="N32" s="277">
        <v>864</v>
      </c>
      <c r="O32" s="278">
        <v>0</v>
      </c>
      <c r="P32" s="278">
        <v>0</v>
      </c>
      <c r="Q32" s="287">
        <v>5520</v>
      </c>
      <c r="R32" s="288">
        <f t="shared" si="6"/>
        <v>177348</v>
      </c>
      <c r="S32" s="289"/>
      <c r="T32" s="290" t="s">
        <v>67</v>
      </c>
      <c r="U32" s="309" t="s">
        <v>68</v>
      </c>
      <c r="V32" s="56">
        <f>O36</f>
        <v>0</v>
      </c>
      <c r="W32" s="56"/>
      <c r="X32" s="56"/>
      <c r="AB32" s="321">
        <f t="shared" si="7"/>
        <v>153.08</v>
      </c>
      <c r="AD32" s="3">
        <f t="shared" si="0"/>
        <v>0</v>
      </c>
      <c r="AE32" s="3">
        <f>$W$5*H32/1000/R32</f>
        <v>0.0394704197397208</v>
      </c>
      <c r="AF32" s="3">
        <f t="shared" si="1"/>
        <v>0</v>
      </c>
      <c r="AG32" s="3">
        <f t="shared" si="2"/>
        <v>0.00655761553555721</v>
      </c>
      <c r="AH32" s="3">
        <f t="shared" si="3"/>
        <v>0.0271358007984302</v>
      </c>
      <c r="AI32" s="3">
        <f t="shared" si="4"/>
        <v>0.0731638360737082</v>
      </c>
      <c r="AK32" s="3">
        <f>AB32*(100-进出水!T34)/100</f>
        <v>32.60604</v>
      </c>
      <c r="AL32" s="3">
        <f t="shared" si="5"/>
        <v>7.66729109085311</v>
      </c>
    </row>
    <row r="33" ht="18.6" customHeight="1" spans="1:38">
      <c r="A33" s="6">
        <v>29</v>
      </c>
      <c r="B33" s="265">
        <v>23.1</v>
      </c>
      <c r="C33" s="266" t="s">
        <v>41</v>
      </c>
      <c r="D33" s="267">
        <v>155926</v>
      </c>
      <c r="E33" s="268">
        <v>79.4</v>
      </c>
      <c r="F33" s="268">
        <v>23.38</v>
      </c>
      <c r="G33" s="268">
        <v>0</v>
      </c>
      <c r="H33" s="269">
        <v>275</v>
      </c>
      <c r="I33" s="6">
        <v>4914</v>
      </c>
      <c r="J33" s="63">
        <v>53700.0000000262</v>
      </c>
      <c r="K33" s="276">
        <v>0</v>
      </c>
      <c r="L33" s="276">
        <v>0</v>
      </c>
      <c r="M33" s="277">
        <v>2343</v>
      </c>
      <c r="N33" s="277">
        <v>816</v>
      </c>
      <c r="O33" s="278">
        <v>0</v>
      </c>
      <c r="P33" s="278">
        <v>0</v>
      </c>
      <c r="Q33" s="287">
        <v>5520</v>
      </c>
      <c r="R33" s="288">
        <f t="shared" si="6"/>
        <v>150406</v>
      </c>
      <c r="S33" s="289"/>
      <c r="T33" s="290"/>
      <c r="U33" s="309" t="s">
        <v>66</v>
      </c>
      <c r="V33" s="308">
        <f>ROUND(V32/R36*1000000,2)</f>
        <v>0</v>
      </c>
      <c r="W33" s="56"/>
      <c r="X33" s="56"/>
      <c r="AB33" s="321">
        <f t="shared" si="7"/>
        <v>102.78</v>
      </c>
      <c r="AD33" s="3">
        <f t="shared" si="0"/>
        <v>0</v>
      </c>
      <c r="AE33" s="3">
        <f>$W$5*H33/1000/R33</f>
        <v>0.0511947661662434</v>
      </c>
      <c r="AF33" s="3">
        <f t="shared" si="1"/>
        <v>0</v>
      </c>
      <c r="AG33" s="3">
        <f t="shared" si="2"/>
        <v>0.007290427243594</v>
      </c>
      <c r="AH33" s="3">
        <f t="shared" si="3"/>
        <v>0.0302190072204566</v>
      </c>
      <c r="AI33" s="3">
        <f t="shared" si="4"/>
        <v>0.088704200630294</v>
      </c>
      <c r="AK33" s="3">
        <f>AB33*(100-进出水!T35)/100</f>
        <v>21.78936</v>
      </c>
      <c r="AL33" s="3">
        <f t="shared" si="5"/>
        <v>12.6208387947145</v>
      </c>
    </row>
    <row r="34" ht="18.6" customHeight="1" spans="1:38">
      <c r="A34" s="6">
        <v>30</v>
      </c>
      <c r="B34" s="265">
        <v>22.9</v>
      </c>
      <c r="C34" s="266" t="s">
        <v>41</v>
      </c>
      <c r="D34" s="267">
        <v>127616</v>
      </c>
      <c r="E34" s="268">
        <v>34.9</v>
      </c>
      <c r="F34" s="268">
        <v>216.18</v>
      </c>
      <c r="G34" s="268">
        <v>0</v>
      </c>
      <c r="H34" s="269">
        <v>275</v>
      </c>
      <c r="I34" s="6">
        <v>5366</v>
      </c>
      <c r="J34" s="63">
        <v>48699.9999999898</v>
      </c>
      <c r="K34" s="276">
        <v>0</v>
      </c>
      <c r="L34" s="276">
        <v>0.2</v>
      </c>
      <c r="M34" s="277">
        <v>2130</v>
      </c>
      <c r="N34" s="277">
        <v>768</v>
      </c>
      <c r="O34" s="278">
        <v>0</v>
      </c>
      <c r="P34" s="278">
        <v>0</v>
      </c>
      <c r="Q34" s="287">
        <v>5512</v>
      </c>
      <c r="R34" s="288">
        <f t="shared" si="6"/>
        <v>122104</v>
      </c>
      <c r="S34" s="289"/>
      <c r="T34" s="290"/>
      <c r="U34" s="309"/>
      <c r="V34" s="56"/>
      <c r="W34" s="56"/>
      <c r="X34" s="56"/>
      <c r="AB34" s="321">
        <f t="shared" si="7"/>
        <v>251.08</v>
      </c>
      <c r="AD34" s="3">
        <f t="shared" si="0"/>
        <v>0</v>
      </c>
      <c r="AE34" s="3">
        <f>$W$5*H34/1000/R34</f>
        <v>0.0630609971827295</v>
      </c>
      <c r="AF34" s="3">
        <f t="shared" si="1"/>
        <v>1.70346589792308e-5</v>
      </c>
      <c r="AG34" s="3">
        <f t="shared" si="2"/>
        <v>0.00816386031579637</v>
      </c>
      <c r="AH34" s="3">
        <f t="shared" si="3"/>
        <v>0.0350337417283627</v>
      </c>
      <c r="AI34" s="3">
        <f t="shared" si="4"/>
        <v>0.106275633885868</v>
      </c>
      <c r="AK34" s="3">
        <f>AB34*(100-进出水!T36)/100</f>
        <v>53.48004</v>
      </c>
      <c r="AL34" s="3">
        <f t="shared" si="5"/>
        <v>5.14210535369831</v>
      </c>
    </row>
    <row r="35" ht="19" customHeight="1" spans="1:20">
      <c r="A35" s="5" t="s">
        <v>69</v>
      </c>
      <c r="B35" s="60">
        <f>AVERAGE(B5:B34)</f>
        <v>21.27</v>
      </c>
      <c r="C35" s="8" t="s">
        <v>70</v>
      </c>
      <c r="D35" s="270">
        <f>AVERAGE(D5:D34)</f>
        <v>174491.866666667</v>
      </c>
      <c r="E35" s="173">
        <f>AVERAGE(E5:E34)</f>
        <v>108.203333333333</v>
      </c>
      <c r="F35" s="173">
        <f>AVERAGE(F5:F34)</f>
        <v>64.89</v>
      </c>
      <c r="G35" s="173">
        <f>AVERAGE(G5:G34)</f>
        <v>2.49333333333333</v>
      </c>
      <c r="H35" s="270">
        <f t="shared" ref="H35:Q35" si="8">AVERAGE(H5:H34)</f>
        <v>241.666666666667</v>
      </c>
      <c r="I35" s="270">
        <f t="shared" si="8"/>
        <v>5388.06666666667</v>
      </c>
      <c r="J35" s="270">
        <f t="shared" si="8"/>
        <v>54439.9999999999</v>
      </c>
      <c r="K35" s="281">
        <f t="shared" si="8"/>
        <v>404</v>
      </c>
      <c r="L35" s="281">
        <f t="shared" si="8"/>
        <v>0.0866666666666667</v>
      </c>
      <c r="M35" s="270">
        <f t="shared" si="8"/>
        <v>3767.73333333333</v>
      </c>
      <c r="N35" s="270">
        <f t="shared" si="8"/>
        <v>1288.8</v>
      </c>
      <c r="O35" s="173">
        <f t="shared" si="8"/>
        <v>0</v>
      </c>
      <c r="P35" s="278">
        <v>0</v>
      </c>
      <c r="Q35" s="270">
        <f t="shared" si="8"/>
        <v>5499.56666666667</v>
      </c>
      <c r="R35" s="312">
        <f t="shared" si="6"/>
        <v>168992.3</v>
      </c>
      <c r="S35" s="313"/>
      <c r="T35" s="314"/>
    </row>
    <row r="36" ht="17" customHeight="1" spans="1:35">
      <c r="A36" s="5" t="s">
        <v>27</v>
      </c>
      <c r="B36" s="6" t="s">
        <v>70</v>
      </c>
      <c r="C36" s="6" t="s">
        <v>70</v>
      </c>
      <c r="D36" s="271">
        <f>SUM(D5:D34)</f>
        <v>5234756</v>
      </c>
      <c r="E36" s="272">
        <f>SUM(E5:E34)</f>
        <v>3246.1</v>
      </c>
      <c r="F36" s="272">
        <f>SUM(F5:F34)</f>
        <v>1946.7</v>
      </c>
      <c r="G36" s="272">
        <f>SUM(G5:G34)</f>
        <v>74.8</v>
      </c>
      <c r="H36" s="271">
        <f>SUM(H5:H34)</f>
        <v>7250</v>
      </c>
      <c r="I36" s="6" t="s">
        <v>70</v>
      </c>
      <c r="J36" s="270">
        <f t="shared" ref="J36:R36" si="9">SUM(J5:J34)</f>
        <v>1633200</v>
      </c>
      <c r="K36" s="281">
        <f t="shared" si="9"/>
        <v>12120</v>
      </c>
      <c r="L36" s="281">
        <f t="shared" si="9"/>
        <v>2.6</v>
      </c>
      <c r="M36" s="270">
        <f t="shared" si="9"/>
        <v>113032</v>
      </c>
      <c r="N36" s="270">
        <f t="shared" si="9"/>
        <v>38664</v>
      </c>
      <c r="O36" s="173">
        <f t="shared" si="9"/>
        <v>0</v>
      </c>
      <c r="P36" s="173">
        <f t="shared" si="9"/>
        <v>0</v>
      </c>
      <c r="Q36" s="270">
        <f t="shared" si="9"/>
        <v>164987</v>
      </c>
      <c r="R36" s="270">
        <f t="shared" si="9"/>
        <v>5069769</v>
      </c>
      <c r="S36" s="315"/>
      <c r="T36" s="316"/>
      <c r="AB36" s="3">
        <f>SUM(AB5:AB35)</f>
        <v>5267.6</v>
      </c>
      <c r="AI36" s="3">
        <f>AVERAGE(AI5:AI34)</f>
        <v>0.094285886738366</v>
      </c>
    </row>
    <row r="37" ht="18.6" customHeight="1" spans="1:18">
      <c r="A37" s="273" t="s">
        <v>71</v>
      </c>
      <c r="B37" s="273"/>
      <c r="C37" s="273"/>
      <c r="D37" s="273"/>
      <c r="E37" s="274"/>
      <c r="F37" s="274"/>
      <c r="I37" s="282" t="s">
        <v>72</v>
      </c>
      <c r="Q37" s="317" t="s">
        <v>73</v>
      </c>
      <c r="R37" s="318">
        <v>45050</v>
      </c>
    </row>
    <row r="38" ht="18.6" customHeight="1" spans="13:20">
      <c r="M38" s="255">
        <f>M36*0.31</f>
        <v>35039.92</v>
      </c>
      <c r="T38" s="257">
        <f>L36/R36*1000</f>
        <v>0.000512843879080092</v>
      </c>
    </row>
    <row r="39" spans="7:18">
      <c r="G39" s="255"/>
      <c r="H39" s="255"/>
      <c r="J39" s="270">
        <f>J35*30</f>
        <v>1633200</v>
      </c>
      <c r="Q39" s="255" t="s">
        <v>74</v>
      </c>
      <c r="R39" s="255">
        <f>MAX(R5:R34)</f>
        <v>189373</v>
      </c>
    </row>
    <row r="40" spans="7:20">
      <c r="G40" s="255"/>
      <c r="H40" s="255"/>
      <c r="J40" s="270">
        <f>J39*W4</f>
        <v>1106297.35728344</v>
      </c>
      <c r="O40" s="255">
        <f>O36*1000</f>
        <v>0</v>
      </c>
      <c r="Q40" s="255" t="s">
        <v>75</v>
      </c>
      <c r="R40" s="255">
        <f>MIN(R5:R34)</f>
        <v>122104</v>
      </c>
      <c r="T40" s="257">
        <f>O36*1000</f>
        <v>0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  <ignoredErrors>
    <ignoredError sqref="P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C7" sqref="C7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7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200" t="s">
        <v>76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="196" customFormat="1" ht="20.1" customHeight="1" spans="1:13">
      <c r="A2" s="201">
        <v>45017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</row>
    <row r="3" s="196" customFormat="1" ht="24" customHeight="1" spans="1:16">
      <c r="A3" s="202" t="s">
        <v>77</v>
      </c>
      <c r="B3" s="203" t="s">
        <v>78</v>
      </c>
      <c r="C3" s="204">
        <f>处理量!R36</f>
        <v>5069769</v>
      </c>
      <c r="D3" s="205" t="s">
        <v>79</v>
      </c>
      <c r="E3" s="203" t="s">
        <v>80</v>
      </c>
      <c r="F3" s="206">
        <f>处理量!E36+处理量!F36+处理量!G36</f>
        <v>5267.6</v>
      </c>
      <c r="G3" s="202" t="s">
        <v>81</v>
      </c>
      <c r="H3" s="203" t="s">
        <v>82</v>
      </c>
      <c r="I3" s="203"/>
      <c r="J3" s="36">
        <f>处理量!J36</f>
        <v>1633200</v>
      </c>
      <c r="K3" s="205" t="s">
        <v>83</v>
      </c>
      <c r="L3" s="203" t="s">
        <v>84</v>
      </c>
      <c r="M3" s="240">
        <f>J3/C3</f>
        <v>0.322144855120617</v>
      </c>
      <c r="P3" s="196" t="s">
        <v>85</v>
      </c>
    </row>
    <row r="4" s="196" customFormat="1" ht="24" customHeight="1" spans="1:16">
      <c r="A4" s="202"/>
      <c r="B4" s="203" t="s">
        <v>86</v>
      </c>
      <c r="C4" s="207">
        <f>处理量!R35</f>
        <v>168992.3</v>
      </c>
      <c r="D4" s="208"/>
      <c r="E4" s="203" t="s">
        <v>87</v>
      </c>
      <c r="F4" s="209">
        <f>处理量!H36</f>
        <v>7250</v>
      </c>
      <c r="G4" s="202"/>
      <c r="H4" s="203" t="s">
        <v>88</v>
      </c>
      <c r="I4" s="203"/>
      <c r="J4" s="209">
        <f>J3/M15</f>
        <v>54439.9999999999</v>
      </c>
      <c r="K4" s="208"/>
      <c r="L4" s="203" t="s">
        <v>89</v>
      </c>
      <c r="M4" s="241">
        <f>J3/I12</f>
        <v>1.02463376310629</v>
      </c>
      <c r="P4" s="196" t="s">
        <v>90</v>
      </c>
    </row>
    <row r="5" s="196" customFormat="1" ht="24" customHeight="1" spans="1:13">
      <c r="A5" s="202"/>
      <c r="B5" s="203"/>
      <c r="C5" s="210"/>
      <c r="D5" s="208"/>
      <c r="E5" s="203" t="s">
        <v>91</v>
      </c>
      <c r="F5" s="211">
        <f>进出水!T37</f>
        <v>78.54</v>
      </c>
      <c r="G5" s="202"/>
      <c r="H5" s="203" t="s">
        <v>92</v>
      </c>
      <c r="I5" s="203"/>
      <c r="J5" s="242">
        <v>5262</v>
      </c>
      <c r="K5" s="208"/>
      <c r="L5" s="203"/>
      <c r="M5" s="243"/>
    </row>
    <row r="6" s="196" customFormat="1" ht="24" customHeight="1" spans="1:13">
      <c r="A6" s="202"/>
      <c r="B6" s="203" t="s">
        <v>93</v>
      </c>
      <c r="C6" s="212">
        <f>处理量!R39</f>
        <v>189373</v>
      </c>
      <c r="D6" s="208"/>
      <c r="E6" s="202" t="s">
        <v>94</v>
      </c>
      <c r="F6" s="206">
        <f>F4/(F3*(100-F5)/100)</f>
        <v>6.41350591992251</v>
      </c>
      <c r="G6" s="205" t="s">
        <v>95</v>
      </c>
      <c r="H6" s="203" t="s">
        <v>96</v>
      </c>
      <c r="I6" s="203"/>
      <c r="J6" s="215">
        <f>处理量!M36/1000</f>
        <v>113.032</v>
      </c>
      <c r="K6" s="208"/>
      <c r="L6" s="203" t="s">
        <v>97</v>
      </c>
      <c r="M6" s="215">
        <f>J3/I13</f>
        <v>2.09866355127438</v>
      </c>
    </row>
    <row r="7" s="196" customFormat="1" ht="24" customHeight="1" spans="1:13">
      <c r="A7" s="202"/>
      <c r="B7" s="203" t="s">
        <v>98</v>
      </c>
      <c r="C7" s="36">
        <f>处理量!R40</f>
        <v>122104</v>
      </c>
      <c r="D7" s="213"/>
      <c r="E7" s="202" t="s">
        <v>99</v>
      </c>
      <c r="F7" s="214">
        <f>F3*(100-F5)/100*1000/(C3/1000)</f>
        <v>222.974056608891</v>
      </c>
      <c r="G7" s="208"/>
      <c r="H7" s="203" t="s">
        <v>100</v>
      </c>
      <c r="I7" s="203"/>
      <c r="J7" s="229">
        <f>J6*1000/(C3/1000)</f>
        <v>22.2952959000696</v>
      </c>
      <c r="K7" s="208"/>
      <c r="L7" s="244" t="s">
        <v>101</v>
      </c>
      <c r="M7" s="215">
        <f>J3/I14</f>
        <v>2.76210970694176</v>
      </c>
    </row>
    <row r="8" s="196" customFormat="1" ht="24" customHeight="1" spans="1:13">
      <c r="A8" s="202"/>
      <c r="B8" s="203" t="s">
        <v>102</v>
      </c>
      <c r="C8" s="215">
        <f>C4/200000*100</f>
        <v>84.49615</v>
      </c>
      <c r="D8" s="202" t="s">
        <v>103</v>
      </c>
      <c r="E8" s="203" t="s">
        <v>104</v>
      </c>
      <c r="F8" s="215">
        <f>处理量!K36/1000</f>
        <v>12.12</v>
      </c>
      <c r="G8" s="208"/>
      <c r="H8" s="203" t="s">
        <v>105</v>
      </c>
      <c r="I8" s="203"/>
      <c r="J8" s="215">
        <f>处理量!N36/1000</f>
        <v>38.664</v>
      </c>
      <c r="K8" s="245" t="s">
        <v>106</v>
      </c>
      <c r="L8" s="224" t="s">
        <v>107</v>
      </c>
      <c r="M8" s="246">
        <f>处理量!O36</f>
        <v>0</v>
      </c>
    </row>
    <row r="9" s="196" customFormat="1" ht="24" customHeight="1" spans="1:13">
      <c r="A9" s="202"/>
      <c r="B9" s="216" t="s">
        <v>108</v>
      </c>
      <c r="C9" s="217">
        <f>处理量!B35</f>
        <v>21.27</v>
      </c>
      <c r="D9" s="202"/>
      <c r="E9" s="203" t="s">
        <v>100</v>
      </c>
      <c r="F9" s="215">
        <f>F8*1000/(C3/1000)</f>
        <v>2.39064146709643</v>
      </c>
      <c r="G9" s="213"/>
      <c r="H9" s="203" t="s">
        <v>100</v>
      </c>
      <c r="I9" s="203"/>
      <c r="J9" s="206">
        <f>J8*1000/(C3/1000)</f>
        <v>7.62638297721257</v>
      </c>
      <c r="K9" s="221"/>
      <c r="L9" s="36" t="s">
        <v>100</v>
      </c>
      <c r="M9" s="246">
        <f>M8*1000000/C3</f>
        <v>0</v>
      </c>
    </row>
    <row r="10" s="196" customFormat="1" ht="24" customHeight="1" spans="1:13">
      <c r="A10" s="202" t="s">
        <v>109</v>
      </c>
      <c r="B10" s="218" t="s">
        <v>110</v>
      </c>
      <c r="C10" s="219" t="s">
        <v>111</v>
      </c>
      <c r="D10" s="220"/>
      <c r="E10" s="219" t="s">
        <v>112</v>
      </c>
      <c r="F10" s="220"/>
      <c r="G10" s="219" t="s">
        <v>113</v>
      </c>
      <c r="H10" s="220"/>
      <c r="I10" s="219" t="s">
        <v>114</v>
      </c>
      <c r="J10" s="220"/>
      <c r="K10" s="205" t="s">
        <v>115</v>
      </c>
      <c r="L10" s="224" t="s">
        <v>107</v>
      </c>
      <c r="M10" s="36">
        <v>0</v>
      </c>
    </row>
    <row r="11" s="196" customFormat="1" ht="24" customHeight="1" spans="1:13">
      <c r="A11" s="202"/>
      <c r="B11" s="221"/>
      <c r="C11" s="222"/>
      <c r="D11" s="223"/>
      <c r="E11" s="222"/>
      <c r="F11" s="223"/>
      <c r="G11" s="222"/>
      <c r="H11" s="223"/>
      <c r="I11" s="222"/>
      <c r="J11" s="223"/>
      <c r="K11" s="213"/>
      <c r="L11" s="36" t="s">
        <v>100</v>
      </c>
      <c r="M11" s="36">
        <v>0</v>
      </c>
    </row>
    <row r="12" s="196" customFormat="1" ht="24" customHeight="1" spans="1:19">
      <c r="A12" s="202"/>
      <c r="B12" s="224" t="s">
        <v>116</v>
      </c>
      <c r="C12" s="209">
        <f>进出水!B37</f>
        <v>341</v>
      </c>
      <c r="D12" s="209"/>
      <c r="E12" s="225">
        <f>进出水!N37</f>
        <v>26.6</v>
      </c>
      <c r="F12" s="226"/>
      <c r="G12" s="225">
        <f t="shared" ref="G12:G17" si="0">(C12-E12)/C12*100</f>
        <v>92.1994134897361</v>
      </c>
      <c r="H12" s="226"/>
      <c r="I12" s="209">
        <f>$C$3*(C12-E12)/1000</f>
        <v>1593935.3736</v>
      </c>
      <c r="J12" s="209"/>
      <c r="K12" s="202" t="s">
        <v>117</v>
      </c>
      <c r="L12" s="203" t="s">
        <v>31</v>
      </c>
      <c r="M12" s="247">
        <f>处理量!V16</f>
        <v>3246.1</v>
      </c>
      <c r="P12" s="248">
        <f t="shared" ref="P12:P17" si="1">ROUND(E12,2)</f>
        <v>26.6</v>
      </c>
      <c r="Q12" s="254">
        <f>C3</f>
        <v>5069769</v>
      </c>
      <c r="R12" s="248">
        <f t="shared" ref="R12:R17" si="2">P12*Q12/1000000</f>
        <v>134.8558554</v>
      </c>
      <c r="S12" s="224" t="s">
        <v>116</v>
      </c>
    </row>
    <row r="13" s="196" customFormat="1" ht="24" customHeight="1" spans="1:19">
      <c r="A13" s="202"/>
      <c r="B13" s="224" t="s">
        <v>118</v>
      </c>
      <c r="C13" s="209">
        <f>进出水!C37</f>
        <v>156</v>
      </c>
      <c r="D13" s="209"/>
      <c r="E13" s="227">
        <f>进出水!O37</f>
        <v>2.5</v>
      </c>
      <c r="F13" s="228"/>
      <c r="G13" s="225">
        <f t="shared" si="0"/>
        <v>98.3974358974359</v>
      </c>
      <c r="H13" s="226"/>
      <c r="I13" s="209">
        <f>$C$3*(C13-E13)/1000</f>
        <v>778209.5415</v>
      </c>
      <c r="J13" s="209"/>
      <c r="K13" s="202"/>
      <c r="L13" s="33" t="s">
        <v>32</v>
      </c>
      <c r="M13" s="247">
        <f>处理量!U16</f>
        <v>1946.7</v>
      </c>
      <c r="P13" s="248">
        <f t="shared" si="1"/>
        <v>2.5</v>
      </c>
      <c r="Q13" s="254">
        <f t="shared" ref="Q13:Q17" si="3">Q12</f>
        <v>5069769</v>
      </c>
      <c r="R13" s="248">
        <f t="shared" si="2"/>
        <v>12.6744225</v>
      </c>
      <c r="S13" s="224" t="s">
        <v>118</v>
      </c>
    </row>
    <row r="14" s="196" customFormat="1" ht="24" customHeight="1" spans="1:19">
      <c r="A14" s="202"/>
      <c r="B14" s="224" t="s">
        <v>119</v>
      </c>
      <c r="C14" s="209">
        <f>进出水!D37</f>
        <v>122</v>
      </c>
      <c r="D14" s="209"/>
      <c r="E14" s="227">
        <f>进出水!P37</f>
        <v>5.37</v>
      </c>
      <c r="F14" s="228"/>
      <c r="G14" s="225">
        <f t="shared" si="0"/>
        <v>95.5983606557377</v>
      </c>
      <c r="H14" s="226"/>
      <c r="I14" s="209">
        <f>$C$3*(C14-E14)/1000</f>
        <v>591287.15847</v>
      </c>
      <c r="J14" s="209"/>
      <c r="K14" s="202"/>
      <c r="L14" s="33" t="s">
        <v>120</v>
      </c>
      <c r="M14" s="247">
        <f>处理量!W16</f>
        <v>74.8</v>
      </c>
      <c r="P14" s="248">
        <f t="shared" si="1"/>
        <v>5.37</v>
      </c>
      <c r="Q14" s="254">
        <f t="shared" si="3"/>
        <v>5069769</v>
      </c>
      <c r="R14" s="248">
        <f t="shared" si="2"/>
        <v>27.22465953</v>
      </c>
      <c r="S14" s="224" t="s">
        <v>119</v>
      </c>
    </row>
    <row r="15" s="196" customFormat="1" ht="24" customHeight="1" spans="1:19">
      <c r="A15" s="202"/>
      <c r="B15" s="224" t="s">
        <v>121</v>
      </c>
      <c r="C15" s="206">
        <f>进出水!E37</f>
        <v>2.62</v>
      </c>
      <c r="D15" s="206"/>
      <c r="E15" s="227">
        <f>进出水!Q37</f>
        <v>0.18</v>
      </c>
      <c r="F15" s="228"/>
      <c r="G15" s="225">
        <f t="shared" si="0"/>
        <v>93.1297709923664</v>
      </c>
      <c r="H15" s="226"/>
      <c r="I15" s="209">
        <f>$C$3*(C15-E15)/1000</f>
        <v>12370.23636</v>
      </c>
      <c r="J15" s="209"/>
      <c r="K15" s="205" t="s">
        <v>122</v>
      </c>
      <c r="L15" s="249" t="s">
        <v>123</v>
      </c>
      <c r="M15" s="35">
        <v>30</v>
      </c>
      <c r="P15" s="248">
        <f t="shared" si="1"/>
        <v>0.18</v>
      </c>
      <c r="Q15" s="254">
        <f t="shared" si="3"/>
        <v>5069769</v>
      </c>
      <c r="R15" s="248">
        <f t="shared" si="2"/>
        <v>0.91255842</v>
      </c>
      <c r="S15" s="224" t="s">
        <v>121</v>
      </c>
    </row>
    <row r="16" s="196" customFormat="1" ht="24" customHeight="1" spans="1:19">
      <c r="A16" s="202"/>
      <c r="B16" s="224" t="s">
        <v>124</v>
      </c>
      <c r="C16" s="229">
        <f>进出水!G37</f>
        <v>32.9</v>
      </c>
      <c r="D16" s="229"/>
      <c r="E16" s="227">
        <f>进出水!S37</f>
        <v>6.95</v>
      </c>
      <c r="F16" s="228"/>
      <c r="G16" s="225">
        <f t="shared" si="0"/>
        <v>78.8753799392097</v>
      </c>
      <c r="H16" s="226"/>
      <c r="I16" s="209">
        <f>$C$3*(C16-E16)/1000</f>
        <v>131560.50555</v>
      </c>
      <c r="J16" s="209"/>
      <c r="K16" s="208"/>
      <c r="L16" s="250" t="s">
        <v>125</v>
      </c>
      <c r="M16" s="36">
        <v>30</v>
      </c>
      <c r="P16" s="248">
        <f t="shared" si="1"/>
        <v>6.95</v>
      </c>
      <c r="Q16" s="254">
        <f t="shared" si="3"/>
        <v>5069769</v>
      </c>
      <c r="R16" s="248">
        <f t="shared" si="2"/>
        <v>35.23489455</v>
      </c>
      <c r="S16" s="224" t="s">
        <v>124</v>
      </c>
    </row>
    <row r="17" s="196" customFormat="1" ht="24" customHeight="1" spans="1:19">
      <c r="A17" s="202"/>
      <c r="B17" s="224" t="s">
        <v>126</v>
      </c>
      <c r="C17" s="229">
        <f>进出水!F37</f>
        <v>26.1</v>
      </c>
      <c r="D17" s="229"/>
      <c r="E17" s="227">
        <f>进出水!R37</f>
        <v>0.43</v>
      </c>
      <c r="F17" s="228"/>
      <c r="G17" s="225">
        <f t="shared" si="0"/>
        <v>98.3524904214559</v>
      </c>
      <c r="H17" s="226"/>
      <c r="I17" s="209">
        <f>$C$3*(C17-E17)/1000</f>
        <v>130140.97023</v>
      </c>
      <c r="J17" s="209"/>
      <c r="K17" s="208"/>
      <c r="L17" s="250" t="s">
        <v>127</v>
      </c>
      <c r="M17" s="35">
        <v>30</v>
      </c>
      <c r="P17" s="248">
        <f t="shared" si="1"/>
        <v>0.43</v>
      </c>
      <c r="Q17" s="254">
        <f t="shared" si="3"/>
        <v>5069769</v>
      </c>
      <c r="R17" s="248">
        <f t="shared" si="2"/>
        <v>2.18000067</v>
      </c>
      <c r="S17" s="224" t="s">
        <v>126</v>
      </c>
    </row>
    <row r="18" s="196" customFormat="1" ht="24" customHeight="1" spans="1:13">
      <c r="A18" s="202"/>
      <c r="B18" s="216" t="s">
        <v>128</v>
      </c>
      <c r="C18" s="230"/>
      <c r="D18" s="231"/>
      <c r="E18" s="232" t="s">
        <v>129</v>
      </c>
      <c r="F18" s="233"/>
      <c r="G18" s="230"/>
      <c r="H18" s="231"/>
      <c r="I18" s="230"/>
      <c r="J18" s="231"/>
      <c r="K18" s="213"/>
      <c r="L18" s="244" t="s">
        <v>130</v>
      </c>
      <c r="M18" s="36">
        <v>100</v>
      </c>
    </row>
    <row r="19" s="196" customFormat="1" ht="20.1" customHeight="1" spans="1:13">
      <c r="A19" s="202" t="s">
        <v>131</v>
      </c>
      <c r="B19" s="234" t="s">
        <v>132</v>
      </c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51"/>
    </row>
    <row r="20" s="196" customFormat="1" ht="20.1" customHeight="1" spans="1:13">
      <c r="A20" s="202"/>
      <c r="B20" s="236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52"/>
    </row>
    <row r="21" ht="20.1" customHeight="1" spans="1:13">
      <c r="A21" s="238" t="s">
        <v>133</v>
      </c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</row>
    <row r="22" ht="17.25" customHeight="1" spans="9:9">
      <c r="I22" s="253"/>
    </row>
    <row r="23" ht="17.25" customHeight="1" spans="5:9">
      <c r="E23" s="239"/>
      <c r="I23" s="253"/>
    </row>
    <row r="24" ht="17.25" customHeight="1" spans="5:9">
      <c r="E24" s="239"/>
      <c r="I24" s="253"/>
    </row>
    <row r="25" ht="17.25" customHeight="1" spans="5:9">
      <c r="E25" s="239"/>
      <c r="I25" s="253"/>
    </row>
    <row r="26" ht="17.25" customHeight="1" spans="5:9">
      <c r="E26" s="239"/>
      <c r="I26" s="253"/>
    </row>
    <row r="27" ht="17.25" customHeight="1" spans="5:9">
      <c r="E27" s="239"/>
      <c r="I27" s="253"/>
    </row>
    <row r="28" ht="17.25" customHeight="1" spans="5:9">
      <c r="E28" s="239"/>
      <c r="I28" s="253"/>
    </row>
    <row r="29" ht="17.25" customHeight="1" spans="9:9">
      <c r="I29" s="253"/>
    </row>
    <row r="30" ht="17.25" customHeight="1" spans="9:9">
      <c r="I30" s="253"/>
    </row>
    <row r="31" ht="17.25" customHeight="1" spans="9:9">
      <c r="I31" s="25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tabSelected="1" zoomScale="115" zoomScaleNormal="115" topLeftCell="A4" workbookViewId="0">
      <selection activeCell="C36" sqref="C36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5"/>
      <c r="J2" s="165"/>
      <c r="K2" s="98"/>
      <c r="L2" s="97"/>
      <c r="M2" s="97"/>
      <c r="N2" s="97"/>
      <c r="O2" s="97"/>
      <c r="P2" s="97"/>
      <c r="Q2" s="97"/>
      <c r="R2" s="97"/>
      <c r="S2" s="97"/>
      <c r="T2" s="97"/>
      <c r="U2" s="26"/>
    </row>
    <row r="3" spans="1:21">
      <c r="A3" s="32" t="s">
        <v>135</v>
      </c>
      <c r="B3" s="32"/>
      <c r="C3" s="32"/>
      <c r="D3" s="32"/>
      <c r="E3" s="32"/>
      <c r="F3" s="32"/>
      <c r="G3" s="32"/>
      <c r="H3" s="99"/>
      <c r="I3" s="166"/>
      <c r="J3" s="167">
        <v>45017</v>
      </c>
      <c r="K3" s="168"/>
      <c r="L3" s="32"/>
      <c r="M3" s="32"/>
      <c r="N3" s="32"/>
      <c r="O3" s="32"/>
      <c r="P3" s="32"/>
      <c r="Q3" s="32"/>
      <c r="R3" s="32"/>
      <c r="S3" s="32"/>
      <c r="T3" s="190"/>
      <c r="U3" s="26"/>
    </row>
    <row r="4" ht="12.75" customHeight="1" spans="1:21">
      <c r="A4" s="100" t="s">
        <v>136</v>
      </c>
      <c r="B4" s="101" t="s">
        <v>111</v>
      </c>
      <c r="C4" s="102"/>
      <c r="D4" s="102"/>
      <c r="E4" s="102"/>
      <c r="F4" s="102"/>
      <c r="G4" s="103"/>
      <c r="H4" s="104" t="s">
        <v>137</v>
      </c>
      <c r="I4" s="104"/>
      <c r="J4" s="104"/>
      <c r="K4" s="104"/>
      <c r="L4" s="104"/>
      <c r="M4" s="104"/>
      <c r="N4" s="169" t="s">
        <v>138</v>
      </c>
      <c r="O4" s="169"/>
      <c r="P4" s="169"/>
      <c r="Q4" s="169"/>
      <c r="R4" s="169"/>
      <c r="S4" s="169"/>
      <c r="T4" s="191" t="s">
        <v>139</v>
      </c>
      <c r="U4" s="191" t="s">
        <v>140</v>
      </c>
    </row>
    <row r="5" ht="15" customHeight="1" spans="1:21">
      <c r="A5" s="105"/>
      <c r="B5" s="106" t="s">
        <v>141</v>
      </c>
      <c r="C5" s="106" t="s">
        <v>118</v>
      </c>
      <c r="D5" s="106" t="s">
        <v>119</v>
      </c>
      <c r="E5" s="106" t="s">
        <v>121</v>
      </c>
      <c r="F5" s="106" t="s">
        <v>126</v>
      </c>
      <c r="G5" s="106" t="s">
        <v>124</v>
      </c>
      <c r="H5" s="107" t="s">
        <v>141</v>
      </c>
      <c r="I5" s="107" t="s">
        <v>118</v>
      </c>
      <c r="J5" s="107" t="s">
        <v>119</v>
      </c>
      <c r="K5" s="107" t="s">
        <v>121</v>
      </c>
      <c r="L5" s="106" t="s">
        <v>126</v>
      </c>
      <c r="M5" s="106" t="s">
        <v>124</v>
      </c>
      <c r="N5" s="100" t="s">
        <v>142</v>
      </c>
      <c r="O5" s="100" t="s">
        <v>143</v>
      </c>
      <c r="P5" s="100" t="s">
        <v>119</v>
      </c>
      <c r="Q5" s="100" t="s">
        <v>121</v>
      </c>
      <c r="R5" s="100" t="s">
        <v>144</v>
      </c>
      <c r="S5" s="100" t="s">
        <v>124</v>
      </c>
      <c r="T5" s="192"/>
      <c r="U5" s="192"/>
    </row>
    <row r="6" ht="22.5" customHeight="1" spans="1:21">
      <c r="A6" s="108"/>
      <c r="B6" s="109" t="s">
        <v>145</v>
      </c>
      <c r="C6" s="109" t="s">
        <v>145</v>
      </c>
      <c r="D6" s="109" t="s">
        <v>145</v>
      </c>
      <c r="E6" s="109" t="s">
        <v>145</v>
      </c>
      <c r="F6" s="109" t="s">
        <v>145</v>
      </c>
      <c r="G6" s="109" t="s">
        <v>145</v>
      </c>
      <c r="H6" s="110" t="s">
        <v>145</v>
      </c>
      <c r="I6" s="110" t="s">
        <v>145</v>
      </c>
      <c r="J6" s="110" t="s">
        <v>145</v>
      </c>
      <c r="K6" s="110" t="s">
        <v>145</v>
      </c>
      <c r="L6" s="109" t="s">
        <v>145</v>
      </c>
      <c r="M6" s="109" t="s">
        <v>145</v>
      </c>
      <c r="N6" s="109" t="s">
        <v>145</v>
      </c>
      <c r="O6" s="109" t="s">
        <v>145</v>
      </c>
      <c r="P6" s="109" t="s">
        <v>145</v>
      </c>
      <c r="Q6" s="109" t="s">
        <v>145</v>
      </c>
      <c r="R6" s="109" t="s">
        <v>145</v>
      </c>
      <c r="S6" s="109" t="s">
        <v>145</v>
      </c>
      <c r="T6" s="108" t="s">
        <v>146</v>
      </c>
      <c r="U6" s="108" t="s">
        <v>147</v>
      </c>
    </row>
    <row r="7" ht="12.95" customHeight="1" spans="1:23">
      <c r="A7" s="111">
        <v>1</v>
      </c>
      <c r="B7" s="112">
        <v>300</v>
      </c>
      <c r="C7" s="113">
        <v>136</v>
      </c>
      <c r="D7" s="114">
        <v>144</v>
      </c>
      <c r="E7" s="115">
        <v>3.83</v>
      </c>
      <c r="F7" s="116">
        <v>24.2</v>
      </c>
      <c r="G7" s="117">
        <v>30.6</v>
      </c>
      <c r="H7" s="118">
        <v>39</v>
      </c>
      <c r="I7" s="115">
        <v>3.03</v>
      </c>
      <c r="J7" s="118">
        <v>16</v>
      </c>
      <c r="K7" s="115">
        <v>0.52</v>
      </c>
      <c r="L7" s="170">
        <v>0.44</v>
      </c>
      <c r="M7" s="170">
        <v>6.5</v>
      </c>
      <c r="N7" s="114">
        <v>33</v>
      </c>
      <c r="O7" s="171">
        <v>2.66</v>
      </c>
      <c r="P7" s="114">
        <v>6</v>
      </c>
      <c r="Q7" s="170">
        <v>0.17</v>
      </c>
      <c r="R7" s="119">
        <v>0.41</v>
      </c>
      <c r="S7" s="170">
        <v>5.46</v>
      </c>
      <c r="T7" s="121">
        <v>78.4</v>
      </c>
      <c r="U7" s="124" t="s">
        <v>129</v>
      </c>
      <c r="V7" s="193"/>
      <c r="W7" s="194">
        <f>1-S7/G7</f>
        <v>0.82156862745098</v>
      </c>
    </row>
    <row r="8" ht="12.95" customHeight="1" spans="1:23">
      <c r="A8" s="111">
        <v>2</v>
      </c>
      <c r="B8" s="112">
        <v>421</v>
      </c>
      <c r="C8" s="113">
        <v>190</v>
      </c>
      <c r="D8" s="114">
        <v>120</v>
      </c>
      <c r="E8" s="119">
        <v>3.14</v>
      </c>
      <c r="F8" s="117">
        <v>25.8</v>
      </c>
      <c r="G8" s="117">
        <v>32.7</v>
      </c>
      <c r="H8" s="118">
        <v>48</v>
      </c>
      <c r="I8" s="115">
        <v>3.34</v>
      </c>
      <c r="J8" s="118">
        <v>18</v>
      </c>
      <c r="K8" s="115">
        <v>0.54</v>
      </c>
      <c r="L8" s="170">
        <v>0.62</v>
      </c>
      <c r="M8" s="170">
        <v>7.27</v>
      </c>
      <c r="N8" s="114">
        <v>30</v>
      </c>
      <c r="O8" s="171">
        <v>2.69</v>
      </c>
      <c r="P8" s="114">
        <v>5</v>
      </c>
      <c r="Q8" s="170">
        <v>0.18</v>
      </c>
      <c r="R8" s="119">
        <v>0.52</v>
      </c>
      <c r="S8" s="170">
        <v>7.2</v>
      </c>
      <c r="T8" s="121">
        <v>78.5</v>
      </c>
      <c r="U8" s="124" t="s">
        <v>129</v>
      </c>
      <c r="V8" s="193"/>
      <c r="W8" s="194">
        <f t="shared" ref="W8:W37" si="0">1-S8/G8</f>
        <v>0.779816513761468</v>
      </c>
    </row>
    <row r="9" ht="12.95" customHeight="1" spans="1:23">
      <c r="A9" s="111">
        <v>3</v>
      </c>
      <c r="B9" s="112">
        <v>412</v>
      </c>
      <c r="C9" s="113">
        <v>186</v>
      </c>
      <c r="D9" s="114">
        <v>138</v>
      </c>
      <c r="E9" s="115">
        <v>2.68</v>
      </c>
      <c r="F9" s="117">
        <v>30.9</v>
      </c>
      <c r="G9" s="117">
        <v>37.2</v>
      </c>
      <c r="H9" s="118">
        <v>46</v>
      </c>
      <c r="I9" s="115">
        <v>3.45</v>
      </c>
      <c r="J9" s="118">
        <v>18</v>
      </c>
      <c r="K9" s="115">
        <v>0.52</v>
      </c>
      <c r="L9" s="170">
        <v>0.61</v>
      </c>
      <c r="M9" s="170">
        <v>8.33</v>
      </c>
      <c r="N9" s="114">
        <v>27</v>
      </c>
      <c r="O9" s="171">
        <v>2.26</v>
      </c>
      <c r="P9" s="114">
        <v>5</v>
      </c>
      <c r="Q9" s="170">
        <v>0.25</v>
      </c>
      <c r="R9" s="119">
        <v>0.53</v>
      </c>
      <c r="S9" s="170">
        <v>7.4</v>
      </c>
      <c r="T9" s="121">
        <v>78.2</v>
      </c>
      <c r="U9" s="124" t="s">
        <v>129</v>
      </c>
      <c r="V9" s="193"/>
      <c r="W9" s="194">
        <f t="shared" si="0"/>
        <v>0.801075268817204</v>
      </c>
    </row>
    <row r="10" ht="12.95" customHeight="1" spans="1:23">
      <c r="A10" s="111">
        <v>4</v>
      </c>
      <c r="B10" s="112">
        <v>400</v>
      </c>
      <c r="C10" s="113">
        <v>183</v>
      </c>
      <c r="D10" s="114">
        <v>154</v>
      </c>
      <c r="E10" s="115">
        <v>2.07</v>
      </c>
      <c r="F10" s="117">
        <v>24.2</v>
      </c>
      <c r="G10" s="117">
        <v>31.3</v>
      </c>
      <c r="H10" s="118">
        <v>38</v>
      </c>
      <c r="I10" s="115">
        <v>3</v>
      </c>
      <c r="J10" s="118">
        <v>17</v>
      </c>
      <c r="K10" s="115">
        <v>0.53</v>
      </c>
      <c r="L10" s="170">
        <v>0.73</v>
      </c>
      <c r="M10" s="170">
        <v>7.51</v>
      </c>
      <c r="N10" s="114">
        <v>27</v>
      </c>
      <c r="O10" s="171">
        <v>2.32</v>
      </c>
      <c r="P10" s="114">
        <v>7</v>
      </c>
      <c r="Q10" s="170">
        <v>0.18</v>
      </c>
      <c r="R10" s="119">
        <v>0.52</v>
      </c>
      <c r="S10" s="170">
        <v>5.84</v>
      </c>
      <c r="T10" s="121">
        <v>78.7</v>
      </c>
      <c r="U10" s="124">
        <v>80</v>
      </c>
      <c r="V10" s="193"/>
      <c r="W10" s="194">
        <f t="shared" si="0"/>
        <v>0.813418530351438</v>
      </c>
    </row>
    <row r="11" ht="12.95" customHeight="1" spans="1:23">
      <c r="A11" s="111">
        <v>5</v>
      </c>
      <c r="B11" s="112">
        <v>292</v>
      </c>
      <c r="C11" s="113">
        <v>133</v>
      </c>
      <c r="D11" s="114">
        <v>106</v>
      </c>
      <c r="E11" s="115">
        <v>2.27</v>
      </c>
      <c r="F11" s="120">
        <v>15.5</v>
      </c>
      <c r="G11" s="117">
        <v>22.2</v>
      </c>
      <c r="H11" s="118">
        <v>43</v>
      </c>
      <c r="I11" s="115">
        <v>3.25</v>
      </c>
      <c r="J11" s="118">
        <v>16</v>
      </c>
      <c r="K11" s="115">
        <v>0.51</v>
      </c>
      <c r="L11" s="170">
        <v>0.51</v>
      </c>
      <c r="M11" s="170">
        <v>7.9</v>
      </c>
      <c r="N11" s="114">
        <v>26</v>
      </c>
      <c r="O11" s="171">
        <v>2.39</v>
      </c>
      <c r="P11" s="114">
        <v>6</v>
      </c>
      <c r="Q11" s="170">
        <v>0.23</v>
      </c>
      <c r="R11" s="119">
        <v>0.49</v>
      </c>
      <c r="S11" s="170">
        <v>6.4</v>
      </c>
      <c r="T11" s="121">
        <v>78.8</v>
      </c>
      <c r="U11" s="124" t="s">
        <v>129</v>
      </c>
      <c r="V11" s="193"/>
      <c r="W11" s="194">
        <f t="shared" si="0"/>
        <v>0.711711711711712</v>
      </c>
    </row>
    <row r="12" ht="12.95" customHeight="1" spans="1:23">
      <c r="A12" s="111">
        <v>6</v>
      </c>
      <c r="B12" s="112">
        <v>308</v>
      </c>
      <c r="C12" s="113">
        <v>140</v>
      </c>
      <c r="D12" s="114">
        <v>124</v>
      </c>
      <c r="E12" s="115">
        <v>2.34</v>
      </c>
      <c r="F12" s="116">
        <v>24.8</v>
      </c>
      <c r="G12" s="117">
        <v>31.5</v>
      </c>
      <c r="H12" s="118">
        <v>44</v>
      </c>
      <c r="I12" s="115">
        <v>3.4</v>
      </c>
      <c r="J12" s="118">
        <v>18</v>
      </c>
      <c r="K12" s="115">
        <v>0.54</v>
      </c>
      <c r="L12" s="170">
        <v>0.43</v>
      </c>
      <c r="M12" s="170">
        <v>6.64</v>
      </c>
      <c r="N12" s="114">
        <v>25</v>
      </c>
      <c r="O12" s="171">
        <v>2.71</v>
      </c>
      <c r="P12" s="114">
        <v>5</v>
      </c>
      <c r="Q12" s="170">
        <v>0.2</v>
      </c>
      <c r="R12" s="119">
        <v>0.39</v>
      </c>
      <c r="S12" s="170">
        <v>6.04</v>
      </c>
      <c r="T12" s="121">
        <v>78.4</v>
      </c>
      <c r="U12" s="124" t="s">
        <v>129</v>
      </c>
      <c r="V12" s="193"/>
      <c r="W12" s="194">
        <f t="shared" si="0"/>
        <v>0.808253968253968</v>
      </c>
    </row>
    <row r="13" ht="12.95" customHeight="1" spans="1:23">
      <c r="A13" s="111">
        <v>7</v>
      </c>
      <c r="B13" s="112">
        <v>434</v>
      </c>
      <c r="C13" s="113">
        <v>197</v>
      </c>
      <c r="D13" s="114">
        <v>142</v>
      </c>
      <c r="E13" s="115">
        <v>2.91</v>
      </c>
      <c r="F13" s="116">
        <v>29</v>
      </c>
      <c r="G13" s="117">
        <v>36.6</v>
      </c>
      <c r="H13" s="118">
        <v>32</v>
      </c>
      <c r="I13" s="115">
        <v>2.96</v>
      </c>
      <c r="J13" s="118">
        <v>17</v>
      </c>
      <c r="K13" s="115">
        <v>0.52</v>
      </c>
      <c r="L13" s="170">
        <v>0.32</v>
      </c>
      <c r="M13" s="170">
        <v>7.66</v>
      </c>
      <c r="N13" s="114">
        <v>21</v>
      </c>
      <c r="O13" s="171">
        <v>2.22</v>
      </c>
      <c r="P13" s="114">
        <v>6</v>
      </c>
      <c r="Q13" s="170">
        <v>0.17</v>
      </c>
      <c r="R13" s="119">
        <v>0.25</v>
      </c>
      <c r="S13" s="170">
        <v>6.76</v>
      </c>
      <c r="T13" s="121">
        <v>78.6</v>
      </c>
      <c r="U13" s="124">
        <v>40</v>
      </c>
      <c r="V13" s="193"/>
      <c r="W13" s="194">
        <f t="shared" si="0"/>
        <v>0.815300546448087</v>
      </c>
    </row>
    <row r="14" ht="12.95" customHeight="1" spans="1:23">
      <c r="A14" s="111">
        <v>8</v>
      </c>
      <c r="B14" s="112">
        <v>150</v>
      </c>
      <c r="C14" s="113">
        <v>68.2</v>
      </c>
      <c r="D14" s="114">
        <v>92</v>
      </c>
      <c r="E14" s="115">
        <v>1.69</v>
      </c>
      <c r="F14" s="121">
        <v>15.3</v>
      </c>
      <c r="G14" s="117">
        <v>22.2</v>
      </c>
      <c r="H14" s="118">
        <v>32</v>
      </c>
      <c r="I14" s="115">
        <v>2.61</v>
      </c>
      <c r="J14" s="118">
        <v>16</v>
      </c>
      <c r="K14" s="115">
        <v>0.51</v>
      </c>
      <c r="L14" s="170">
        <v>0.31</v>
      </c>
      <c r="M14" s="170">
        <v>7.37</v>
      </c>
      <c r="N14" s="114">
        <v>22</v>
      </c>
      <c r="O14" s="171">
        <v>2.14</v>
      </c>
      <c r="P14" s="114">
        <v>5</v>
      </c>
      <c r="Q14" s="170">
        <v>0.17</v>
      </c>
      <c r="R14" s="119">
        <v>0.25</v>
      </c>
      <c r="S14" s="170">
        <v>5.94</v>
      </c>
      <c r="T14" s="121">
        <v>78.8</v>
      </c>
      <c r="U14" s="124" t="s">
        <v>129</v>
      </c>
      <c r="V14" s="193"/>
      <c r="W14" s="194">
        <f t="shared" si="0"/>
        <v>0.732432432432432</v>
      </c>
    </row>
    <row r="15" ht="12.95" customHeight="1" spans="1:23">
      <c r="A15" s="111">
        <v>9</v>
      </c>
      <c r="B15" s="112">
        <v>304</v>
      </c>
      <c r="C15" s="113">
        <v>138</v>
      </c>
      <c r="D15" s="114">
        <v>102</v>
      </c>
      <c r="E15" s="115">
        <v>2.6</v>
      </c>
      <c r="F15" s="117">
        <v>30.6</v>
      </c>
      <c r="G15" s="117">
        <v>36.8</v>
      </c>
      <c r="H15" s="118">
        <v>31</v>
      </c>
      <c r="I15" s="115">
        <v>2.39</v>
      </c>
      <c r="J15" s="118">
        <v>13</v>
      </c>
      <c r="K15" s="115">
        <v>0.5</v>
      </c>
      <c r="L15" s="170">
        <v>0.55</v>
      </c>
      <c r="M15" s="170">
        <v>7.46</v>
      </c>
      <c r="N15" s="114">
        <v>24</v>
      </c>
      <c r="O15" s="171">
        <v>2.26</v>
      </c>
      <c r="P15" s="114">
        <v>5</v>
      </c>
      <c r="Q15" s="170">
        <v>0.18</v>
      </c>
      <c r="R15" s="119">
        <v>0.37</v>
      </c>
      <c r="S15" s="170">
        <v>7.2</v>
      </c>
      <c r="T15" s="121">
        <v>78.7</v>
      </c>
      <c r="U15" s="124" t="s">
        <v>129</v>
      </c>
      <c r="V15" s="193"/>
      <c r="W15" s="194">
        <f t="shared" si="0"/>
        <v>0.804347826086957</v>
      </c>
    </row>
    <row r="16" ht="12.95" customHeight="1" spans="1:23">
      <c r="A16" s="111">
        <v>10</v>
      </c>
      <c r="B16" s="112">
        <v>354</v>
      </c>
      <c r="C16" s="122">
        <v>160</v>
      </c>
      <c r="D16" s="114">
        <v>108</v>
      </c>
      <c r="E16" s="115">
        <v>2.34</v>
      </c>
      <c r="F16" s="117">
        <v>26.1</v>
      </c>
      <c r="G16" s="117">
        <v>30.9</v>
      </c>
      <c r="H16" s="118">
        <v>38</v>
      </c>
      <c r="I16" s="172">
        <v>2.89</v>
      </c>
      <c r="J16" s="118">
        <v>16</v>
      </c>
      <c r="K16" s="115">
        <v>0.53</v>
      </c>
      <c r="L16" s="170">
        <v>0.49</v>
      </c>
      <c r="M16" s="170">
        <v>7.37</v>
      </c>
      <c r="N16" s="114">
        <v>23</v>
      </c>
      <c r="O16" s="171">
        <v>2.44</v>
      </c>
      <c r="P16" s="114">
        <v>6</v>
      </c>
      <c r="Q16" s="170">
        <v>0.17</v>
      </c>
      <c r="R16" s="119">
        <v>0.33</v>
      </c>
      <c r="S16" s="170">
        <v>6.58</v>
      </c>
      <c r="T16" s="121">
        <v>78.5</v>
      </c>
      <c r="U16" s="124" t="s">
        <v>129</v>
      </c>
      <c r="V16" s="193"/>
      <c r="W16" s="194">
        <f t="shared" si="0"/>
        <v>0.78705501618123</v>
      </c>
    </row>
    <row r="17" ht="12.95" customHeight="1" spans="1:23">
      <c r="A17" s="111">
        <v>11</v>
      </c>
      <c r="B17" s="112">
        <v>322</v>
      </c>
      <c r="C17" s="113">
        <v>146</v>
      </c>
      <c r="D17" s="114">
        <v>112</v>
      </c>
      <c r="E17" s="115">
        <v>2.91</v>
      </c>
      <c r="F17" s="116">
        <v>28.1</v>
      </c>
      <c r="G17" s="117">
        <v>34.7</v>
      </c>
      <c r="H17" s="118">
        <v>31</v>
      </c>
      <c r="I17" s="115">
        <v>2.78</v>
      </c>
      <c r="J17" s="118">
        <v>14</v>
      </c>
      <c r="K17" s="115">
        <v>0.55</v>
      </c>
      <c r="L17" s="170">
        <v>0.45</v>
      </c>
      <c r="M17" s="170">
        <v>6.76</v>
      </c>
      <c r="N17" s="114">
        <v>28</v>
      </c>
      <c r="O17" s="171">
        <v>2.51</v>
      </c>
      <c r="P17" s="114">
        <v>5</v>
      </c>
      <c r="Q17" s="170">
        <v>0.19</v>
      </c>
      <c r="R17" s="119">
        <v>0.42</v>
      </c>
      <c r="S17" s="170">
        <v>5.68</v>
      </c>
      <c r="T17" s="121">
        <v>78.3</v>
      </c>
      <c r="U17" s="124">
        <v>120</v>
      </c>
      <c r="V17" s="193"/>
      <c r="W17" s="194">
        <f t="shared" si="0"/>
        <v>0.836311239193084</v>
      </c>
    </row>
    <row r="18" ht="12.95" customHeight="1" spans="1:23">
      <c r="A18" s="111">
        <v>12</v>
      </c>
      <c r="B18" s="114">
        <v>164</v>
      </c>
      <c r="C18" s="113">
        <v>74.2</v>
      </c>
      <c r="D18" s="123">
        <v>120</v>
      </c>
      <c r="E18" s="115">
        <v>2.39</v>
      </c>
      <c r="F18" s="117">
        <v>24.2</v>
      </c>
      <c r="G18" s="117">
        <v>30.7</v>
      </c>
      <c r="H18" s="118">
        <v>26</v>
      </c>
      <c r="I18" s="115">
        <v>2.47</v>
      </c>
      <c r="J18" s="60">
        <v>13</v>
      </c>
      <c r="K18" s="115">
        <v>0.5</v>
      </c>
      <c r="L18" s="170">
        <v>0.54</v>
      </c>
      <c r="M18" s="170">
        <v>7</v>
      </c>
      <c r="N18" s="114">
        <v>24</v>
      </c>
      <c r="O18" s="171">
        <v>2.21</v>
      </c>
      <c r="P18" s="114">
        <v>5</v>
      </c>
      <c r="Q18" s="170">
        <v>0.18</v>
      </c>
      <c r="R18" s="119">
        <v>0.18</v>
      </c>
      <c r="S18" s="173">
        <v>6.26</v>
      </c>
      <c r="T18" s="121">
        <v>78.4</v>
      </c>
      <c r="U18" s="124" t="s">
        <v>129</v>
      </c>
      <c r="V18" s="193"/>
      <c r="W18" s="194">
        <f t="shared" si="0"/>
        <v>0.796091205211726</v>
      </c>
    </row>
    <row r="19" ht="12.95" customHeight="1" spans="1:23">
      <c r="A19" s="111">
        <v>13</v>
      </c>
      <c r="B19" s="112">
        <v>278</v>
      </c>
      <c r="C19" s="113">
        <v>126</v>
      </c>
      <c r="D19" s="123">
        <v>106</v>
      </c>
      <c r="E19" s="115">
        <v>2.19</v>
      </c>
      <c r="F19" s="117">
        <v>26.3</v>
      </c>
      <c r="G19" s="117">
        <v>32.9</v>
      </c>
      <c r="H19" s="118">
        <v>30</v>
      </c>
      <c r="I19" s="115">
        <v>3.02</v>
      </c>
      <c r="J19" s="60">
        <v>15</v>
      </c>
      <c r="K19" s="115">
        <v>0.53</v>
      </c>
      <c r="L19" s="170">
        <v>0.48</v>
      </c>
      <c r="M19" s="170">
        <v>7.88</v>
      </c>
      <c r="N19" s="114">
        <v>24</v>
      </c>
      <c r="O19" s="171">
        <v>2.61</v>
      </c>
      <c r="P19" s="114">
        <v>5</v>
      </c>
      <c r="Q19" s="170">
        <v>0.17</v>
      </c>
      <c r="R19" s="119">
        <v>0.38</v>
      </c>
      <c r="S19" s="170">
        <v>6.98</v>
      </c>
      <c r="T19" s="121">
        <v>78.2</v>
      </c>
      <c r="U19" s="124" t="s">
        <v>129</v>
      </c>
      <c r="V19" s="193"/>
      <c r="W19" s="194">
        <f t="shared" si="0"/>
        <v>0.787841945288754</v>
      </c>
    </row>
    <row r="20" ht="12.95" customHeight="1" spans="1:23">
      <c r="A20" s="111">
        <v>14</v>
      </c>
      <c r="B20" s="112">
        <v>518</v>
      </c>
      <c r="C20" s="122">
        <v>234</v>
      </c>
      <c r="D20" s="114">
        <v>102</v>
      </c>
      <c r="E20" s="115">
        <v>2.17</v>
      </c>
      <c r="F20" s="121">
        <v>24.4</v>
      </c>
      <c r="G20" s="117">
        <v>30.8</v>
      </c>
      <c r="H20" s="118">
        <v>31</v>
      </c>
      <c r="I20" s="172">
        <v>3.02</v>
      </c>
      <c r="J20" s="118">
        <v>12</v>
      </c>
      <c r="K20" s="115">
        <v>0.5</v>
      </c>
      <c r="L20" s="170">
        <v>0.52</v>
      </c>
      <c r="M20" s="170">
        <v>7.2</v>
      </c>
      <c r="N20" s="114">
        <v>28</v>
      </c>
      <c r="O20" s="171">
        <v>2.52</v>
      </c>
      <c r="P20" s="114">
        <v>5</v>
      </c>
      <c r="Q20" s="170">
        <v>0.19</v>
      </c>
      <c r="R20" s="119">
        <v>0.42</v>
      </c>
      <c r="S20" s="170">
        <v>6.02</v>
      </c>
      <c r="T20" s="121">
        <v>78.5</v>
      </c>
      <c r="U20" s="124" t="s">
        <v>129</v>
      </c>
      <c r="V20" s="193"/>
      <c r="W20" s="194">
        <f t="shared" si="0"/>
        <v>0.804545454545455</v>
      </c>
    </row>
    <row r="21" ht="12.95" customHeight="1" spans="1:23">
      <c r="A21" s="111">
        <v>15</v>
      </c>
      <c r="B21" s="112">
        <v>390</v>
      </c>
      <c r="C21" s="113">
        <v>177</v>
      </c>
      <c r="D21" s="114">
        <v>160</v>
      </c>
      <c r="E21" s="115">
        <v>3.18</v>
      </c>
      <c r="F21" s="116">
        <v>27.2</v>
      </c>
      <c r="G21" s="117">
        <v>34</v>
      </c>
      <c r="H21" s="118">
        <v>46</v>
      </c>
      <c r="I21" s="115">
        <v>3.41</v>
      </c>
      <c r="J21" s="118">
        <v>17</v>
      </c>
      <c r="K21" s="115">
        <v>0.56</v>
      </c>
      <c r="L21" s="170">
        <v>0.51</v>
      </c>
      <c r="M21" s="170">
        <v>7.66</v>
      </c>
      <c r="N21" s="114">
        <v>28</v>
      </c>
      <c r="O21" s="171">
        <v>2.65</v>
      </c>
      <c r="P21" s="114">
        <v>6</v>
      </c>
      <c r="Q21" s="170">
        <v>0.19</v>
      </c>
      <c r="R21" s="119">
        <v>0.41</v>
      </c>
      <c r="S21" s="170">
        <v>7.22</v>
      </c>
      <c r="T21" s="121">
        <v>78.6</v>
      </c>
      <c r="U21" s="124">
        <v>70</v>
      </c>
      <c r="V21" s="193"/>
      <c r="W21" s="194">
        <f t="shared" si="0"/>
        <v>0.787647058823529</v>
      </c>
    </row>
    <row r="22" ht="12" customHeight="1" spans="1:23">
      <c r="A22" s="111">
        <v>16</v>
      </c>
      <c r="B22" s="112">
        <v>252</v>
      </c>
      <c r="C22" s="113">
        <v>116</v>
      </c>
      <c r="D22" s="114">
        <v>100</v>
      </c>
      <c r="E22" s="115">
        <v>2.54</v>
      </c>
      <c r="F22" s="116">
        <v>31.8</v>
      </c>
      <c r="G22" s="117">
        <v>37.6</v>
      </c>
      <c r="H22" s="118">
        <v>40</v>
      </c>
      <c r="I22" s="115">
        <v>3.62</v>
      </c>
      <c r="J22" s="118">
        <v>15</v>
      </c>
      <c r="K22" s="115">
        <v>0.54</v>
      </c>
      <c r="L22" s="170">
        <v>0.59</v>
      </c>
      <c r="M22" s="170">
        <v>7.28</v>
      </c>
      <c r="N22" s="114">
        <v>29</v>
      </c>
      <c r="O22" s="171">
        <v>2.72</v>
      </c>
      <c r="P22" s="114">
        <v>6</v>
      </c>
      <c r="Q22" s="170">
        <v>0.24</v>
      </c>
      <c r="R22" s="119">
        <v>0.56</v>
      </c>
      <c r="S22" s="170">
        <v>5.69</v>
      </c>
      <c r="T22" s="121">
        <v>78.3</v>
      </c>
      <c r="U22" s="124" t="s">
        <v>129</v>
      </c>
      <c r="V22" s="193"/>
      <c r="W22" s="194">
        <f t="shared" si="0"/>
        <v>0.848670212765957</v>
      </c>
    </row>
    <row r="23" ht="12.95" customHeight="1" spans="1:23">
      <c r="A23" s="111">
        <v>17</v>
      </c>
      <c r="B23" s="112">
        <v>392</v>
      </c>
      <c r="C23" s="113">
        <v>178</v>
      </c>
      <c r="D23" s="114">
        <v>118</v>
      </c>
      <c r="E23" s="115">
        <v>3.01</v>
      </c>
      <c r="F23" s="116">
        <v>30.1</v>
      </c>
      <c r="G23" s="117">
        <v>39.1</v>
      </c>
      <c r="H23" s="118">
        <v>39</v>
      </c>
      <c r="I23" s="115">
        <v>3.14</v>
      </c>
      <c r="J23" s="118">
        <v>16</v>
      </c>
      <c r="K23" s="115">
        <v>0.52</v>
      </c>
      <c r="L23" s="170">
        <v>0.67</v>
      </c>
      <c r="M23" s="170">
        <v>8.74</v>
      </c>
      <c r="N23" s="114">
        <v>36</v>
      </c>
      <c r="O23" s="171">
        <v>3.05</v>
      </c>
      <c r="P23" s="114">
        <v>5</v>
      </c>
      <c r="Q23" s="170">
        <v>0.23</v>
      </c>
      <c r="R23" s="119">
        <v>0.62</v>
      </c>
      <c r="S23" s="170">
        <v>7.3</v>
      </c>
      <c r="T23" s="121">
        <v>78.7</v>
      </c>
      <c r="U23" s="124" t="s">
        <v>129</v>
      </c>
      <c r="V23" s="193"/>
      <c r="W23" s="194">
        <f t="shared" si="0"/>
        <v>0.813299232736573</v>
      </c>
    </row>
    <row r="24" ht="12.95" customHeight="1" spans="1:23">
      <c r="A24" s="111">
        <v>18</v>
      </c>
      <c r="B24" s="124">
        <v>418</v>
      </c>
      <c r="C24" s="113">
        <v>190</v>
      </c>
      <c r="D24" s="114">
        <v>172</v>
      </c>
      <c r="E24" s="115">
        <v>4.3</v>
      </c>
      <c r="F24" s="116">
        <v>39</v>
      </c>
      <c r="G24" s="117">
        <v>45.6</v>
      </c>
      <c r="H24" s="118">
        <v>39</v>
      </c>
      <c r="I24" s="115">
        <v>2.96</v>
      </c>
      <c r="J24" s="118">
        <v>17</v>
      </c>
      <c r="K24" s="115">
        <v>0.56</v>
      </c>
      <c r="L24" s="170">
        <v>0.6</v>
      </c>
      <c r="M24" s="170">
        <v>8.64</v>
      </c>
      <c r="N24" s="114">
        <v>27</v>
      </c>
      <c r="O24" s="171">
        <v>2.25</v>
      </c>
      <c r="P24" s="114">
        <v>5</v>
      </c>
      <c r="Q24" s="170">
        <v>0.16</v>
      </c>
      <c r="R24" s="119">
        <v>0.52</v>
      </c>
      <c r="S24" s="170">
        <v>6.71</v>
      </c>
      <c r="T24" s="121">
        <v>78.9</v>
      </c>
      <c r="U24" s="124" t="s">
        <v>129</v>
      </c>
      <c r="V24" s="193"/>
      <c r="W24" s="194">
        <f t="shared" si="0"/>
        <v>0.852850877192982</v>
      </c>
    </row>
    <row r="25" ht="12.95" customHeight="1" spans="1:23">
      <c r="A25" s="111">
        <v>19</v>
      </c>
      <c r="B25" s="124">
        <v>378</v>
      </c>
      <c r="C25" s="122">
        <v>175</v>
      </c>
      <c r="D25" s="114">
        <v>144</v>
      </c>
      <c r="E25" s="115">
        <v>2.63</v>
      </c>
      <c r="F25" s="117">
        <v>28.6</v>
      </c>
      <c r="G25" s="117">
        <v>34.3</v>
      </c>
      <c r="H25" s="118">
        <v>36</v>
      </c>
      <c r="I25" s="172">
        <v>2.41</v>
      </c>
      <c r="J25" s="118">
        <v>17</v>
      </c>
      <c r="K25" s="115">
        <v>0.55</v>
      </c>
      <c r="L25" s="170">
        <v>0.57</v>
      </c>
      <c r="M25" s="170">
        <v>9.12</v>
      </c>
      <c r="N25" s="114">
        <v>26</v>
      </c>
      <c r="O25" s="171">
        <v>2.25</v>
      </c>
      <c r="P25" s="114">
        <v>6</v>
      </c>
      <c r="Q25" s="170">
        <v>0.17</v>
      </c>
      <c r="R25" s="119">
        <v>0.5</v>
      </c>
      <c r="S25" s="170">
        <v>7.74</v>
      </c>
      <c r="T25" s="121">
        <v>78.6</v>
      </c>
      <c r="U25" s="124">
        <v>40</v>
      </c>
      <c r="V25" s="193"/>
      <c r="W25" s="194">
        <f t="shared" si="0"/>
        <v>0.774344023323615</v>
      </c>
    </row>
    <row r="26" ht="12.95" customHeight="1" spans="1:23">
      <c r="A26" s="111">
        <v>20</v>
      </c>
      <c r="B26" s="124">
        <v>220</v>
      </c>
      <c r="C26" s="113">
        <v>104</v>
      </c>
      <c r="D26" s="114">
        <v>116</v>
      </c>
      <c r="E26" s="115">
        <v>1.61</v>
      </c>
      <c r="F26" s="117">
        <v>19.5</v>
      </c>
      <c r="G26" s="117">
        <v>25.6</v>
      </c>
      <c r="H26" s="118">
        <v>36</v>
      </c>
      <c r="I26" s="115">
        <v>2.74</v>
      </c>
      <c r="J26" s="118">
        <v>16</v>
      </c>
      <c r="K26" s="115">
        <v>0.52</v>
      </c>
      <c r="L26" s="170">
        <v>0.47</v>
      </c>
      <c r="M26" s="170">
        <v>7.28</v>
      </c>
      <c r="N26" s="114">
        <v>23</v>
      </c>
      <c r="O26" s="171">
        <v>2.44</v>
      </c>
      <c r="P26" s="114">
        <v>6</v>
      </c>
      <c r="Q26" s="170">
        <v>0.21</v>
      </c>
      <c r="R26" s="119">
        <v>0.46</v>
      </c>
      <c r="S26" s="170">
        <v>6.66</v>
      </c>
      <c r="T26" s="121">
        <v>78.5</v>
      </c>
      <c r="U26" s="124" t="s">
        <v>129</v>
      </c>
      <c r="V26" s="193"/>
      <c r="W26" s="194">
        <f t="shared" si="0"/>
        <v>0.73984375</v>
      </c>
    </row>
    <row r="27" ht="12.95" customHeight="1" spans="1:23">
      <c r="A27" s="111">
        <v>21</v>
      </c>
      <c r="B27" s="124">
        <v>310</v>
      </c>
      <c r="C27" s="113">
        <v>144</v>
      </c>
      <c r="D27" s="114">
        <v>128</v>
      </c>
      <c r="E27" s="115">
        <v>2.08</v>
      </c>
      <c r="F27" s="121">
        <v>24.3</v>
      </c>
      <c r="G27" s="117">
        <v>31.1</v>
      </c>
      <c r="H27" s="118">
        <v>35</v>
      </c>
      <c r="I27" s="115">
        <v>2.99</v>
      </c>
      <c r="J27" s="118">
        <v>17</v>
      </c>
      <c r="K27" s="115">
        <v>0.51</v>
      </c>
      <c r="L27" s="170">
        <v>0.54</v>
      </c>
      <c r="M27" s="170">
        <v>6.91</v>
      </c>
      <c r="N27" s="114">
        <v>26</v>
      </c>
      <c r="O27" s="171">
        <v>2.65</v>
      </c>
      <c r="P27" s="114">
        <v>5</v>
      </c>
      <c r="Q27" s="170">
        <v>0.18</v>
      </c>
      <c r="R27" s="119">
        <v>0.2</v>
      </c>
      <c r="S27" s="170">
        <v>6.16</v>
      </c>
      <c r="T27" s="121">
        <v>78.4</v>
      </c>
      <c r="U27" s="124" t="s">
        <v>129</v>
      </c>
      <c r="V27" s="193"/>
      <c r="W27" s="194">
        <f t="shared" si="0"/>
        <v>0.801929260450161</v>
      </c>
    </row>
    <row r="28" ht="12.95" customHeight="1" spans="1:23">
      <c r="A28" s="111">
        <v>22</v>
      </c>
      <c r="B28" s="124">
        <v>328</v>
      </c>
      <c r="C28" s="113">
        <v>151</v>
      </c>
      <c r="D28" s="114">
        <v>144</v>
      </c>
      <c r="E28" s="115">
        <v>3.29</v>
      </c>
      <c r="F28" s="121">
        <v>28</v>
      </c>
      <c r="G28" s="117">
        <v>35.8</v>
      </c>
      <c r="H28" s="118">
        <v>42</v>
      </c>
      <c r="I28" s="115">
        <v>3.38</v>
      </c>
      <c r="J28" s="118">
        <v>16</v>
      </c>
      <c r="K28" s="115">
        <v>0.56</v>
      </c>
      <c r="L28" s="170">
        <v>0.5</v>
      </c>
      <c r="M28" s="170">
        <v>8.27</v>
      </c>
      <c r="N28" s="114">
        <v>26</v>
      </c>
      <c r="O28" s="171">
        <v>2.51</v>
      </c>
      <c r="P28" s="114">
        <v>5</v>
      </c>
      <c r="Q28" s="170">
        <v>0.15</v>
      </c>
      <c r="R28" s="119">
        <v>0.39</v>
      </c>
      <c r="S28" s="170">
        <v>7.38</v>
      </c>
      <c r="T28" s="121">
        <v>78.6</v>
      </c>
      <c r="U28" s="124">
        <v>20</v>
      </c>
      <c r="V28" s="193"/>
      <c r="W28" s="194">
        <f t="shared" si="0"/>
        <v>0.793854748603352</v>
      </c>
    </row>
    <row r="29" ht="12.95" customHeight="1" spans="1:23">
      <c r="A29" s="111">
        <v>23</v>
      </c>
      <c r="B29" s="124">
        <v>388</v>
      </c>
      <c r="C29" s="122">
        <v>177</v>
      </c>
      <c r="D29" s="114">
        <v>104</v>
      </c>
      <c r="E29" s="115">
        <v>3.22</v>
      </c>
      <c r="F29" s="121">
        <v>23.8</v>
      </c>
      <c r="G29" s="117">
        <v>30.5</v>
      </c>
      <c r="H29" s="118">
        <v>40</v>
      </c>
      <c r="I29" s="172">
        <v>3.13</v>
      </c>
      <c r="J29" s="118">
        <v>14</v>
      </c>
      <c r="K29" s="115">
        <v>0.53</v>
      </c>
      <c r="L29" s="170">
        <v>0.52</v>
      </c>
      <c r="M29" s="170">
        <v>9.49</v>
      </c>
      <c r="N29" s="114">
        <v>27</v>
      </c>
      <c r="O29" s="171">
        <v>2.25</v>
      </c>
      <c r="P29" s="114">
        <v>5</v>
      </c>
      <c r="Q29" s="170">
        <v>0.14</v>
      </c>
      <c r="R29" s="119">
        <v>0.46</v>
      </c>
      <c r="S29" s="170">
        <v>6.84</v>
      </c>
      <c r="T29" s="121">
        <v>78.3</v>
      </c>
      <c r="U29" s="124" t="s">
        <v>129</v>
      </c>
      <c r="V29" s="193"/>
      <c r="W29" s="194">
        <f t="shared" si="0"/>
        <v>0.775737704918033</v>
      </c>
    </row>
    <row r="30" ht="12.95" customHeight="1" spans="1:23">
      <c r="A30" s="111">
        <v>24</v>
      </c>
      <c r="B30" s="124">
        <v>252</v>
      </c>
      <c r="C30" s="113">
        <v>116</v>
      </c>
      <c r="D30" s="114">
        <v>72</v>
      </c>
      <c r="E30" s="115">
        <v>2.11</v>
      </c>
      <c r="F30" s="125">
        <v>28.4</v>
      </c>
      <c r="G30" s="126">
        <v>35.4</v>
      </c>
      <c r="H30" s="118">
        <v>42</v>
      </c>
      <c r="I30" s="115">
        <v>3.33</v>
      </c>
      <c r="J30" s="118">
        <v>16</v>
      </c>
      <c r="K30" s="115">
        <v>0.51</v>
      </c>
      <c r="L30" s="170">
        <v>0.56</v>
      </c>
      <c r="M30" s="170">
        <v>9.49</v>
      </c>
      <c r="N30" s="114">
        <v>26</v>
      </c>
      <c r="O30" s="171">
        <v>2.71</v>
      </c>
      <c r="P30" s="114">
        <v>5</v>
      </c>
      <c r="Q30" s="170">
        <v>0.14</v>
      </c>
      <c r="R30" s="170">
        <v>0.46</v>
      </c>
      <c r="S30" s="170">
        <v>6.84</v>
      </c>
      <c r="T30" s="121">
        <v>78.6</v>
      </c>
      <c r="U30" s="124" t="s">
        <v>129</v>
      </c>
      <c r="V30" s="193"/>
      <c r="W30" s="194">
        <f t="shared" si="0"/>
        <v>0.806779661016949</v>
      </c>
    </row>
    <row r="31" ht="12.95" customHeight="1" spans="1:23">
      <c r="A31" s="111">
        <v>25</v>
      </c>
      <c r="B31" s="124">
        <v>295</v>
      </c>
      <c r="C31" s="113">
        <v>138</v>
      </c>
      <c r="D31" s="114">
        <v>128</v>
      </c>
      <c r="E31" s="115">
        <v>2.37</v>
      </c>
      <c r="F31" s="117">
        <v>28.7</v>
      </c>
      <c r="G31" s="126">
        <v>35.8</v>
      </c>
      <c r="H31" s="118">
        <v>32</v>
      </c>
      <c r="I31" s="115">
        <v>2.71</v>
      </c>
      <c r="J31" s="118">
        <v>14</v>
      </c>
      <c r="K31" s="115">
        <v>0.54</v>
      </c>
      <c r="L31" s="170">
        <v>0.51</v>
      </c>
      <c r="M31" s="173">
        <v>9.01</v>
      </c>
      <c r="N31" s="114">
        <v>25</v>
      </c>
      <c r="O31" s="171">
        <v>2.55</v>
      </c>
      <c r="P31" s="114">
        <v>5</v>
      </c>
      <c r="Q31" s="170">
        <v>0.14</v>
      </c>
      <c r="R31" s="170">
        <v>0.47</v>
      </c>
      <c r="S31" s="173">
        <v>7.3</v>
      </c>
      <c r="T31" s="121">
        <v>78.4</v>
      </c>
      <c r="U31" s="124" t="s">
        <v>129</v>
      </c>
      <c r="V31" s="193"/>
      <c r="W31" s="194">
        <f t="shared" si="0"/>
        <v>0.79608938547486</v>
      </c>
    </row>
    <row r="32" ht="12.95" customHeight="1" spans="1:23">
      <c r="A32" s="111">
        <v>26</v>
      </c>
      <c r="B32" s="124">
        <v>400</v>
      </c>
      <c r="C32" s="113">
        <v>188</v>
      </c>
      <c r="D32" s="114">
        <v>158</v>
      </c>
      <c r="E32" s="115">
        <v>2.7</v>
      </c>
      <c r="F32" s="116">
        <v>25.3</v>
      </c>
      <c r="G32" s="117">
        <v>33</v>
      </c>
      <c r="H32" s="118">
        <v>39</v>
      </c>
      <c r="I32" s="115">
        <v>3.02</v>
      </c>
      <c r="J32" s="118">
        <v>15</v>
      </c>
      <c r="K32" s="115">
        <v>0.52</v>
      </c>
      <c r="L32" s="170">
        <v>0.53</v>
      </c>
      <c r="M32" s="170">
        <v>8.81</v>
      </c>
      <c r="N32" s="114">
        <v>24</v>
      </c>
      <c r="O32" s="171">
        <v>2.61</v>
      </c>
      <c r="P32" s="114">
        <v>6</v>
      </c>
      <c r="Q32" s="170">
        <v>0.16</v>
      </c>
      <c r="R32" s="170">
        <v>0.35</v>
      </c>
      <c r="S32" s="170">
        <v>8.74</v>
      </c>
      <c r="T32" s="121">
        <v>78.7</v>
      </c>
      <c r="U32" s="124" t="s">
        <v>129</v>
      </c>
      <c r="V32" s="193"/>
      <c r="W32" s="194">
        <f t="shared" si="0"/>
        <v>0.735151515151515</v>
      </c>
    </row>
    <row r="33" ht="12.95" customHeight="1" spans="1:23">
      <c r="A33" s="111">
        <v>27</v>
      </c>
      <c r="B33" s="124">
        <v>436</v>
      </c>
      <c r="C33" s="113">
        <v>200</v>
      </c>
      <c r="D33" s="114">
        <v>106</v>
      </c>
      <c r="E33" s="115">
        <v>3.26</v>
      </c>
      <c r="F33" s="121">
        <v>28</v>
      </c>
      <c r="G33" s="117">
        <v>36.2</v>
      </c>
      <c r="H33" s="118">
        <v>46</v>
      </c>
      <c r="I33" s="115">
        <v>3.36</v>
      </c>
      <c r="J33" s="118">
        <v>15</v>
      </c>
      <c r="K33" s="115">
        <v>0.55</v>
      </c>
      <c r="L33" s="170">
        <v>0.53</v>
      </c>
      <c r="M33" s="170">
        <v>9.3</v>
      </c>
      <c r="N33" s="114">
        <v>26</v>
      </c>
      <c r="O33" s="171">
        <v>2.25</v>
      </c>
      <c r="P33" s="114">
        <v>5</v>
      </c>
      <c r="Q33" s="170">
        <v>0.17</v>
      </c>
      <c r="R33" s="170">
        <v>0.42</v>
      </c>
      <c r="S33" s="170">
        <v>8.74</v>
      </c>
      <c r="T33" s="121">
        <v>78.5</v>
      </c>
      <c r="U33" s="124">
        <v>100</v>
      </c>
      <c r="V33" s="193"/>
      <c r="W33" s="194">
        <f t="shared" si="0"/>
        <v>0.758563535911602</v>
      </c>
    </row>
    <row r="34" ht="12.95" customHeight="1" spans="1:23">
      <c r="A34" s="111">
        <v>28</v>
      </c>
      <c r="B34" s="124">
        <v>266</v>
      </c>
      <c r="C34" s="113">
        <v>122</v>
      </c>
      <c r="D34" s="114">
        <v>100</v>
      </c>
      <c r="E34" s="115">
        <v>2.1</v>
      </c>
      <c r="F34" s="116">
        <v>24</v>
      </c>
      <c r="G34" s="117">
        <v>28.9</v>
      </c>
      <c r="H34" s="118">
        <v>33</v>
      </c>
      <c r="I34" s="115">
        <v>2.91</v>
      </c>
      <c r="J34" s="118">
        <v>14</v>
      </c>
      <c r="K34" s="115">
        <v>0.51</v>
      </c>
      <c r="L34" s="170">
        <v>0.56</v>
      </c>
      <c r="M34" s="116">
        <v>10.1</v>
      </c>
      <c r="N34" s="114">
        <v>29</v>
      </c>
      <c r="O34" s="171">
        <v>2.77</v>
      </c>
      <c r="P34" s="114">
        <v>5</v>
      </c>
      <c r="Q34" s="170">
        <v>0.16</v>
      </c>
      <c r="R34" s="170">
        <v>0.55</v>
      </c>
      <c r="S34" s="170">
        <v>9.76</v>
      </c>
      <c r="T34" s="121">
        <v>78.7</v>
      </c>
      <c r="U34" s="124" t="s">
        <v>129</v>
      </c>
      <c r="V34" s="193"/>
      <c r="W34" s="194">
        <f t="shared" si="0"/>
        <v>0.662283737024221</v>
      </c>
    </row>
    <row r="35" ht="12.95" customHeight="1" spans="1:23">
      <c r="A35" s="111">
        <v>29</v>
      </c>
      <c r="B35" s="124">
        <v>432</v>
      </c>
      <c r="C35" s="113">
        <v>196</v>
      </c>
      <c r="D35" s="114">
        <v>102</v>
      </c>
      <c r="E35" s="115">
        <v>2.01</v>
      </c>
      <c r="F35" s="116">
        <v>24.1</v>
      </c>
      <c r="G35" s="117">
        <v>33.9</v>
      </c>
      <c r="H35" s="118">
        <v>41</v>
      </c>
      <c r="I35" s="115">
        <v>3.03</v>
      </c>
      <c r="J35" s="118">
        <v>14</v>
      </c>
      <c r="K35" s="115">
        <v>0.55</v>
      </c>
      <c r="L35" s="170">
        <v>0.58</v>
      </c>
      <c r="M35" s="170">
        <v>8.91</v>
      </c>
      <c r="N35" s="114">
        <v>30</v>
      </c>
      <c r="O35" s="171">
        <v>2.66</v>
      </c>
      <c r="P35" s="114">
        <v>5</v>
      </c>
      <c r="Q35" s="170">
        <v>0.17</v>
      </c>
      <c r="R35" s="170">
        <v>0.53</v>
      </c>
      <c r="S35" s="170">
        <v>8.01</v>
      </c>
      <c r="T35" s="121">
        <v>78.8</v>
      </c>
      <c r="U35" s="124" t="s">
        <v>129</v>
      </c>
      <c r="V35" s="193"/>
      <c r="W35" s="194">
        <f t="shared" si="0"/>
        <v>0.763716814159292</v>
      </c>
    </row>
    <row r="36" ht="12.95" customHeight="1" spans="1:23">
      <c r="A36" s="111">
        <v>30</v>
      </c>
      <c r="B36" s="124">
        <v>408</v>
      </c>
      <c r="C36" s="113">
        <v>186</v>
      </c>
      <c r="D36" s="114">
        <v>144</v>
      </c>
      <c r="E36" s="115">
        <v>2.51</v>
      </c>
      <c r="F36" s="121">
        <v>21.5</v>
      </c>
      <c r="G36" s="117">
        <v>28.8</v>
      </c>
      <c r="H36" s="118">
        <v>45</v>
      </c>
      <c r="I36" s="115">
        <v>3.25</v>
      </c>
      <c r="J36" s="118">
        <v>16</v>
      </c>
      <c r="K36" s="115">
        <v>0.53</v>
      </c>
      <c r="L36" s="170">
        <v>0.49</v>
      </c>
      <c r="M36" s="170">
        <v>8.08</v>
      </c>
      <c r="N36" s="114">
        <v>29</v>
      </c>
      <c r="O36" s="171">
        <v>2.71</v>
      </c>
      <c r="P36" s="114">
        <v>5</v>
      </c>
      <c r="Q36" s="170">
        <v>0.25</v>
      </c>
      <c r="R36" s="170">
        <v>0.43</v>
      </c>
      <c r="S36" s="170">
        <v>7.52</v>
      </c>
      <c r="T36" s="121">
        <v>78.7</v>
      </c>
      <c r="U36" s="124" t="s">
        <v>129</v>
      </c>
      <c r="V36" s="193"/>
      <c r="W36" s="194">
        <f t="shared" si="0"/>
        <v>0.738888888888889</v>
      </c>
    </row>
    <row r="37" ht="12.95" customHeight="1" spans="1:21">
      <c r="A37" s="111" t="s">
        <v>69</v>
      </c>
      <c r="B37" s="114">
        <f>ROUND(AVERAGE(B7:B36),0)</f>
        <v>341</v>
      </c>
      <c r="C37" s="114">
        <f>ROUND(AVERAGE(C7:C36),0)</f>
        <v>156</v>
      </c>
      <c r="D37" s="114">
        <f>ROUND(AVERAGE(D7:D36),0)</f>
        <v>122</v>
      </c>
      <c r="E37" s="115">
        <f>ROUND(AVERAGE(E7:E36),2)</f>
        <v>2.62</v>
      </c>
      <c r="F37" s="121">
        <f>ROUND(AVERAGE(F7:F36),1)</f>
        <v>26.1</v>
      </c>
      <c r="G37" s="121">
        <f>ROUND(AVERAGE(G7:G36),1)</f>
        <v>32.9</v>
      </c>
      <c r="H37" s="127">
        <f>ROUND(AVERAGE(H7:H36),1)</f>
        <v>38</v>
      </c>
      <c r="I37" s="174">
        <f>ROUND(AVERAGE(I7:I36),2)</f>
        <v>3.03</v>
      </c>
      <c r="J37" s="175">
        <f>ROUND(AVERAGE(J7:J36),2)</f>
        <v>15.6</v>
      </c>
      <c r="K37" s="174">
        <f>ROUND(AVERAGE(K7:K36),2)</f>
        <v>0.53</v>
      </c>
      <c r="L37" s="174">
        <f>ROUND(AVERAGE(L7:L36),2)</f>
        <v>0.52</v>
      </c>
      <c r="M37" s="119">
        <f>ROUND(AVERAGE(M7:M36),1)</f>
        <v>8</v>
      </c>
      <c r="N37" s="114">
        <f>ROUND(AVERAGE(N7:N36),1)</f>
        <v>26.6</v>
      </c>
      <c r="O37" s="115">
        <f>ROUND(AVERAGE(O7:O36),1)</f>
        <v>2.5</v>
      </c>
      <c r="P37" s="114">
        <f>ROUND(AVERAGE(P7:P36),2)</f>
        <v>5.37</v>
      </c>
      <c r="Q37" s="170">
        <f>ROUND(AVERAGE(Q7:Q36),2)</f>
        <v>0.18</v>
      </c>
      <c r="R37" s="115">
        <f>ROUND(AVERAGE(R7:R36),2)</f>
        <v>0.43</v>
      </c>
      <c r="S37" s="119">
        <f>ROUND(AVERAGE(S7:S36),2)</f>
        <v>6.95</v>
      </c>
      <c r="T37" s="117">
        <f>ROUND(AVERAGE(T7:T36),2)</f>
        <v>78.54</v>
      </c>
      <c r="U37" s="124" t="s">
        <v>129</v>
      </c>
    </row>
    <row r="38" ht="21" customHeight="1" spans="1:21">
      <c r="A38" s="128" t="s">
        <v>71</v>
      </c>
      <c r="B38" s="129"/>
      <c r="C38" s="129"/>
      <c r="D38" s="130"/>
      <c r="E38" s="131"/>
      <c r="F38" s="132"/>
      <c r="H38"/>
      <c r="I38"/>
      <c r="J38" s="128" t="s">
        <v>72</v>
      </c>
      <c r="K38" s="176"/>
      <c r="L38" s="176"/>
      <c r="M38" s="176"/>
      <c r="N38" s="128"/>
      <c r="O38" s="177"/>
      <c r="P38" s="177"/>
      <c r="Q38" s="195" t="s">
        <v>148</v>
      </c>
      <c r="R38" s="195"/>
      <c r="S38" s="195"/>
      <c r="T38" s="195"/>
      <c r="U38" s="196"/>
    </row>
    <row r="39" ht="21" customHeight="1" spans="1:21">
      <c r="A39" s="133"/>
      <c r="B39" s="134"/>
      <c r="C39" s="135"/>
      <c r="D39" s="136"/>
      <c r="E39" s="137"/>
      <c r="F39" s="138"/>
      <c r="H39"/>
      <c r="I39"/>
      <c r="J39" s="177"/>
      <c r="K39" s="177"/>
      <c r="L39" s="177"/>
      <c r="M39" s="177"/>
      <c r="N39" s="133"/>
      <c r="O39" s="177"/>
      <c r="P39" s="177"/>
      <c r="Q39" s="197"/>
      <c r="R39" s="197"/>
      <c r="S39" s="197"/>
      <c r="T39" s="197"/>
      <c r="U39" s="196"/>
    </row>
    <row r="40" ht="15.75" spans="2:19">
      <c r="B40" s="139" t="s">
        <v>110</v>
      </c>
      <c r="C40" s="139" t="s">
        <v>149</v>
      </c>
      <c r="D40" s="140" t="s">
        <v>150</v>
      </c>
      <c r="E40" s="139" t="s">
        <v>151</v>
      </c>
      <c r="F40" s="139" t="s">
        <v>152</v>
      </c>
      <c r="G40" s="140" t="s">
        <v>150</v>
      </c>
      <c r="H40" s="139" t="s">
        <v>151</v>
      </c>
      <c r="I40" s="140" t="s">
        <v>153</v>
      </c>
      <c r="J40" s="177"/>
      <c r="K40" s="177"/>
      <c r="L40" s="177"/>
      <c r="S40" s="198"/>
    </row>
    <row r="41" ht="30" spans="2:20">
      <c r="B41" s="139"/>
      <c r="C41" s="139"/>
      <c r="D41" s="141" t="s">
        <v>154</v>
      </c>
      <c r="E41" s="139"/>
      <c r="F41" s="139"/>
      <c r="G41" s="141" t="s">
        <v>154</v>
      </c>
      <c r="H41" s="139"/>
      <c r="I41" s="141" t="s">
        <v>155</v>
      </c>
      <c r="J41" s="177"/>
      <c r="K41" s="177"/>
      <c r="L41" s="177"/>
      <c r="M41" s="178"/>
      <c r="N41" s="178"/>
      <c r="O41" s="178"/>
      <c r="P41" s="178"/>
      <c r="Q41" s="178"/>
      <c r="R41" s="178"/>
      <c r="S41" s="199"/>
      <c r="T41" s="199"/>
    </row>
    <row r="42" ht="18" spans="2:18">
      <c r="B42" s="142" t="s">
        <v>156</v>
      </c>
      <c r="C42" s="143">
        <f>B37</f>
        <v>341</v>
      </c>
      <c r="D42" s="144">
        <f>MAX(B7:B36)</f>
        <v>518</v>
      </c>
      <c r="E42" s="144">
        <f>MIN(B7:B36)</f>
        <v>150</v>
      </c>
      <c r="F42" s="145">
        <f>N37</f>
        <v>26.6</v>
      </c>
      <c r="G42" s="146">
        <f>MAX(N7:N36)</f>
        <v>36</v>
      </c>
      <c r="H42" s="144">
        <f>MIN(N7:N36)</f>
        <v>21</v>
      </c>
      <c r="I42" s="179">
        <f t="shared" ref="I42:I47" si="1">1-F42/C42</f>
        <v>0.921994134897361</v>
      </c>
      <c r="J42" s="162"/>
      <c r="K42" s="142" t="s">
        <v>157</v>
      </c>
      <c r="L42" s="180">
        <f>C43/C42</f>
        <v>0.457478005865103</v>
      </c>
      <c r="M42" s="181"/>
      <c r="N42" s="182"/>
      <c r="O42" s="182"/>
      <c r="P42" s="182"/>
      <c r="Q42" s="181"/>
      <c r="R42" s="186"/>
    </row>
    <row r="43" ht="17.25" spans="2:18">
      <c r="B43" s="147" t="s">
        <v>158</v>
      </c>
      <c r="C43" s="148">
        <f>C37</f>
        <v>156</v>
      </c>
      <c r="D43" s="149">
        <f>MAX(C7:C36)</f>
        <v>234</v>
      </c>
      <c r="E43" s="150">
        <f>MIN(C7:C36)</f>
        <v>68.2</v>
      </c>
      <c r="F43" s="151">
        <f>O37</f>
        <v>2.5</v>
      </c>
      <c r="G43" s="152">
        <f>MAX(O7:O36)</f>
        <v>3.05</v>
      </c>
      <c r="H43" s="150">
        <f>MIN(O7:O36)</f>
        <v>2.14</v>
      </c>
      <c r="I43" s="183">
        <f>1-2/C43</f>
        <v>0.987179487179487</v>
      </c>
      <c r="J43" s="162"/>
      <c r="K43" s="147" t="s">
        <v>159</v>
      </c>
      <c r="L43" s="184">
        <f>C43/C47</f>
        <v>4.74164133738602</v>
      </c>
      <c r="M43" s="181"/>
      <c r="N43" s="182"/>
      <c r="O43" s="182"/>
      <c r="P43" s="182"/>
      <c r="Q43" s="181"/>
      <c r="R43" s="186"/>
    </row>
    <row r="44" ht="17.25" spans="2:18">
      <c r="B44" s="147" t="s">
        <v>119</v>
      </c>
      <c r="C44" s="153">
        <f>D37</f>
        <v>122</v>
      </c>
      <c r="D44" s="150">
        <f>MAX(D7:D36)</f>
        <v>172</v>
      </c>
      <c r="E44" s="154">
        <f>MIN(D7:D36)</f>
        <v>72</v>
      </c>
      <c r="F44" s="155">
        <f>P37</f>
        <v>5.37</v>
      </c>
      <c r="G44" s="156">
        <f>MAX(P7:P36)</f>
        <v>7</v>
      </c>
      <c r="H44" s="156">
        <f>MIN(P7:P36)</f>
        <v>5</v>
      </c>
      <c r="I44" s="183">
        <f t="shared" si="1"/>
        <v>0.955983606557377</v>
      </c>
      <c r="J44" s="162"/>
      <c r="K44" s="147" t="s">
        <v>160</v>
      </c>
      <c r="L44" s="185">
        <f>C43/C45</f>
        <v>59.5419847328244</v>
      </c>
      <c r="M44" s="186"/>
      <c r="N44" s="186"/>
      <c r="O44" s="186"/>
      <c r="P44" s="186"/>
      <c r="Q44" s="186"/>
      <c r="R44" s="186"/>
    </row>
    <row r="45" ht="17.25" spans="2:12">
      <c r="B45" s="147" t="s">
        <v>121</v>
      </c>
      <c r="C45" s="155">
        <f>E37</f>
        <v>2.62</v>
      </c>
      <c r="D45" s="150">
        <f>MAX(E7:E36)</f>
        <v>4.3</v>
      </c>
      <c r="E45" s="150">
        <f>MIN(E7:E36)</f>
        <v>1.61</v>
      </c>
      <c r="F45" s="155">
        <f>Q37</f>
        <v>0.18</v>
      </c>
      <c r="G45" s="156">
        <f>MAX(Q7:Q36)</f>
        <v>0.25</v>
      </c>
      <c r="H45" s="156">
        <f>MIN(Q7:Q36)</f>
        <v>0.14</v>
      </c>
      <c r="I45" s="183">
        <f t="shared" si="1"/>
        <v>0.931297709923664</v>
      </c>
      <c r="J45" s="162"/>
      <c r="K45" s="147"/>
      <c r="L45" s="187"/>
    </row>
    <row r="46" ht="17.25" spans="2:12">
      <c r="B46" s="147" t="s">
        <v>161</v>
      </c>
      <c r="C46" s="148">
        <f>F37</f>
        <v>26.1</v>
      </c>
      <c r="D46" s="150">
        <f>MAX(F7:F36)</f>
        <v>39</v>
      </c>
      <c r="E46" s="150">
        <f>MIN(F7:F36)</f>
        <v>15.3</v>
      </c>
      <c r="F46" s="155">
        <f>R37</f>
        <v>0.43</v>
      </c>
      <c r="G46" s="150">
        <f>MAX(R7:R36)</f>
        <v>0.62</v>
      </c>
      <c r="H46" s="156">
        <f>MIN(R7:R36)</f>
        <v>0.18</v>
      </c>
      <c r="I46" s="183">
        <f t="shared" si="1"/>
        <v>0.983524904214559</v>
      </c>
      <c r="J46" s="162"/>
      <c r="K46" s="147"/>
      <c r="L46" s="187"/>
    </row>
    <row r="47" ht="17.25" spans="2:12">
      <c r="B47" s="157" t="s">
        <v>124</v>
      </c>
      <c r="C47" s="158">
        <f>G37</f>
        <v>32.9</v>
      </c>
      <c r="D47" s="159">
        <f>MAX(G7:G36)</f>
        <v>45.6</v>
      </c>
      <c r="E47" s="159">
        <f>MIN(G7:G36)</f>
        <v>22.2</v>
      </c>
      <c r="F47" s="160">
        <f>S37</f>
        <v>6.95</v>
      </c>
      <c r="G47" s="159">
        <f>MAX(S7:S36)</f>
        <v>9.76</v>
      </c>
      <c r="H47" s="159">
        <f>MIN(S7:S36)</f>
        <v>5.46</v>
      </c>
      <c r="I47" s="188">
        <f t="shared" si="1"/>
        <v>0.788753799392097</v>
      </c>
      <c r="J47" s="162"/>
      <c r="K47" s="157"/>
      <c r="L47" s="189"/>
    </row>
    <row r="48" ht="17.25" spans="2:12">
      <c r="B48" s="161"/>
      <c r="C48" s="162"/>
      <c r="D48" s="162"/>
      <c r="E48" s="162"/>
      <c r="F48" s="162"/>
      <c r="G48" s="162"/>
      <c r="H48" s="163"/>
      <c r="I48" s="162"/>
      <c r="J48" s="162"/>
      <c r="K48" s="163"/>
      <c r="L48" s="162"/>
    </row>
    <row r="49" spans="2:2">
      <c r="B49" s="164"/>
    </row>
    <row r="50" spans="2:2">
      <c r="B50" s="164"/>
    </row>
    <row r="51" spans="2:2">
      <c r="B51" s="164"/>
    </row>
    <row r="52" spans="2:2">
      <c r="B52" s="164"/>
    </row>
    <row r="53" spans="2:2">
      <c r="B53" s="164"/>
    </row>
    <row r="54" spans="2:2">
      <c r="B54" s="164"/>
    </row>
    <row r="55" spans="2:2">
      <c r="B55" s="164"/>
    </row>
    <row r="56" spans="2:2">
      <c r="B56" s="164"/>
    </row>
    <row r="57" spans="2:2">
      <c r="B57" s="164"/>
    </row>
    <row r="58" spans="2:2">
      <c r="B58" s="164"/>
    </row>
    <row r="59" spans="2:2">
      <c r="B59" s="164"/>
    </row>
    <row r="60" spans="2:2">
      <c r="B60" s="164"/>
    </row>
    <row r="61" spans="2:2">
      <c r="B61" s="164"/>
    </row>
    <row r="62" spans="2:2">
      <c r="B62" s="164"/>
    </row>
    <row r="63" spans="2:2">
      <c r="B63" s="164"/>
    </row>
    <row r="64" spans="2:2">
      <c r="B64" s="164"/>
    </row>
    <row r="65" spans="2:2">
      <c r="B65" s="164"/>
    </row>
    <row r="66" spans="2:2">
      <c r="B66" s="164"/>
    </row>
    <row r="67" spans="2:2">
      <c r="B67" s="164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workbookViewId="0">
      <selection activeCell="I179" sqref="I179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162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45017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163</v>
      </c>
      <c r="B3" s="6" t="s">
        <v>164</v>
      </c>
      <c r="C3" s="6" t="s">
        <v>165</v>
      </c>
      <c r="D3" s="6" t="s">
        <v>166</v>
      </c>
      <c r="E3" s="59" t="s">
        <v>167</v>
      </c>
      <c r="F3" s="59" t="s">
        <v>168</v>
      </c>
      <c r="G3" s="60" t="s">
        <v>169</v>
      </c>
      <c r="H3" s="61" t="s">
        <v>170</v>
      </c>
      <c r="I3" s="59" t="s">
        <v>171</v>
      </c>
      <c r="J3" s="6" t="s">
        <v>172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173</v>
      </c>
      <c r="E5" s="59" t="s">
        <v>174</v>
      </c>
      <c r="F5" s="59" t="s">
        <v>175</v>
      </c>
      <c r="G5" s="60" t="s">
        <v>175</v>
      </c>
      <c r="H5" s="61" t="s">
        <v>176</v>
      </c>
      <c r="I5" s="59" t="s">
        <v>176</v>
      </c>
      <c r="J5" s="6"/>
    </row>
    <row r="6" customHeight="1" spans="1:10">
      <c r="A6" s="63" t="s">
        <v>177</v>
      </c>
      <c r="B6" s="64" t="s">
        <v>178</v>
      </c>
      <c r="C6" s="64" t="s">
        <v>179</v>
      </c>
      <c r="D6" s="64">
        <v>30</v>
      </c>
      <c r="E6" s="64">
        <v>2</v>
      </c>
      <c r="F6" s="64">
        <v>60</v>
      </c>
      <c r="G6" s="64">
        <v>60</v>
      </c>
      <c r="H6" s="65">
        <v>1</v>
      </c>
      <c r="I6" s="65">
        <v>1</v>
      </c>
      <c r="J6" s="64" t="s">
        <v>180</v>
      </c>
    </row>
    <row r="7" customHeight="1" spans="1:10">
      <c r="A7" s="63"/>
      <c r="B7" s="64"/>
      <c r="C7" s="64" t="s">
        <v>181</v>
      </c>
      <c r="D7" s="64">
        <v>30</v>
      </c>
      <c r="E7" s="64">
        <v>2</v>
      </c>
      <c r="F7" s="64">
        <v>60</v>
      </c>
      <c r="G7" s="64">
        <v>60</v>
      </c>
      <c r="H7" s="65">
        <v>1</v>
      </c>
      <c r="I7" s="65">
        <v>1</v>
      </c>
      <c r="J7" s="64" t="s">
        <v>180</v>
      </c>
    </row>
    <row r="8" customHeight="1" spans="1:10">
      <c r="A8" s="63"/>
      <c r="B8" s="64" t="s">
        <v>182</v>
      </c>
      <c r="C8" s="64" t="s">
        <v>70</v>
      </c>
      <c r="D8" s="64">
        <v>30</v>
      </c>
      <c r="E8" s="64">
        <v>2</v>
      </c>
      <c r="F8" s="64">
        <v>60</v>
      </c>
      <c r="G8" s="64">
        <v>60</v>
      </c>
      <c r="H8" s="65">
        <v>1</v>
      </c>
      <c r="I8" s="65">
        <v>1</v>
      </c>
      <c r="J8" s="64" t="s">
        <v>180</v>
      </c>
    </row>
    <row r="9" customHeight="1" spans="1:10">
      <c r="A9" s="63"/>
      <c r="B9" s="64" t="s">
        <v>183</v>
      </c>
      <c r="C9" s="64" t="s">
        <v>70</v>
      </c>
      <c r="D9" s="64">
        <v>30</v>
      </c>
      <c r="E9" s="64">
        <v>2</v>
      </c>
      <c r="F9" s="64">
        <v>60</v>
      </c>
      <c r="G9" s="64">
        <v>60</v>
      </c>
      <c r="H9" s="65">
        <v>1</v>
      </c>
      <c r="I9" s="65">
        <v>1</v>
      </c>
      <c r="J9" s="64" t="s">
        <v>180</v>
      </c>
    </row>
    <row r="10" customHeight="1" spans="1:10">
      <c r="A10" s="63"/>
      <c r="B10" s="64" t="s">
        <v>184</v>
      </c>
      <c r="C10" s="64" t="s">
        <v>179</v>
      </c>
      <c r="D10" s="64">
        <v>30</v>
      </c>
      <c r="E10" s="64">
        <v>24</v>
      </c>
      <c r="F10" s="64">
        <v>720</v>
      </c>
      <c r="G10" s="64">
        <v>684</v>
      </c>
      <c r="H10" s="65">
        <v>0.95</v>
      </c>
      <c r="I10" s="65">
        <v>1</v>
      </c>
      <c r="J10" s="64"/>
    </row>
    <row r="11" customHeight="1" spans="1:10">
      <c r="A11" s="63"/>
      <c r="B11" s="64"/>
      <c r="C11" s="64" t="s">
        <v>181</v>
      </c>
      <c r="D11" s="64">
        <v>30</v>
      </c>
      <c r="E11" s="64">
        <v>24</v>
      </c>
      <c r="F11" s="64">
        <v>720</v>
      </c>
      <c r="G11" s="64">
        <v>0</v>
      </c>
      <c r="H11" s="65">
        <v>0</v>
      </c>
      <c r="I11" s="65">
        <v>1</v>
      </c>
      <c r="J11" s="64"/>
    </row>
    <row r="12" customHeight="1" spans="1:10">
      <c r="A12" s="63"/>
      <c r="B12" s="64"/>
      <c r="C12" s="64" t="s">
        <v>185</v>
      </c>
      <c r="D12" s="64">
        <v>30</v>
      </c>
      <c r="E12" s="64">
        <v>24</v>
      </c>
      <c r="F12" s="64">
        <v>720</v>
      </c>
      <c r="G12" s="64">
        <v>692</v>
      </c>
      <c r="H12" s="65">
        <v>0.961111111111111</v>
      </c>
      <c r="I12" s="65">
        <v>1</v>
      </c>
      <c r="J12" s="64"/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0</v>
      </c>
      <c r="H13" s="65">
        <v>0</v>
      </c>
      <c r="I13" s="65">
        <v>1</v>
      </c>
      <c r="J13" s="64" t="s">
        <v>187</v>
      </c>
    </row>
    <row r="14" customHeight="1" spans="1:10">
      <c r="A14" s="63"/>
      <c r="B14" s="64"/>
      <c r="C14" s="64" t="s">
        <v>188</v>
      </c>
      <c r="D14" s="64">
        <v>30</v>
      </c>
      <c r="E14" s="64">
        <v>24</v>
      </c>
      <c r="F14" s="64">
        <v>720</v>
      </c>
      <c r="G14" s="64">
        <v>706</v>
      </c>
      <c r="H14" s="65">
        <v>0.980555555555556</v>
      </c>
      <c r="I14" s="65">
        <v>1</v>
      </c>
      <c r="J14" s="64" t="s">
        <v>187</v>
      </c>
    </row>
    <row r="15" customHeight="1" spans="1:10">
      <c r="A15" s="63"/>
      <c r="B15" s="64" t="s">
        <v>189</v>
      </c>
      <c r="C15" s="64" t="s">
        <v>179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181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185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/>
    </row>
    <row r="18" customHeight="1" spans="1:10">
      <c r="A18" s="63"/>
      <c r="B18" s="64"/>
      <c r="C18" s="5" t="s">
        <v>186</v>
      </c>
      <c r="D18" s="5">
        <v>30</v>
      </c>
      <c r="E18" s="5">
        <v>2.4</v>
      </c>
      <c r="F18" s="5">
        <v>72</v>
      </c>
      <c r="G18" s="5">
        <v>0</v>
      </c>
      <c r="H18" s="66">
        <v>0</v>
      </c>
      <c r="I18" s="66">
        <v>0</v>
      </c>
      <c r="J18" s="77"/>
    </row>
    <row r="19" customHeight="1" spans="1:10">
      <c r="A19" s="63"/>
      <c r="B19" s="64"/>
      <c r="C19" s="64" t="s">
        <v>188</v>
      </c>
      <c r="D19" s="64">
        <v>30</v>
      </c>
      <c r="E19" s="64">
        <v>2.4</v>
      </c>
      <c r="F19" s="64">
        <v>72</v>
      </c>
      <c r="G19" s="64">
        <v>72</v>
      </c>
      <c r="H19" s="65">
        <v>1</v>
      </c>
      <c r="I19" s="65">
        <v>1</v>
      </c>
      <c r="J19" s="64"/>
    </row>
    <row r="20" customHeight="1" spans="1:10">
      <c r="A20" s="63"/>
      <c r="B20" s="64"/>
      <c r="C20" s="64" t="s">
        <v>190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/>
    </row>
    <row r="21" customHeight="1" spans="1:10">
      <c r="A21" s="63"/>
      <c r="B21" s="64" t="s">
        <v>182</v>
      </c>
      <c r="C21" s="64" t="s">
        <v>179</v>
      </c>
      <c r="D21" s="64">
        <v>30</v>
      </c>
      <c r="E21" s="64">
        <v>2</v>
      </c>
      <c r="F21" s="64">
        <v>60</v>
      </c>
      <c r="G21" s="64">
        <v>60</v>
      </c>
      <c r="H21" s="65">
        <v>1</v>
      </c>
      <c r="I21" s="65">
        <v>1</v>
      </c>
      <c r="J21" s="64"/>
    </row>
    <row r="22" customHeight="1" spans="1:10">
      <c r="A22" s="63"/>
      <c r="B22" s="64"/>
      <c r="C22" s="64" t="s">
        <v>181</v>
      </c>
      <c r="D22" s="64">
        <v>30</v>
      </c>
      <c r="E22" s="64">
        <v>2</v>
      </c>
      <c r="F22" s="64">
        <v>60</v>
      </c>
      <c r="G22" s="64">
        <v>60</v>
      </c>
      <c r="H22" s="65">
        <v>1</v>
      </c>
      <c r="I22" s="65">
        <v>1</v>
      </c>
      <c r="J22" s="64"/>
    </row>
    <row r="23" customHeight="1" spans="1:10">
      <c r="A23" s="63"/>
      <c r="B23" s="64" t="s">
        <v>183</v>
      </c>
      <c r="C23" s="64" t="s">
        <v>179</v>
      </c>
      <c r="D23" s="64">
        <v>30</v>
      </c>
      <c r="E23" s="64">
        <v>2</v>
      </c>
      <c r="F23" s="64">
        <v>60</v>
      </c>
      <c r="G23" s="64">
        <v>60</v>
      </c>
      <c r="H23" s="65">
        <v>1</v>
      </c>
      <c r="I23" s="65">
        <v>1</v>
      </c>
      <c r="J23" s="64"/>
    </row>
    <row r="24" customHeight="1" spans="1:10">
      <c r="A24" s="63"/>
      <c r="B24" s="64"/>
      <c r="C24" s="64" t="s">
        <v>181</v>
      </c>
      <c r="D24" s="64">
        <v>30</v>
      </c>
      <c r="E24" s="64">
        <v>2</v>
      </c>
      <c r="F24" s="64">
        <v>60</v>
      </c>
      <c r="G24" s="64">
        <v>60</v>
      </c>
      <c r="H24" s="65">
        <v>1</v>
      </c>
      <c r="I24" s="65">
        <v>1</v>
      </c>
      <c r="J24" s="64"/>
    </row>
    <row r="25" customHeight="1" spans="1:10">
      <c r="A25" s="63"/>
      <c r="B25" s="64" t="s">
        <v>191</v>
      </c>
      <c r="C25" s="64" t="s">
        <v>179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0</v>
      </c>
      <c r="J25" s="64"/>
    </row>
    <row r="26" customHeight="1" spans="1:10">
      <c r="A26" s="63"/>
      <c r="B26" s="64" t="s">
        <v>192</v>
      </c>
      <c r="C26" s="64" t="s">
        <v>179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/>
    </row>
    <row r="27" customHeight="1" spans="1:10">
      <c r="A27" s="63"/>
      <c r="B27" s="64" t="s">
        <v>191</v>
      </c>
      <c r="C27" s="64" t="s">
        <v>181</v>
      </c>
      <c r="D27" s="64">
        <v>30</v>
      </c>
      <c r="E27" s="64">
        <v>24</v>
      </c>
      <c r="F27" s="64">
        <v>720</v>
      </c>
      <c r="G27" s="64">
        <v>720</v>
      </c>
      <c r="H27" s="65">
        <v>1</v>
      </c>
      <c r="I27" s="65">
        <v>1</v>
      </c>
      <c r="J27" s="64"/>
    </row>
    <row r="28" customHeight="1" spans="1:10">
      <c r="A28" s="63"/>
      <c r="B28" s="64" t="s">
        <v>192</v>
      </c>
      <c r="C28" s="64" t="s">
        <v>181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/>
    </row>
    <row r="29" customHeight="1" spans="1:10">
      <c r="A29" s="63"/>
      <c r="B29" s="64" t="s">
        <v>191</v>
      </c>
      <c r="C29" s="64" t="s">
        <v>185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/>
    </row>
    <row r="30" customHeight="1" spans="1:10">
      <c r="A30" s="63"/>
      <c r="B30" s="64" t="s">
        <v>192</v>
      </c>
      <c r="C30" s="64" t="s">
        <v>185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/>
    </row>
    <row r="31" customHeight="1" spans="1:10">
      <c r="A31" s="63"/>
      <c r="B31" s="64" t="s">
        <v>191</v>
      </c>
      <c r="C31" s="64" t="s">
        <v>186</v>
      </c>
      <c r="D31" s="64">
        <v>30</v>
      </c>
      <c r="E31" s="64">
        <v>24</v>
      </c>
      <c r="F31" s="64">
        <v>720</v>
      </c>
      <c r="G31" s="64">
        <v>720</v>
      </c>
      <c r="H31" s="65">
        <v>1</v>
      </c>
      <c r="I31" s="65">
        <v>1</v>
      </c>
      <c r="J31" s="64"/>
    </row>
    <row r="32" customHeight="1" spans="1:10">
      <c r="A32" s="63"/>
      <c r="B32" s="64" t="s">
        <v>192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/>
    </row>
    <row r="33" customHeight="1" spans="1:10">
      <c r="A33" s="63"/>
      <c r="B33" s="64" t="s">
        <v>193</v>
      </c>
      <c r="C33" s="64" t="s">
        <v>179</v>
      </c>
      <c r="D33" s="64">
        <v>30</v>
      </c>
      <c r="E33" s="64">
        <v>24</v>
      </c>
      <c r="F33" s="64">
        <v>720</v>
      </c>
      <c r="G33" s="64">
        <v>393</v>
      </c>
      <c r="H33" s="65">
        <v>0.545833333333333</v>
      </c>
      <c r="I33" s="65">
        <v>1</v>
      </c>
      <c r="J33" s="64" t="s">
        <v>194</v>
      </c>
    </row>
    <row r="34" customHeight="1" spans="1:10">
      <c r="A34" s="63"/>
      <c r="B34" s="64"/>
      <c r="C34" s="64" t="s">
        <v>181</v>
      </c>
      <c r="D34" s="64">
        <v>30</v>
      </c>
      <c r="E34" s="64">
        <v>24</v>
      </c>
      <c r="F34" s="64">
        <v>720</v>
      </c>
      <c r="G34" s="64">
        <v>367</v>
      </c>
      <c r="H34" s="65">
        <v>0.509722222222222</v>
      </c>
      <c r="I34" s="65">
        <v>1</v>
      </c>
      <c r="J34" s="64" t="s">
        <v>195</v>
      </c>
    </row>
    <row r="35" customHeight="1" spans="1:10">
      <c r="A35" s="63"/>
      <c r="B35" s="64"/>
      <c r="C35" s="64" t="s">
        <v>185</v>
      </c>
      <c r="D35" s="64">
        <v>30</v>
      </c>
      <c r="E35" s="64">
        <v>24</v>
      </c>
      <c r="F35" s="64">
        <v>720</v>
      </c>
      <c r="G35" s="64">
        <v>364</v>
      </c>
      <c r="H35" s="65">
        <v>0.505555555555556</v>
      </c>
      <c r="I35" s="65">
        <v>1</v>
      </c>
      <c r="J35" s="64" t="s">
        <v>196</v>
      </c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372</v>
      </c>
      <c r="H36" s="65">
        <v>0.516666666666667</v>
      </c>
      <c r="I36" s="65">
        <v>1</v>
      </c>
      <c r="J36" s="64"/>
    </row>
    <row r="37" customHeight="1" spans="1:10">
      <c r="A37" s="63"/>
      <c r="B37" s="64"/>
      <c r="C37" s="64" t="s">
        <v>188</v>
      </c>
      <c r="D37" s="64">
        <v>30</v>
      </c>
      <c r="E37" s="64">
        <v>24</v>
      </c>
      <c r="F37" s="64">
        <v>720</v>
      </c>
      <c r="G37" s="64">
        <v>332</v>
      </c>
      <c r="H37" s="65">
        <v>0.461111111111111</v>
      </c>
      <c r="I37" s="65">
        <v>1</v>
      </c>
      <c r="J37" s="64" t="s">
        <v>197</v>
      </c>
    </row>
    <row r="38" customHeight="1" spans="1:10">
      <c r="A38" s="67" t="s">
        <v>71</v>
      </c>
      <c r="B38" s="67"/>
      <c r="C38" s="15"/>
      <c r="D38" s="15"/>
      <c r="E38" s="68" t="s">
        <v>72</v>
      </c>
      <c r="F38" s="68"/>
      <c r="G38" s="69"/>
      <c r="H38" s="10" t="s">
        <v>148</v>
      </c>
      <c r="I38" s="10"/>
      <c r="J38" s="10"/>
    </row>
    <row r="39" ht="34" customHeight="1"/>
    <row r="46" ht="33" customHeight="1" spans="1:10">
      <c r="A46" s="56" t="s">
        <v>162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70">
        <f>A2</f>
        <v>45017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163</v>
      </c>
      <c r="B48" s="6" t="s">
        <v>164</v>
      </c>
      <c r="C48" s="6" t="s">
        <v>165</v>
      </c>
      <c r="D48" s="6" t="s">
        <v>166</v>
      </c>
      <c r="E48" s="59" t="s">
        <v>167</v>
      </c>
      <c r="F48" s="59" t="s">
        <v>168</v>
      </c>
      <c r="G48" s="60" t="s">
        <v>169</v>
      </c>
      <c r="H48" s="61" t="s">
        <v>170</v>
      </c>
      <c r="I48" s="59" t="s">
        <v>171</v>
      </c>
      <c r="J48" s="6" t="s">
        <v>172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1"/>
      <c r="D50" s="8" t="s">
        <v>173</v>
      </c>
      <c r="E50" s="72" t="s">
        <v>174</v>
      </c>
      <c r="F50" s="72" t="s">
        <v>175</v>
      </c>
      <c r="G50" s="73" t="s">
        <v>175</v>
      </c>
      <c r="H50" s="74" t="s">
        <v>176</v>
      </c>
      <c r="I50" s="59" t="s">
        <v>176</v>
      </c>
      <c r="J50" s="6"/>
    </row>
    <row r="51" customHeight="1" spans="1:10">
      <c r="A51" s="75" t="s">
        <v>198</v>
      </c>
      <c r="B51" s="63" t="s">
        <v>199</v>
      </c>
      <c r="C51" s="64" t="s">
        <v>179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8">
        <v>1</v>
      </c>
      <c r="J51" s="64"/>
    </row>
    <row r="52" customHeight="1" spans="1:10">
      <c r="A52" s="76"/>
      <c r="B52" s="64"/>
      <c r="C52" s="64" t="s">
        <v>181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8">
        <v>1</v>
      </c>
      <c r="J52" s="64"/>
    </row>
    <row r="53" customHeight="1" spans="1:10">
      <c r="A53" s="76"/>
      <c r="B53" s="64"/>
      <c r="C53" s="64" t="s">
        <v>185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8">
        <v>1</v>
      </c>
      <c r="J53" s="64"/>
    </row>
    <row r="54" customHeight="1" spans="1:10">
      <c r="A54" s="76"/>
      <c r="B54" s="64"/>
      <c r="C54" s="64" t="s">
        <v>186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8">
        <v>1</v>
      </c>
      <c r="J54" s="64"/>
    </row>
    <row r="55" customHeight="1" spans="1:10">
      <c r="A55" s="76"/>
      <c r="B55" s="64"/>
      <c r="C55" s="64" t="s">
        <v>188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8">
        <v>1</v>
      </c>
      <c r="J55" s="64"/>
    </row>
    <row r="56" customHeight="1" spans="1:10">
      <c r="A56" s="76"/>
      <c r="B56" s="64"/>
      <c r="C56" s="64" t="s">
        <v>190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8">
        <v>1</v>
      </c>
      <c r="J56" s="64"/>
    </row>
    <row r="57" customHeight="1" spans="1:10">
      <c r="A57" s="76"/>
      <c r="B57" s="64"/>
      <c r="C57" s="64" t="s">
        <v>200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8">
        <v>1</v>
      </c>
      <c r="J57" s="64"/>
    </row>
    <row r="58" customHeight="1" spans="1:10">
      <c r="A58" s="76"/>
      <c r="B58" s="64"/>
      <c r="C58" s="64" t="s">
        <v>201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8">
        <v>1</v>
      </c>
      <c r="J58" s="64"/>
    </row>
    <row r="59" customHeight="1" spans="1:10">
      <c r="A59" s="76"/>
      <c r="B59" s="64"/>
      <c r="C59" s="64" t="s">
        <v>202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8">
        <v>1</v>
      </c>
      <c r="J59" s="64"/>
    </row>
    <row r="60" customHeight="1" spans="1:10">
      <c r="A60" s="76"/>
      <c r="B60" s="64"/>
      <c r="C60" s="64" t="s">
        <v>203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8">
        <v>1</v>
      </c>
      <c r="J60" s="64"/>
    </row>
    <row r="61" customHeight="1" spans="1:10">
      <c r="A61" s="76"/>
      <c r="B61" s="64"/>
      <c r="C61" s="64" t="s">
        <v>204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8">
        <v>1</v>
      </c>
      <c r="J61" s="64"/>
    </row>
    <row r="62" customHeight="1" spans="1:10">
      <c r="A62" s="76"/>
      <c r="B62" s="64"/>
      <c r="C62" s="64" t="s">
        <v>205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8">
        <v>1</v>
      </c>
      <c r="J62" s="64"/>
    </row>
    <row r="63" customHeight="1" spans="1:10">
      <c r="A63" s="76"/>
      <c r="B63" s="64"/>
      <c r="C63" s="64" t="s">
        <v>206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8">
        <v>1</v>
      </c>
      <c r="J63" s="64"/>
    </row>
    <row r="64" customHeight="1" spans="1:10">
      <c r="A64" s="76"/>
      <c r="B64" s="64"/>
      <c r="C64" s="64" t="s">
        <v>207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8">
        <v>1</v>
      </c>
      <c r="J64" s="64"/>
    </row>
    <row r="65" customHeight="1" spans="1:10">
      <c r="A65" s="76"/>
      <c r="B65" s="64"/>
      <c r="C65" s="64" t="s">
        <v>208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8">
        <v>1</v>
      </c>
      <c r="J65" s="64"/>
    </row>
    <row r="66" customHeight="1" spans="1:10">
      <c r="A66" s="76"/>
      <c r="B66" s="64"/>
      <c r="C66" s="64" t="s">
        <v>209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8">
        <v>1</v>
      </c>
      <c r="J66" s="64"/>
    </row>
    <row r="67" customHeight="1" spans="1:10">
      <c r="A67" s="76"/>
      <c r="B67" s="64"/>
      <c r="C67" s="64" t="s">
        <v>210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8">
        <v>1</v>
      </c>
      <c r="J67" s="64"/>
    </row>
    <row r="68" customHeight="1" spans="1:10">
      <c r="A68" s="76"/>
      <c r="B68" s="64"/>
      <c r="C68" s="64" t="s">
        <v>211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8">
        <v>1</v>
      </c>
      <c r="J68" s="64"/>
    </row>
    <row r="69" customHeight="1" spans="1:10">
      <c r="A69" s="76"/>
      <c r="B69" s="63" t="s">
        <v>212</v>
      </c>
      <c r="C69" s="64" t="s">
        <v>213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8">
        <v>1</v>
      </c>
      <c r="J69" s="64"/>
    </row>
    <row r="70" customHeight="1" spans="1:10">
      <c r="A70" s="76"/>
      <c r="B70" s="64"/>
      <c r="C70" s="64" t="s">
        <v>214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8">
        <v>1</v>
      </c>
      <c r="J70" s="64"/>
    </row>
    <row r="71" customHeight="1" spans="1:10">
      <c r="A71" s="76"/>
      <c r="B71" s="64"/>
      <c r="C71" s="64" t="s">
        <v>215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8">
        <v>1</v>
      </c>
      <c r="J71" s="64"/>
    </row>
    <row r="72" customHeight="1" spans="1:10">
      <c r="A72" s="76"/>
      <c r="B72" s="64"/>
      <c r="C72" s="64" t="s">
        <v>216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8">
        <v>1</v>
      </c>
      <c r="J72" s="64"/>
    </row>
    <row r="73" customHeight="1" spans="1:10">
      <c r="A73" s="76"/>
      <c r="B73" s="64"/>
      <c r="C73" s="64" t="s">
        <v>217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8">
        <v>1</v>
      </c>
      <c r="J73" s="64"/>
    </row>
    <row r="74" customHeight="1" spans="1:10">
      <c r="A74" s="76"/>
      <c r="B74" s="64"/>
      <c r="C74" s="64" t="s">
        <v>218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8">
        <v>1</v>
      </c>
      <c r="J74" s="64"/>
    </row>
    <row r="75" customHeight="1" spans="1:10">
      <c r="A75" s="76"/>
      <c r="B75" s="64"/>
      <c r="C75" s="64" t="s">
        <v>219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8">
        <v>1</v>
      </c>
      <c r="J75" s="64"/>
    </row>
    <row r="76" customHeight="1" spans="1:10">
      <c r="A76" s="76"/>
      <c r="B76" s="64"/>
      <c r="C76" s="64" t="s">
        <v>220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8">
        <v>1</v>
      </c>
      <c r="J76" s="64"/>
    </row>
    <row r="77" customHeight="1" spans="1:10">
      <c r="A77" s="76"/>
      <c r="B77" s="64"/>
      <c r="C77" s="64" t="s">
        <v>221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8">
        <v>1</v>
      </c>
      <c r="J77" s="64"/>
    </row>
    <row r="78" customHeight="1" spans="1:10">
      <c r="A78" s="76"/>
      <c r="B78" s="64"/>
      <c r="C78" s="64" t="s">
        <v>222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8">
        <v>1</v>
      </c>
      <c r="J78" s="64"/>
    </row>
    <row r="79" customHeight="1" spans="1:10">
      <c r="A79" s="76"/>
      <c r="B79" s="64"/>
      <c r="C79" s="64" t="s">
        <v>223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8">
        <v>1</v>
      </c>
      <c r="J79" s="64"/>
    </row>
    <row r="80" customHeight="1" spans="1:10">
      <c r="A80" s="76"/>
      <c r="B80" s="64"/>
      <c r="C80" s="64" t="s">
        <v>224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8">
        <v>1</v>
      </c>
      <c r="J80" s="64"/>
    </row>
    <row r="81" customHeight="1" spans="1:10">
      <c r="A81" s="76"/>
      <c r="B81" s="64"/>
      <c r="C81" s="64" t="s">
        <v>225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8">
        <v>1</v>
      </c>
      <c r="J81" s="64"/>
    </row>
    <row r="82" customHeight="1" spans="1:10">
      <c r="A82" s="76"/>
      <c r="B82" s="64"/>
      <c r="C82" s="64" t="s">
        <v>226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8">
        <v>1</v>
      </c>
      <c r="J82" s="64"/>
    </row>
    <row r="83" customHeight="1" spans="1:10">
      <c r="A83" s="76"/>
      <c r="B83" s="64"/>
      <c r="C83" s="64" t="s">
        <v>227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8">
        <v>1</v>
      </c>
      <c r="J83" s="64"/>
    </row>
    <row r="84" customHeight="1" spans="1:10">
      <c r="A84" s="76"/>
      <c r="B84" s="64"/>
      <c r="C84" s="64" t="s">
        <v>228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8">
        <v>1</v>
      </c>
      <c r="J84" s="64"/>
    </row>
    <row r="85" customHeight="1" spans="1:10">
      <c r="A85" s="76"/>
      <c r="B85" s="64"/>
      <c r="C85" s="64" t="s">
        <v>229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8">
        <v>1</v>
      </c>
      <c r="J85" s="64"/>
    </row>
    <row r="86" customHeight="1" spans="1:10">
      <c r="A86" s="79"/>
      <c r="B86" s="64"/>
      <c r="C86" s="64" t="s">
        <v>230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8">
        <v>1</v>
      </c>
      <c r="J86" s="64"/>
    </row>
    <row r="87" customHeight="1" spans="1:10">
      <c r="A87" s="67" t="s">
        <v>71</v>
      </c>
      <c r="B87" s="67"/>
      <c r="C87" s="15"/>
      <c r="D87" s="15"/>
      <c r="E87" s="68" t="s">
        <v>72</v>
      </c>
      <c r="F87" s="68"/>
      <c r="G87" s="69"/>
      <c r="H87" s="10" t="str">
        <f>H38</f>
        <v>制表时间：2023/5/7</v>
      </c>
      <c r="I87" s="10"/>
      <c r="J87" s="10"/>
    </row>
    <row r="88" ht="16" customHeight="1"/>
    <row r="89" ht="20.1" customHeight="1"/>
    <row r="90" ht="34" customHeight="1" spans="1:10">
      <c r="A90" s="56" t="s">
        <v>162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45017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163</v>
      </c>
      <c r="B92" s="6" t="s">
        <v>164</v>
      </c>
      <c r="C92" s="6" t="s">
        <v>165</v>
      </c>
      <c r="D92" s="6" t="s">
        <v>166</v>
      </c>
      <c r="E92" s="59" t="s">
        <v>167</v>
      </c>
      <c r="F92" s="59" t="s">
        <v>168</v>
      </c>
      <c r="G92" s="60" t="s">
        <v>169</v>
      </c>
      <c r="H92" s="61" t="s">
        <v>170</v>
      </c>
      <c r="I92" s="59" t="s">
        <v>171</v>
      </c>
      <c r="J92" s="6" t="s">
        <v>172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173</v>
      </c>
      <c r="E94" s="59" t="s">
        <v>174</v>
      </c>
      <c r="F94" s="59" t="s">
        <v>175</v>
      </c>
      <c r="G94" s="60" t="s">
        <v>175</v>
      </c>
      <c r="H94" s="61" t="s">
        <v>176</v>
      </c>
      <c r="I94" s="59" t="s">
        <v>176</v>
      </c>
      <c r="J94" s="6"/>
    </row>
    <row r="95" customHeight="1" spans="1:10">
      <c r="A95" s="63" t="s">
        <v>198</v>
      </c>
      <c r="B95" s="63" t="s">
        <v>231</v>
      </c>
      <c r="C95" s="64" t="s">
        <v>179</v>
      </c>
      <c r="D95" s="64">
        <v>30</v>
      </c>
      <c r="E95" s="64">
        <v>24</v>
      </c>
      <c r="F95" s="64">
        <v>720</v>
      </c>
      <c r="G95" s="64">
        <v>0</v>
      </c>
      <c r="H95" s="66">
        <v>0</v>
      </c>
      <c r="I95" s="65">
        <v>1</v>
      </c>
      <c r="J95" s="64"/>
    </row>
    <row r="96" customHeight="1" spans="1:10">
      <c r="A96" s="64"/>
      <c r="B96" s="64"/>
      <c r="C96" s="64" t="s">
        <v>181</v>
      </c>
      <c r="D96" s="64">
        <v>30</v>
      </c>
      <c r="E96" s="64">
        <v>24</v>
      </c>
      <c r="F96" s="64">
        <v>720</v>
      </c>
      <c r="G96" s="64">
        <v>0</v>
      </c>
      <c r="H96" s="66">
        <v>0</v>
      </c>
      <c r="I96" s="65">
        <v>1</v>
      </c>
      <c r="J96" s="64"/>
    </row>
    <row r="97" customHeight="1" spans="1:10">
      <c r="A97" s="64"/>
      <c r="B97" s="63" t="s">
        <v>232</v>
      </c>
      <c r="C97" s="64" t="s">
        <v>179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181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185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188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190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233</v>
      </c>
      <c r="C103" s="64" t="s">
        <v>179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181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185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234</v>
      </c>
      <c r="C106" s="64" t="s">
        <v>179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 t="s">
        <v>235</v>
      </c>
    </row>
    <row r="107" customHeight="1" spans="1:10">
      <c r="A107" s="64"/>
      <c r="B107" s="64"/>
      <c r="C107" s="64" t="s">
        <v>181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185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80" t="s">
        <v>236</v>
      </c>
      <c r="B110" s="80" t="s">
        <v>237</v>
      </c>
      <c r="C110" s="64" t="s">
        <v>179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1"/>
      <c r="B111" s="82"/>
      <c r="C111" s="64" t="s">
        <v>181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1"/>
      <c r="B112" s="82"/>
      <c r="C112" s="64" t="s">
        <v>185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1"/>
      <c r="B113" s="82"/>
      <c r="C113" s="64" t="s">
        <v>186</v>
      </c>
      <c r="D113" s="64">
        <v>30</v>
      </c>
      <c r="E113" s="64">
        <v>24</v>
      </c>
      <c r="F113" s="64">
        <v>720</v>
      </c>
      <c r="G113" s="64">
        <v>0</v>
      </c>
      <c r="H113" s="65">
        <v>0</v>
      </c>
      <c r="I113" s="65">
        <v>0</v>
      </c>
      <c r="J113" s="64"/>
    </row>
    <row r="114" customHeight="1" spans="1:10">
      <c r="A114" s="81"/>
      <c r="B114" s="82"/>
      <c r="C114" s="64" t="s">
        <v>188</v>
      </c>
      <c r="D114" s="64">
        <v>30</v>
      </c>
      <c r="E114" s="64">
        <v>24</v>
      </c>
      <c r="F114" s="64">
        <v>720</v>
      </c>
      <c r="G114" s="64">
        <v>720</v>
      </c>
      <c r="H114" s="65">
        <v>1</v>
      </c>
      <c r="I114" s="65">
        <v>1</v>
      </c>
      <c r="J114" s="64"/>
    </row>
    <row r="115" customHeight="1" spans="1:10">
      <c r="A115" s="81"/>
      <c r="B115" s="82"/>
      <c r="C115" s="64" t="s">
        <v>190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1</v>
      </c>
      <c r="J115" s="64"/>
    </row>
    <row r="116" customHeight="1" spans="1:10">
      <c r="A116" s="81"/>
      <c r="B116" s="82"/>
      <c r="C116" s="64" t="s">
        <v>200</v>
      </c>
      <c r="D116" s="64">
        <v>30</v>
      </c>
      <c r="E116" s="64">
        <v>24</v>
      </c>
      <c r="F116" s="64">
        <v>720</v>
      </c>
      <c r="G116" s="64">
        <v>720</v>
      </c>
      <c r="H116" s="65">
        <v>1</v>
      </c>
      <c r="I116" s="65">
        <v>1</v>
      </c>
      <c r="J116" s="64"/>
    </row>
    <row r="117" customHeight="1" spans="1:10">
      <c r="A117" s="81"/>
      <c r="B117" s="82"/>
      <c r="C117" s="64" t="s">
        <v>201</v>
      </c>
      <c r="D117" s="64">
        <v>30</v>
      </c>
      <c r="E117" s="64">
        <v>24</v>
      </c>
      <c r="F117" s="64">
        <v>720</v>
      </c>
      <c r="G117" s="64">
        <v>0</v>
      </c>
      <c r="H117" s="65">
        <v>0</v>
      </c>
      <c r="I117" s="65">
        <v>1</v>
      </c>
      <c r="J117" s="64" t="s">
        <v>238</v>
      </c>
    </row>
    <row r="118" customHeight="1" spans="1:10">
      <c r="A118" s="81"/>
      <c r="B118" s="82"/>
      <c r="C118" s="64" t="s">
        <v>202</v>
      </c>
      <c r="D118" s="64">
        <v>30</v>
      </c>
      <c r="E118" s="64">
        <v>24</v>
      </c>
      <c r="F118" s="64">
        <v>720</v>
      </c>
      <c r="G118" s="64">
        <v>720</v>
      </c>
      <c r="H118" s="65">
        <v>1</v>
      </c>
      <c r="I118" s="65">
        <v>1</v>
      </c>
      <c r="J118" s="64"/>
    </row>
    <row r="119" customHeight="1" spans="1:10">
      <c r="A119" s="81"/>
      <c r="B119" s="82"/>
      <c r="C119" s="64" t="s">
        <v>203</v>
      </c>
      <c r="D119" s="64">
        <v>30</v>
      </c>
      <c r="E119" s="64">
        <v>24</v>
      </c>
      <c r="F119" s="64">
        <v>720</v>
      </c>
      <c r="G119" s="64">
        <v>0</v>
      </c>
      <c r="H119" s="65">
        <v>0</v>
      </c>
      <c r="I119" s="65">
        <v>1</v>
      </c>
      <c r="J119" s="64" t="s">
        <v>238</v>
      </c>
    </row>
    <row r="120" customHeight="1" spans="1:10">
      <c r="A120" s="81"/>
      <c r="B120" s="82"/>
      <c r="C120" s="64" t="s">
        <v>204</v>
      </c>
      <c r="D120" s="64">
        <v>30</v>
      </c>
      <c r="E120" s="64">
        <v>24</v>
      </c>
      <c r="F120" s="64">
        <v>720</v>
      </c>
      <c r="G120" s="64">
        <v>0</v>
      </c>
      <c r="H120" s="65">
        <v>0</v>
      </c>
      <c r="I120" s="65">
        <v>0</v>
      </c>
      <c r="J120" s="64"/>
    </row>
    <row r="121" customHeight="1" spans="1:10">
      <c r="A121" s="81"/>
      <c r="B121" s="82"/>
      <c r="C121" s="64" t="s">
        <v>205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1"/>
      <c r="B122" s="82"/>
      <c r="C122" s="64" t="s">
        <v>206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1"/>
      <c r="B123" s="82"/>
      <c r="C123" s="64" t="s">
        <v>207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1"/>
      <c r="B124" s="82"/>
      <c r="C124" s="64" t="s">
        <v>208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1"/>
      <c r="B125" s="82"/>
      <c r="C125" s="64" t="s">
        <v>209</v>
      </c>
      <c r="D125" s="64">
        <v>30</v>
      </c>
      <c r="E125" s="64">
        <v>24</v>
      </c>
      <c r="F125" s="64">
        <v>720</v>
      </c>
      <c r="G125" s="64">
        <v>720</v>
      </c>
      <c r="H125" s="65">
        <v>1</v>
      </c>
      <c r="I125" s="65">
        <v>1</v>
      </c>
      <c r="J125" s="64"/>
    </row>
    <row r="126" customHeight="1" spans="1:10">
      <c r="A126" s="81"/>
      <c r="B126" s="82"/>
      <c r="C126" s="64" t="s">
        <v>210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1"/>
      <c r="B127" s="82"/>
      <c r="C127" s="64" t="s">
        <v>211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1"/>
      <c r="B128" s="82"/>
      <c r="C128" s="64" t="s">
        <v>213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1"/>
      <c r="B129" s="82"/>
      <c r="C129" s="64" t="s">
        <v>214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1"/>
      <c r="B130" s="82"/>
      <c r="C130" s="64" t="s">
        <v>215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66">
        <v>1</v>
      </c>
      <c r="J130" s="64"/>
    </row>
    <row r="131" customHeight="1" spans="1:10">
      <c r="A131" s="83"/>
      <c r="B131" s="84"/>
      <c r="C131" s="64" t="s">
        <v>216</v>
      </c>
      <c r="D131" s="64">
        <v>30</v>
      </c>
      <c r="E131" s="64">
        <v>24</v>
      </c>
      <c r="F131" s="64">
        <v>720</v>
      </c>
      <c r="G131" s="64">
        <v>624</v>
      </c>
      <c r="H131" s="65">
        <v>0.866666666666667</v>
      </c>
      <c r="I131" s="65">
        <v>1</v>
      </c>
      <c r="J131" s="64"/>
    </row>
    <row r="132" ht="14.25" spans="1:10">
      <c r="A132" s="67" t="s">
        <v>71</v>
      </c>
      <c r="B132" s="67"/>
      <c r="C132" s="15"/>
      <c r="D132" s="15"/>
      <c r="E132" s="68" t="s">
        <v>72</v>
      </c>
      <c r="F132" s="68"/>
      <c r="G132" s="69"/>
      <c r="H132" s="10" t="str">
        <f>H38</f>
        <v>制表时间：2023/5/7</v>
      </c>
      <c r="I132" s="10"/>
      <c r="J132" s="10"/>
    </row>
    <row r="133" ht="7" customHeight="1" spans="2:6">
      <c r="B133" s="85"/>
      <c r="F133" s="86"/>
    </row>
    <row r="134" ht="5" customHeight="1" spans="2:6">
      <c r="B134" s="85"/>
      <c r="F134" s="86"/>
    </row>
    <row r="135" s="52" customFormat="1" ht="29" customHeight="1" spans="1:212">
      <c r="A135" s="56" t="s">
        <v>162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45017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163</v>
      </c>
      <c r="B137" s="6" t="s">
        <v>164</v>
      </c>
      <c r="C137" s="6" t="s">
        <v>165</v>
      </c>
      <c r="D137" s="6" t="s">
        <v>166</v>
      </c>
      <c r="E137" s="59" t="s">
        <v>167</v>
      </c>
      <c r="F137" s="59" t="s">
        <v>168</v>
      </c>
      <c r="G137" s="60" t="s">
        <v>169</v>
      </c>
      <c r="H137" s="61" t="s">
        <v>170</v>
      </c>
      <c r="I137" s="59" t="s">
        <v>171</v>
      </c>
      <c r="J137" s="6" t="s">
        <v>172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173</v>
      </c>
      <c r="E139" s="59" t="s">
        <v>174</v>
      </c>
      <c r="F139" s="59" t="s">
        <v>175</v>
      </c>
      <c r="G139" s="60" t="s">
        <v>175</v>
      </c>
      <c r="H139" s="61" t="s">
        <v>176</v>
      </c>
      <c r="I139" s="59" t="s">
        <v>176</v>
      </c>
      <c r="J139" s="6"/>
    </row>
    <row r="140" customHeight="1" spans="1:10">
      <c r="A140" s="63" t="s">
        <v>236</v>
      </c>
      <c r="B140" s="63" t="s">
        <v>239</v>
      </c>
      <c r="C140" s="64" t="s">
        <v>217</v>
      </c>
      <c r="D140" s="64">
        <v>30</v>
      </c>
      <c r="E140" s="64">
        <v>24</v>
      </c>
      <c r="F140" s="64">
        <v>720</v>
      </c>
      <c r="G140" s="64">
        <v>0</v>
      </c>
      <c r="H140" s="65">
        <v>0</v>
      </c>
      <c r="I140" s="65">
        <v>0</v>
      </c>
      <c r="J140" s="64"/>
    </row>
    <row r="141" customHeight="1" spans="1:10">
      <c r="A141" s="64"/>
      <c r="B141" s="64"/>
      <c r="C141" s="64" t="s">
        <v>218</v>
      </c>
      <c r="D141" s="64">
        <v>30</v>
      </c>
      <c r="E141" s="64">
        <v>24</v>
      </c>
      <c r="F141" s="64">
        <v>720</v>
      </c>
      <c r="G141" s="64">
        <v>0</v>
      </c>
      <c r="H141" s="65">
        <v>0</v>
      </c>
      <c r="I141" s="65">
        <v>0</v>
      </c>
      <c r="J141" s="64"/>
    </row>
    <row r="142" customHeight="1" spans="1:10">
      <c r="A142" s="64"/>
      <c r="B142" s="64"/>
      <c r="C142" s="64" t="s">
        <v>219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220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221</v>
      </c>
      <c r="D144" s="64">
        <v>30</v>
      </c>
      <c r="E144" s="64">
        <v>24</v>
      </c>
      <c r="F144" s="64">
        <v>720</v>
      </c>
      <c r="G144" s="64">
        <v>0</v>
      </c>
      <c r="H144" s="65">
        <v>0</v>
      </c>
      <c r="I144" s="65">
        <v>0</v>
      </c>
      <c r="J144" s="64"/>
    </row>
    <row r="145" customHeight="1" spans="1:10">
      <c r="A145" s="64"/>
      <c r="B145" s="64"/>
      <c r="C145" s="64" t="s">
        <v>222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240</v>
      </c>
      <c r="C146" s="64" t="s">
        <v>179</v>
      </c>
      <c r="D146" s="64">
        <v>30</v>
      </c>
      <c r="E146" s="64">
        <v>24</v>
      </c>
      <c r="F146" s="64">
        <v>720</v>
      </c>
      <c r="G146" s="64">
        <v>720</v>
      </c>
      <c r="H146" s="66">
        <v>1</v>
      </c>
      <c r="I146" s="66">
        <v>1</v>
      </c>
      <c r="J146" s="64" t="s">
        <v>241</v>
      </c>
    </row>
    <row r="147" customHeight="1" spans="1:10">
      <c r="A147" s="64"/>
      <c r="B147" s="64"/>
      <c r="C147" s="64" t="s">
        <v>181</v>
      </c>
      <c r="D147" s="64">
        <v>30</v>
      </c>
      <c r="E147" s="64">
        <v>24</v>
      </c>
      <c r="F147" s="64">
        <v>720</v>
      </c>
      <c r="G147" s="64">
        <v>720</v>
      </c>
      <c r="H147" s="66">
        <v>1</v>
      </c>
      <c r="I147" s="66">
        <v>1</v>
      </c>
      <c r="J147" s="64"/>
    </row>
    <row r="148" customHeight="1" spans="1:10">
      <c r="A148" s="64"/>
      <c r="B148" s="63" t="s">
        <v>242</v>
      </c>
      <c r="C148" s="64" t="s">
        <v>179</v>
      </c>
      <c r="D148" s="64">
        <v>30</v>
      </c>
      <c r="E148" s="64">
        <v>24</v>
      </c>
      <c r="F148" s="64">
        <v>720</v>
      </c>
      <c r="G148" s="64">
        <v>0</v>
      </c>
      <c r="H148" s="65">
        <v>0</v>
      </c>
      <c r="I148" s="65">
        <v>1</v>
      </c>
      <c r="J148" s="64" t="s">
        <v>243</v>
      </c>
    </row>
    <row r="149" customHeight="1" spans="1:10">
      <c r="A149" s="64"/>
      <c r="B149" s="64"/>
      <c r="C149" s="64" t="s">
        <v>181</v>
      </c>
      <c r="D149" s="64">
        <v>30</v>
      </c>
      <c r="E149" s="64">
        <v>24</v>
      </c>
      <c r="F149" s="64">
        <v>720</v>
      </c>
      <c r="G149" s="64">
        <v>621</v>
      </c>
      <c r="H149" s="65">
        <v>0.8625</v>
      </c>
      <c r="I149" s="65">
        <v>1</v>
      </c>
      <c r="J149" s="64" t="s">
        <v>243</v>
      </c>
    </row>
    <row r="150" customHeight="1" spans="1:10">
      <c r="A150" s="64"/>
      <c r="B150" s="64"/>
      <c r="C150" s="64" t="s">
        <v>185</v>
      </c>
      <c r="D150" s="64">
        <v>30</v>
      </c>
      <c r="E150" s="64">
        <v>24</v>
      </c>
      <c r="F150" s="64">
        <v>720</v>
      </c>
      <c r="G150" s="64">
        <v>0</v>
      </c>
      <c r="H150" s="65">
        <v>0</v>
      </c>
      <c r="I150" s="65">
        <v>1</v>
      </c>
      <c r="J150" s="64" t="s">
        <v>243</v>
      </c>
    </row>
    <row r="151" customHeight="1" spans="1:10">
      <c r="A151" s="64"/>
      <c r="B151" s="63" t="s">
        <v>244</v>
      </c>
      <c r="C151" s="64" t="s">
        <v>179</v>
      </c>
      <c r="D151" s="64">
        <v>30</v>
      </c>
      <c r="E151" s="64">
        <v>24</v>
      </c>
      <c r="F151" s="64">
        <v>720</v>
      </c>
      <c r="G151" s="64">
        <v>720</v>
      </c>
      <c r="H151" s="65">
        <v>1</v>
      </c>
      <c r="I151" s="65">
        <v>1</v>
      </c>
      <c r="J151" s="64" t="s">
        <v>243</v>
      </c>
    </row>
    <row r="152" customHeight="1" spans="1:10">
      <c r="A152" s="64"/>
      <c r="B152" s="64"/>
      <c r="C152" s="64" t="s">
        <v>181</v>
      </c>
      <c r="D152" s="64">
        <v>30</v>
      </c>
      <c r="E152" s="64">
        <v>24</v>
      </c>
      <c r="F152" s="64">
        <v>720</v>
      </c>
      <c r="G152" s="64">
        <v>720</v>
      </c>
      <c r="H152" s="65">
        <v>1</v>
      </c>
      <c r="I152" s="65">
        <v>1</v>
      </c>
      <c r="J152" s="64" t="s">
        <v>243</v>
      </c>
    </row>
    <row r="153" customHeight="1" spans="1:10">
      <c r="A153" s="64"/>
      <c r="B153" s="64"/>
      <c r="C153" s="64" t="s">
        <v>185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 t="s">
        <v>243</v>
      </c>
    </row>
    <row r="154" customHeight="1" spans="1:10">
      <c r="A154" s="64"/>
      <c r="B154" s="87" t="s">
        <v>245</v>
      </c>
      <c r="C154" s="88" t="s">
        <v>179</v>
      </c>
      <c r="D154" s="88">
        <v>30</v>
      </c>
      <c r="E154" s="88">
        <v>24</v>
      </c>
      <c r="F154" s="88">
        <v>720</v>
      </c>
      <c r="G154" s="88">
        <v>720</v>
      </c>
      <c r="H154" s="89">
        <v>1</v>
      </c>
      <c r="I154" s="89">
        <v>1</v>
      </c>
      <c r="J154" s="64"/>
    </row>
    <row r="155" customHeight="1" spans="1:10">
      <c r="A155" s="64"/>
      <c r="B155" s="88"/>
      <c r="C155" s="88" t="s">
        <v>181</v>
      </c>
      <c r="D155" s="88">
        <v>30</v>
      </c>
      <c r="E155" s="88">
        <v>24</v>
      </c>
      <c r="F155" s="88">
        <v>720</v>
      </c>
      <c r="G155" s="88">
        <v>0</v>
      </c>
      <c r="H155" s="89">
        <v>0</v>
      </c>
      <c r="I155" s="89">
        <v>1</v>
      </c>
      <c r="J155" s="64"/>
    </row>
    <row r="156" customHeight="1" spans="1:10">
      <c r="A156" s="64"/>
      <c r="B156" s="88"/>
      <c r="C156" s="88" t="s">
        <v>185</v>
      </c>
      <c r="D156" s="88">
        <v>30</v>
      </c>
      <c r="E156" s="88">
        <v>24</v>
      </c>
      <c r="F156" s="88">
        <v>720</v>
      </c>
      <c r="G156" s="88">
        <v>720</v>
      </c>
      <c r="H156" s="89">
        <v>1</v>
      </c>
      <c r="I156" s="89">
        <v>1</v>
      </c>
      <c r="J156" s="64"/>
    </row>
    <row r="157" customHeight="1" spans="1:10">
      <c r="A157" s="64"/>
      <c r="B157" s="88"/>
      <c r="C157" s="88" t="s">
        <v>186</v>
      </c>
      <c r="D157" s="88">
        <v>30</v>
      </c>
      <c r="E157" s="88">
        <v>24</v>
      </c>
      <c r="F157" s="88">
        <v>720</v>
      </c>
      <c r="G157" s="88">
        <v>720</v>
      </c>
      <c r="H157" s="89">
        <v>1</v>
      </c>
      <c r="I157" s="89">
        <v>1</v>
      </c>
      <c r="J157" s="64"/>
    </row>
    <row r="158" customHeight="1" spans="1:10">
      <c r="A158" s="64"/>
      <c r="B158" s="88"/>
      <c r="C158" s="88" t="s">
        <v>188</v>
      </c>
      <c r="D158" s="88">
        <v>30</v>
      </c>
      <c r="E158" s="88">
        <v>24</v>
      </c>
      <c r="F158" s="88">
        <v>720</v>
      </c>
      <c r="G158" s="88">
        <v>0</v>
      </c>
      <c r="H158" s="89">
        <v>0</v>
      </c>
      <c r="I158" s="89">
        <v>1</v>
      </c>
      <c r="J158" s="64"/>
    </row>
    <row r="159" customHeight="1" spans="1:10">
      <c r="A159" s="64"/>
      <c r="B159" s="88"/>
      <c r="C159" s="88" t="s">
        <v>190</v>
      </c>
      <c r="D159" s="88">
        <v>30</v>
      </c>
      <c r="E159" s="88">
        <v>24</v>
      </c>
      <c r="F159" s="88">
        <v>720</v>
      </c>
      <c r="G159" s="88">
        <v>720</v>
      </c>
      <c r="H159" s="89">
        <v>1</v>
      </c>
      <c r="I159" s="89">
        <v>1</v>
      </c>
      <c r="J159" s="64"/>
    </row>
    <row r="160" customHeight="1" spans="1:10">
      <c r="A160" s="63" t="s">
        <v>246</v>
      </c>
      <c r="B160" s="63" t="s">
        <v>247</v>
      </c>
      <c r="C160" s="64" t="s">
        <v>179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181</v>
      </c>
      <c r="D161" s="64">
        <v>30</v>
      </c>
      <c r="E161" s="64">
        <v>24</v>
      </c>
      <c r="F161" s="64">
        <v>720</v>
      </c>
      <c r="G161" s="64">
        <v>0</v>
      </c>
      <c r="H161" s="65">
        <v>0</v>
      </c>
      <c r="I161" s="65">
        <v>0</v>
      </c>
      <c r="J161" s="64"/>
    </row>
    <row r="162" customHeight="1" spans="1:10">
      <c r="A162" s="64"/>
      <c r="B162" s="64"/>
      <c r="C162" s="64" t="s">
        <v>185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188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190</v>
      </c>
      <c r="D165" s="64">
        <v>30</v>
      </c>
      <c r="E165" s="64">
        <v>24</v>
      </c>
      <c r="F165" s="64">
        <v>720</v>
      </c>
      <c r="G165" s="64">
        <v>0</v>
      </c>
      <c r="H165" s="65">
        <v>0</v>
      </c>
      <c r="I165" s="65">
        <v>0</v>
      </c>
      <c r="J165" s="64"/>
    </row>
    <row r="166" customHeight="1" spans="1:10">
      <c r="A166" s="64"/>
      <c r="B166" s="64"/>
      <c r="C166" s="64" t="s">
        <v>200</v>
      </c>
      <c r="D166" s="64">
        <v>30</v>
      </c>
      <c r="E166" s="64">
        <v>24</v>
      </c>
      <c r="F166" s="64">
        <v>720</v>
      </c>
      <c r="G166" s="64">
        <v>0</v>
      </c>
      <c r="H166" s="65">
        <v>0</v>
      </c>
      <c r="I166" s="65">
        <v>0</v>
      </c>
      <c r="J166" s="64"/>
    </row>
    <row r="167" customHeight="1" spans="1:10">
      <c r="A167" s="64"/>
      <c r="B167" s="64"/>
      <c r="C167" s="64" t="s">
        <v>201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202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203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204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205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206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207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208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209</v>
      </c>
      <c r="D175" s="64">
        <v>30</v>
      </c>
      <c r="E175" s="64">
        <v>24</v>
      </c>
      <c r="F175" s="64">
        <v>720</v>
      </c>
      <c r="G175" s="64">
        <v>0</v>
      </c>
      <c r="H175" s="65">
        <v>0</v>
      </c>
      <c r="I175" s="65">
        <v>0</v>
      </c>
      <c r="J175" s="64"/>
    </row>
    <row r="176" ht="14.25" spans="1:10">
      <c r="A176" s="64"/>
      <c r="B176" s="64"/>
      <c r="C176" s="64" t="s">
        <v>210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0</v>
      </c>
      <c r="J176" s="64"/>
    </row>
    <row r="177" ht="14.25" spans="1:10">
      <c r="A177" s="64"/>
      <c r="B177" s="64"/>
      <c r="C177" s="64" t="s">
        <v>211</v>
      </c>
      <c r="D177" s="64">
        <v>30</v>
      </c>
      <c r="E177" s="64">
        <v>24</v>
      </c>
      <c r="F177" s="64">
        <v>720</v>
      </c>
      <c r="G177" s="64">
        <v>0</v>
      </c>
      <c r="H177" s="65">
        <v>0</v>
      </c>
      <c r="I177" s="65">
        <v>0</v>
      </c>
      <c r="J177" s="64"/>
    </row>
    <row r="178" customHeight="1" spans="1:10">
      <c r="A178" s="67" t="s">
        <v>71</v>
      </c>
      <c r="B178" s="67"/>
      <c r="C178" s="15"/>
      <c r="D178" s="15"/>
      <c r="E178" s="68" t="s">
        <v>72</v>
      </c>
      <c r="F178" s="68"/>
      <c r="G178" s="69"/>
      <c r="H178" s="10" t="str">
        <f>H38</f>
        <v>制表时间：2023/5/7</v>
      </c>
      <c r="I178" s="10"/>
      <c r="J178" s="10"/>
    </row>
    <row r="179" ht="23" customHeight="1"/>
    <row r="180" ht="28" customHeight="1" spans="1:10">
      <c r="A180" s="56" t="s">
        <v>162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45017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163</v>
      </c>
      <c r="B182" s="6" t="s">
        <v>164</v>
      </c>
      <c r="C182" s="6" t="s">
        <v>165</v>
      </c>
      <c r="D182" s="6" t="s">
        <v>166</v>
      </c>
      <c r="E182" s="59" t="s">
        <v>167</v>
      </c>
      <c r="F182" s="59" t="s">
        <v>168</v>
      </c>
      <c r="G182" s="60" t="s">
        <v>169</v>
      </c>
      <c r="H182" s="61" t="s">
        <v>170</v>
      </c>
      <c r="I182" s="59" t="s">
        <v>171</v>
      </c>
      <c r="J182" s="6" t="s">
        <v>172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173</v>
      </c>
      <c r="E184" s="59" t="s">
        <v>174</v>
      </c>
      <c r="F184" s="59" t="s">
        <v>175</v>
      </c>
      <c r="G184" s="60" t="s">
        <v>175</v>
      </c>
      <c r="H184" s="61" t="s">
        <v>176</v>
      </c>
      <c r="I184" s="59" t="s">
        <v>176</v>
      </c>
      <c r="J184" s="6"/>
    </row>
    <row r="185" customHeight="1" spans="1:10">
      <c r="A185" s="63" t="s">
        <v>246</v>
      </c>
      <c r="B185" s="63" t="s">
        <v>247</v>
      </c>
      <c r="C185" s="64" t="s">
        <v>213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214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215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216</v>
      </c>
      <c r="D188" s="64">
        <v>30</v>
      </c>
      <c r="E188" s="64">
        <v>24</v>
      </c>
      <c r="F188" s="64">
        <v>720</v>
      </c>
      <c r="G188" s="64">
        <v>720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217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218</v>
      </c>
      <c r="D190" s="64">
        <v>30</v>
      </c>
      <c r="E190" s="64">
        <v>24</v>
      </c>
      <c r="F190" s="64">
        <v>720</v>
      </c>
      <c r="G190" s="64">
        <v>720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219</v>
      </c>
      <c r="D191" s="64">
        <v>30</v>
      </c>
      <c r="E191" s="64">
        <v>24</v>
      </c>
      <c r="F191" s="64">
        <v>720</v>
      </c>
      <c r="G191" s="64">
        <v>0</v>
      </c>
      <c r="H191" s="65">
        <v>0</v>
      </c>
      <c r="I191" s="65">
        <v>0</v>
      </c>
      <c r="J191" s="64"/>
    </row>
    <row r="192" customHeight="1" spans="1:10">
      <c r="A192" s="64"/>
      <c r="B192" s="64"/>
      <c r="C192" s="64" t="s">
        <v>220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221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222</v>
      </c>
      <c r="D194" s="64">
        <v>30</v>
      </c>
      <c r="E194" s="64">
        <v>24</v>
      </c>
      <c r="F194" s="64">
        <v>720</v>
      </c>
      <c r="G194" s="64">
        <v>0</v>
      </c>
      <c r="H194" s="65">
        <v>0</v>
      </c>
      <c r="I194" s="65">
        <v>1</v>
      </c>
      <c r="J194" s="64" t="s">
        <v>238</v>
      </c>
    </row>
    <row r="195" customHeight="1" spans="1:10">
      <c r="A195" s="64"/>
      <c r="B195" s="64"/>
      <c r="C195" s="64" t="s">
        <v>223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224</v>
      </c>
      <c r="D196" s="5">
        <v>30</v>
      </c>
      <c r="E196" s="5">
        <v>24</v>
      </c>
      <c r="F196" s="5">
        <v>720</v>
      </c>
      <c r="G196" s="5">
        <v>0</v>
      </c>
      <c r="H196" s="66">
        <v>0</v>
      </c>
      <c r="I196" s="66">
        <v>1</v>
      </c>
      <c r="J196" s="64" t="s">
        <v>238</v>
      </c>
    </row>
    <row r="197" customHeight="1" spans="1:10">
      <c r="A197" s="64"/>
      <c r="B197" s="64"/>
      <c r="C197" s="64" t="s">
        <v>225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226</v>
      </c>
      <c r="D198" s="64">
        <v>30</v>
      </c>
      <c r="E198" s="64">
        <v>24</v>
      </c>
      <c r="F198" s="64">
        <v>720</v>
      </c>
      <c r="G198" s="64">
        <v>720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227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228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229</v>
      </c>
      <c r="D201" s="64">
        <v>30</v>
      </c>
      <c r="E201" s="64">
        <v>24</v>
      </c>
      <c r="F201" s="64">
        <v>720</v>
      </c>
      <c r="G201" s="64">
        <v>0</v>
      </c>
      <c r="H201" s="65">
        <v>0</v>
      </c>
      <c r="I201" s="65">
        <v>1</v>
      </c>
      <c r="J201" s="64" t="s">
        <v>238</v>
      </c>
    </row>
    <row r="202" customHeight="1" spans="1:10">
      <c r="A202" s="64"/>
      <c r="B202" s="64"/>
      <c r="C202" s="64" t="s">
        <v>230</v>
      </c>
      <c r="D202" s="64">
        <v>30</v>
      </c>
      <c r="E202" s="64">
        <v>24</v>
      </c>
      <c r="F202" s="64">
        <v>720</v>
      </c>
      <c r="G202" s="64">
        <v>0</v>
      </c>
      <c r="H202" s="65">
        <v>0</v>
      </c>
      <c r="I202" s="65">
        <v>1</v>
      </c>
      <c r="J202" s="64" t="s">
        <v>238</v>
      </c>
    </row>
    <row r="203" customHeight="1" spans="1:10">
      <c r="A203" s="64"/>
      <c r="B203" s="63" t="s">
        <v>240</v>
      </c>
      <c r="C203" s="64" t="s">
        <v>185</v>
      </c>
      <c r="D203" s="64">
        <v>30</v>
      </c>
      <c r="E203" s="64">
        <v>24</v>
      </c>
      <c r="F203" s="64">
        <v>720</v>
      </c>
      <c r="G203" s="64">
        <v>720</v>
      </c>
      <c r="H203" s="65">
        <v>1</v>
      </c>
      <c r="I203" s="65">
        <v>1</v>
      </c>
      <c r="J203" s="64"/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/>
    </row>
    <row r="205" customHeight="1" spans="1:10">
      <c r="A205" s="64"/>
      <c r="B205" s="63" t="s">
        <v>244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718</v>
      </c>
      <c r="H205" s="65">
        <v>0.99</v>
      </c>
      <c r="I205" s="65">
        <v>1</v>
      </c>
      <c r="J205" s="64" t="s">
        <v>243</v>
      </c>
    </row>
    <row r="206" customHeight="1" spans="1:10">
      <c r="A206" s="64"/>
      <c r="B206" s="64"/>
      <c r="C206" s="64" t="s">
        <v>188</v>
      </c>
      <c r="D206" s="64">
        <v>30</v>
      </c>
      <c r="E206" s="64">
        <v>24</v>
      </c>
      <c r="F206" s="64">
        <v>720</v>
      </c>
      <c r="G206" s="64">
        <v>718</v>
      </c>
      <c r="H206" s="65">
        <v>0.99</v>
      </c>
      <c r="I206" s="65">
        <v>1</v>
      </c>
      <c r="J206" s="64" t="s">
        <v>243</v>
      </c>
    </row>
    <row r="207" customHeight="1" spans="1:10">
      <c r="A207" s="64"/>
      <c r="B207" s="64"/>
      <c r="C207" s="64" t="s">
        <v>190</v>
      </c>
      <c r="D207" s="64">
        <v>30</v>
      </c>
      <c r="E207" s="64">
        <v>24</v>
      </c>
      <c r="F207" s="64">
        <v>720</v>
      </c>
      <c r="G207" s="64">
        <v>710</v>
      </c>
      <c r="H207" s="65">
        <v>0.986111111111111</v>
      </c>
      <c r="I207" s="65">
        <v>1</v>
      </c>
      <c r="J207" s="64" t="s">
        <v>243</v>
      </c>
    </row>
    <row r="208" customHeight="1" spans="1:10">
      <c r="A208" s="64"/>
      <c r="B208" s="63" t="s">
        <v>245</v>
      </c>
      <c r="C208" s="64" t="s">
        <v>179</v>
      </c>
      <c r="D208" s="64">
        <v>30</v>
      </c>
      <c r="E208" s="64">
        <v>24</v>
      </c>
      <c r="F208" s="64">
        <v>720</v>
      </c>
      <c r="G208" s="64">
        <v>264</v>
      </c>
      <c r="H208" s="65">
        <v>0.366666666666667</v>
      </c>
      <c r="I208" s="65">
        <v>1</v>
      </c>
      <c r="J208" s="64"/>
    </row>
    <row r="209" customHeight="1" spans="1:10">
      <c r="A209" s="64"/>
      <c r="B209" s="64"/>
      <c r="C209" s="64" t="s">
        <v>181</v>
      </c>
      <c r="D209" s="64">
        <v>30</v>
      </c>
      <c r="E209" s="64">
        <v>24</v>
      </c>
      <c r="F209" s="64">
        <v>720</v>
      </c>
      <c r="G209" s="64">
        <v>552</v>
      </c>
      <c r="H209" s="65">
        <v>0.766666666666667</v>
      </c>
      <c r="I209" s="65">
        <v>1</v>
      </c>
      <c r="J209" s="64"/>
    </row>
    <row r="210" customHeight="1" spans="1:10">
      <c r="A210" s="64"/>
      <c r="B210" s="64"/>
      <c r="C210" s="64" t="s">
        <v>185</v>
      </c>
      <c r="D210" s="64">
        <v>30</v>
      </c>
      <c r="E210" s="64">
        <v>24</v>
      </c>
      <c r="F210" s="64">
        <v>720</v>
      </c>
      <c r="G210" s="64">
        <v>720</v>
      </c>
      <c r="H210" s="65">
        <v>1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264</v>
      </c>
      <c r="H211" s="65">
        <v>0.366666666666667</v>
      </c>
      <c r="I211" s="65">
        <v>1</v>
      </c>
      <c r="J211" s="64"/>
    </row>
    <row r="212" customHeight="1" spans="1:10">
      <c r="A212" s="64"/>
      <c r="B212" s="64"/>
      <c r="C212" s="5" t="s">
        <v>188</v>
      </c>
      <c r="D212" s="64">
        <v>30</v>
      </c>
      <c r="E212" s="64">
        <v>24</v>
      </c>
      <c r="F212" s="64">
        <v>720</v>
      </c>
      <c r="G212" s="64">
        <v>552</v>
      </c>
      <c r="H212" s="65">
        <v>0.766666666666667</v>
      </c>
      <c r="I212" s="65">
        <v>1</v>
      </c>
      <c r="J212" s="64"/>
    </row>
    <row r="213" customHeight="1" spans="1:10">
      <c r="A213" s="64"/>
      <c r="B213" s="64"/>
      <c r="C213" s="64" t="s">
        <v>190</v>
      </c>
      <c r="D213" s="64">
        <v>30</v>
      </c>
      <c r="E213" s="64">
        <v>24</v>
      </c>
      <c r="F213" s="64">
        <v>720</v>
      </c>
      <c r="G213" s="64">
        <v>720</v>
      </c>
      <c r="H213" s="65">
        <v>1</v>
      </c>
      <c r="I213" s="65">
        <v>1</v>
      </c>
      <c r="J213" s="64"/>
    </row>
    <row r="214" customHeight="1" spans="1:10">
      <c r="A214" s="80" t="s">
        <v>248</v>
      </c>
      <c r="B214" s="63" t="s">
        <v>249</v>
      </c>
      <c r="C214" s="5" t="s">
        <v>179</v>
      </c>
      <c r="D214" s="64">
        <v>30</v>
      </c>
      <c r="E214" s="64">
        <v>24</v>
      </c>
      <c r="F214" s="64">
        <v>720</v>
      </c>
      <c r="G214" s="64">
        <v>720</v>
      </c>
      <c r="H214" s="65">
        <v>1</v>
      </c>
      <c r="I214" s="65">
        <v>1</v>
      </c>
      <c r="J214" s="64"/>
    </row>
    <row r="215" customHeight="1" spans="1:10">
      <c r="A215" s="81"/>
      <c r="B215" s="64"/>
      <c r="C215" s="64" t="s">
        <v>181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1"/>
      <c r="B216" s="64"/>
      <c r="C216" s="64" t="s">
        <v>185</v>
      </c>
      <c r="D216" s="64">
        <v>30</v>
      </c>
      <c r="E216" s="64">
        <v>24</v>
      </c>
      <c r="F216" s="64">
        <v>720</v>
      </c>
      <c r="G216" s="64">
        <v>720</v>
      </c>
      <c r="H216" s="65">
        <v>1</v>
      </c>
      <c r="I216" s="65">
        <v>1</v>
      </c>
      <c r="J216" s="64"/>
    </row>
    <row r="217" customHeight="1" spans="1:10">
      <c r="A217" s="81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718</v>
      </c>
      <c r="H217" s="65">
        <v>0.997222222222222</v>
      </c>
      <c r="I217" s="65">
        <v>1</v>
      </c>
      <c r="J217" s="64"/>
    </row>
    <row r="218" customHeight="1" spans="1:10">
      <c r="A218" s="81"/>
      <c r="B218" s="63" t="s">
        <v>250</v>
      </c>
      <c r="C218" s="64" t="s">
        <v>179</v>
      </c>
      <c r="D218" s="64">
        <v>30</v>
      </c>
      <c r="E218" s="64">
        <v>24</v>
      </c>
      <c r="F218" s="64">
        <v>720</v>
      </c>
      <c r="G218" s="64">
        <v>720</v>
      </c>
      <c r="H218" s="66">
        <v>1</v>
      </c>
      <c r="I218" s="66">
        <v>1</v>
      </c>
      <c r="J218" s="5"/>
    </row>
    <row r="219" customHeight="1" spans="1:10">
      <c r="A219" s="81"/>
      <c r="B219" s="64"/>
      <c r="C219" s="64" t="s">
        <v>181</v>
      </c>
      <c r="D219" s="64">
        <v>30</v>
      </c>
      <c r="E219" s="64">
        <v>24</v>
      </c>
      <c r="F219" s="64">
        <v>720</v>
      </c>
      <c r="G219" s="64">
        <v>720</v>
      </c>
      <c r="H219" s="66">
        <v>1</v>
      </c>
      <c r="I219" s="66">
        <v>1</v>
      </c>
      <c r="J219" s="5"/>
    </row>
    <row r="220" customHeight="1" spans="1:10">
      <c r="A220" s="81"/>
      <c r="B220" s="64"/>
      <c r="C220" s="64" t="s">
        <v>185</v>
      </c>
      <c r="D220" s="64">
        <v>30</v>
      </c>
      <c r="E220" s="64">
        <v>24</v>
      </c>
      <c r="F220" s="64">
        <v>720</v>
      </c>
      <c r="G220" s="64">
        <v>720</v>
      </c>
      <c r="H220" s="66">
        <v>1</v>
      </c>
      <c r="I220" s="66">
        <v>1</v>
      </c>
      <c r="J220" s="5"/>
    </row>
    <row r="221" ht="14.25" spans="1:10">
      <c r="A221" s="83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720</v>
      </c>
      <c r="H221" s="66">
        <v>1</v>
      </c>
      <c r="I221" s="66">
        <v>1</v>
      </c>
      <c r="J221" s="5"/>
    </row>
    <row r="222" customHeight="1" spans="1:10">
      <c r="A222" s="67" t="s">
        <v>71</v>
      </c>
      <c r="B222" s="67"/>
      <c r="C222" s="15"/>
      <c r="D222" s="15"/>
      <c r="E222" s="68" t="s">
        <v>72</v>
      </c>
      <c r="F222" s="68"/>
      <c r="G222" s="69"/>
      <c r="H222" s="10" t="str">
        <f>H38</f>
        <v>制表时间：2023/5/7</v>
      </c>
      <c r="I222" s="10"/>
      <c r="J222" s="10"/>
    </row>
    <row r="223" ht="17" customHeight="1"/>
    <row r="224" ht="16" customHeight="1"/>
    <row r="225" ht="27" customHeight="1" spans="1:10">
      <c r="A225" s="56" t="s">
        <v>162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70">
        <f>A2</f>
        <v>45017</v>
      </c>
      <c r="B226" s="70"/>
      <c r="C226" s="70"/>
      <c r="D226" s="70"/>
      <c r="E226" s="70"/>
      <c r="F226" s="70"/>
      <c r="G226" s="70"/>
      <c r="H226" s="70"/>
      <c r="I226" s="70"/>
      <c r="J226" s="70"/>
    </row>
    <row r="227" customHeight="1" spans="1:10">
      <c r="A227" s="6" t="s">
        <v>163</v>
      </c>
      <c r="B227" s="6" t="s">
        <v>164</v>
      </c>
      <c r="C227" s="6" t="s">
        <v>165</v>
      </c>
      <c r="D227" s="6" t="s">
        <v>166</v>
      </c>
      <c r="E227" s="59" t="s">
        <v>167</v>
      </c>
      <c r="F227" s="59" t="s">
        <v>168</v>
      </c>
      <c r="G227" s="60" t="s">
        <v>169</v>
      </c>
      <c r="H227" s="61" t="s">
        <v>170</v>
      </c>
      <c r="I227" s="59" t="s">
        <v>171</v>
      </c>
      <c r="J227" s="6" t="s">
        <v>172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173</v>
      </c>
      <c r="E229" s="59" t="s">
        <v>174</v>
      </c>
      <c r="F229" s="59" t="s">
        <v>175</v>
      </c>
      <c r="G229" s="60" t="s">
        <v>175</v>
      </c>
      <c r="H229" s="61" t="s">
        <v>176</v>
      </c>
      <c r="I229" s="59" t="s">
        <v>176</v>
      </c>
      <c r="J229" s="6"/>
    </row>
    <row r="230" customHeight="1" spans="1:10">
      <c r="A230" s="63" t="s">
        <v>248</v>
      </c>
      <c r="B230" s="63" t="s">
        <v>251</v>
      </c>
      <c r="C230" s="64" t="s">
        <v>179</v>
      </c>
      <c r="D230" s="64">
        <v>30</v>
      </c>
      <c r="E230" s="64">
        <v>24</v>
      </c>
      <c r="F230" s="64">
        <v>720</v>
      </c>
      <c r="G230" s="64">
        <v>4</v>
      </c>
      <c r="H230" s="65">
        <v>0.00555555555555556</v>
      </c>
      <c r="I230" s="65">
        <v>1</v>
      </c>
      <c r="J230" s="64"/>
    </row>
    <row r="231" customHeight="1" spans="1:10">
      <c r="A231" s="63"/>
      <c r="B231" s="64"/>
      <c r="C231" s="64" t="s">
        <v>181</v>
      </c>
      <c r="D231" s="64">
        <v>30</v>
      </c>
      <c r="E231" s="64">
        <v>24</v>
      </c>
      <c r="F231" s="64">
        <v>720</v>
      </c>
      <c r="G231" s="64">
        <v>4</v>
      </c>
      <c r="H231" s="65">
        <v>0.00555555555555556</v>
      </c>
      <c r="I231" s="65">
        <v>1</v>
      </c>
      <c r="J231" s="64"/>
    </row>
    <row r="232" customHeight="1" spans="1:10">
      <c r="A232" s="63"/>
      <c r="B232" s="64"/>
      <c r="C232" s="64" t="s">
        <v>185</v>
      </c>
      <c r="D232" s="64">
        <v>30</v>
      </c>
      <c r="E232" s="64">
        <v>24</v>
      </c>
      <c r="F232" s="64">
        <v>720</v>
      </c>
      <c r="G232" s="64">
        <v>4</v>
      </c>
      <c r="H232" s="65">
        <v>0.00555555555555556</v>
      </c>
      <c r="I232" s="65">
        <v>1</v>
      </c>
      <c r="J232" s="64"/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4</v>
      </c>
      <c r="H233" s="65">
        <v>0.00555555555555556</v>
      </c>
      <c r="I233" s="65">
        <v>1</v>
      </c>
      <c r="J233" s="64"/>
    </row>
    <row r="234" customHeight="1" spans="1:10">
      <c r="A234" s="63"/>
      <c r="B234" s="63" t="s">
        <v>252</v>
      </c>
      <c r="C234" s="64" t="s">
        <v>179</v>
      </c>
      <c r="D234" s="64">
        <v>30</v>
      </c>
      <c r="E234" s="64">
        <v>24</v>
      </c>
      <c r="F234" s="64">
        <v>720</v>
      </c>
      <c r="G234" s="64">
        <v>4</v>
      </c>
      <c r="H234" s="65">
        <v>0.00555555555555556</v>
      </c>
      <c r="I234" s="65">
        <v>1</v>
      </c>
      <c r="J234" s="64"/>
    </row>
    <row r="235" customHeight="1" spans="1:10">
      <c r="A235" s="63"/>
      <c r="B235" s="64"/>
      <c r="C235" s="64" t="s">
        <v>181</v>
      </c>
      <c r="D235" s="64">
        <v>30</v>
      </c>
      <c r="E235" s="64">
        <v>24</v>
      </c>
      <c r="F235" s="64">
        <v>720</v>
      </c>
      <c r="G235" s="64">
        <v>10</v>
      </c>
      <c r="H235" s="65">
        <v>0.0138888888888889</v>
      </c>
      <c r="I235" s="65">
        <v>1</v>
      </c>
      <c r="J235" s="64"/>
    </row>
    <row r="236" customHeight="1" spans="1:10">
      <c r="A236" s="63"/>
      <c r="B236" s="64"/>
      <c r="C236" s="64" t="s">
        <v>185</v>
      </c>
      <c r="D236" s="64">
        <v>30</v>
      </c>
      <c r="E236" s="64">
        <v>24</v>
      </c>
      <c r="F236" s="64">
        <v>720</v>
      </c>
      <c r="G236" s="64">
        <v>10</v>
      </c>
      <c r="H236" s="65">
        <v>0.0138888888888889</v>
      </c>
      <c r="I236" s="65">
        <v>1</v>
      </c>
      <c r="J236" s="64"/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4</v>
      </c>
      <c r="H237" s="65">
        <v>0.00555555555555556</v>
      </c>
      <c r="I237" s="65">
        <v>1</v>
      </c>
      <c r="J237" s="64"/>
    </row>
    <row r="238" customHeight="1" spans="1:10">
      <c r="A238" s="63"/>
      <c r="B238" s="64"/>
      <c r="C238" s="64" t="s">
        <v>188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/>
    </row>
    <row r="239" customHeight="1" spans="1:10">
      <c r="A239" s="63"/>
      <c r="B239" s="64"/>
      <c r="C239" s="64" t="s">
        <v>190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3" t="s">
        <v>253</v>
      </c>
      <c r="C240" s="64" t="s">
        <v>179</v>
      </c>
      <c r="D240" s="64">
        <v>30</v>
      </c>
      <c r="E240" s="64">
        <v>24</v>
      </c>
      <c r="F240" s="64">
        <v>720</v>
      </c>
      <c r="G240" s="64">
        <v>120</v>
      </c>
      <c r="H240" s="65">
        <v>0.166666666666667</v>
      </c>
      <c r="I240" s="65">
        <v>1</v>
      </c>
      <c r="J240" s="64"/>
    </row>
    <row r="241" customHeight="1" spans="1:10">
      <c r="A241" s="63"/>
      <c r="B241" s="64"/>
      <c r="C241" s="64" t="s">
        <v>181</v>
      </c>
      <c r="D241" s="64">
        <v>30</v>
      </c>
      <c r="E241" s="64">
        <v>24</v>
      </c>
      <c r="F241" s="64">
        <v>720</v>
      </c>
      <c r="G241" s="64">
        <v>120</v>
      </c>
      <c r="H241" s="65">
        <v>0.166666666666667</v>
      </c>
      <c r="I241" s="65">
        <v>1</v>
      </c>
      <c r="J241" s="64"/>
    </row>
    <row r="242" customHeight="1" spans="1:10">
      <c r="A242" s="63"/>
      <c r="B242" s="64"/>
      <c r="C242" s="64" t="s">
        <v>185</v>
      </c>
      <c r="D242" s="64">
        <v>30</v>
      </c>
      <c r="E242" s="64">
        <v>24</v>
      </c>
      <c r="F242" s="64">
        <v>720</v>
      </c>
      <c r="G242" s="64">
        <v>120</v>
      </c>
      <c r="H242" s="65">
        <v>0.166666666666667</v>
      </c>
      <c r="I242" s="65">
        <v>1</v>
      </c>
      <c r="J242" s="64"/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120</v>
      </c>
      <c r="H243" s="65">
        <v>0.166666666666667</v>
      </c>
      <c r="I243" s="65">
        <v>1</v>
      </c>
      <c r="J243" s="64"/>
    </row>
    <row r="244" customHeight="1" spans="1:10">
      <c r="A244" s="63"/>
      <c r="B244" s="6" t="s">
        <v>254</v>
      </c>
      <c r="C244" s="64" t="s">
        <v>179</v>
      </c>
      <c r="D244" s="64">
        <v>30</v>
      </c>
      <c r="E244" s="64">
        <v>24</v>
      </c>
      <c r="F244" s="64">
        <v>720</v>
      </c>
      <c r="G244" s="64">
        <v>6</v>
      </c>
      <c r="H244" s="65">
        <v>0.00833333333333333</v>
      </c>
      <c r="I244" s="65">
        <v>1</v>
      </c>
      <c r="J244" s="64"/>
    </row>
    <row r="245" customHeight="1" spans="1:10">
      <c r="A245" s="63"/>
      <c r="B245" s="5"/>
      <c r="C245" s="64" t="s">
        <v>181</v>
      </c>
      <c r="D245" s="64">
        <v>30</v>
      </c>
      <c r="E245" s="64">
        <v>24</v>
      </c>
      <c r="F245" s="64">
        <v>720</v>
      </c>
      <c r="G245" s="64">
        <v>0</v>
      </c>
      <c r="H245" s="65">
        <v>0</v>
      </c>
      <c r="I245" s="65">
        <v>1</v>
      </c>
      <c r="J245" s="64"/>
    </row>
    <row r="246" customHeight="1" spans="1:10">
      <c r="A246" s="63"/>
      <c r="B246" s="5"/>
      <c r="C246" s="64" t="s">
        <v>185</v>
      </c>
      <c r="D246" s="64">
        <v>30</v>
      </c>
      <c r="E246" s="64">
        <v>24</v>
      </c>
      <c r="F246" s="64">
        <v>720</v>
      </c>
      <c r="G246" s="64">
        <v>6</v>
      </c>
      <c r="H246" s="65">
        <v>0.00833333333333333</v>
      </c>
      <c r="I246" s="65">
        <v>1</v>
      </c>
      <c r="J246" s="64"/>
    </row>
    <row r="247" customHeight="1" spans="1:10">
      <c r="A247" s="63"/>
      <c r="B247" s="5"/>
      <c r="C247" s="64" t="s">
        <v>186</v>
      </c>
      <c r="D247" s="64">
        <v>30</v>
      </c>
      <c r="E247" s="64">
        <v>24</v>
      </c>
      <c r="F247" s="64">
        <v>720</v>
      </c>
      <c r="G247" s="64">
        <v>0</v>
      </c>
      <c r="H247" s="65">
        <v>0</v>
      </c>
      <c r="I247" s="65">
        <v>1</v>
      </c>
      <c r="J247" s="64"/>
    </row>
    <row r="248" customHeight="1" spans="1:10">
      <c r="A248" s="63"/>
      <c r="B248" s="5"/>
      <c r="C248" s="64" t="s">
        <v>188</v>
      </c>
      <c r="D248" s="64">
        <v>30</v>
      </c>
      <c r="E248" s="64">
        <v>24</v>
      </c>
      <c r="F248" s="64">
        <v>720</v>
      </c>
      <c r="G248" s="64">
        <v>0</v>
      </c>
      <c r="H248" s="65">
        <v>0</v>
      </c>
      <c r="I248" s="65">
        <v>1</v>
      </c>
      <c r="J248" s="64"/>
    </row>
    <row r="249" customHeight="1" spans="1:10">
      <c r="A249" s="63"/>
      <c r="B249" s="5"/>
      <c r="C249" s="64" t="s">
        <v>190</v>
      </c>
      <c r="D249" s="64">
        <v>30</v>
      </c>
      <c r="E249" s="64">
        <v>24</v>
      </c>
      <c r="F249" s="64">
        <v>720</v>
      </c>
      <c r="G249" s="64">
        <v>0</v>
      </c>
      <c r="H249" s="65">
        <v>0</v>
      </c>
      <c r="I249" s="65">
        <v>1</v>
      </c>
      <c r="J249" s="64"/>
    </row>
    <row r="250" customHeight="1" spans="1:10">
      <c r="A250" s="63"/>
      <c r="B250" s="6" t="s">
        <v>255</v>
      </c>
      <c r="C250" s="64" t="s">
        <v>179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/>
    </row>
    <row r="251" customHeight="1" spans="1:10">
      <c r="A251" s="63"/>
      <c r="B251" s="5"/>
      <c r="C251" s="64" t="s">
        <v>181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5"/>
      <c r="C252" s="64" t="s">
        <v>185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5"/>
      <c r="C253" s="64" t="s">
        <v>186</v>
      </c>
      <c r="D253" s="64">
        <v>30</v>
      </c>
      <c r="E253" s="64">
        <v>24</v>
      </c>
      <c r="F253" s="64">
        <v>720</v>
      </c>
      <c r="G253" s="64">
        <v>0</v>
      </c>
      <c r="H253" s="65">
        <v>0</v>
      </c>
      <c r="I253" s="65">
        <v>1</v>
      </c>
      <c r="J253" s="64"/>
    </row>
    <row r="254" customHeight="1" spans="1:10">
      <c r="A254" s="63"/>
      <c r="B254" s="5"/>
      <c r="C254" s="64" t="s">
        <v>188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/>
    </row>
    <row r="255" customHeight="1" spans="1:10">
      <c r="A255" s="63"/>
      <c r="B255" s="5"/>
      <c r="C255" s="64" t="s">
        <v>190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/>
    </row>
    <row r="256" customHeight="1" spans="1:10">
      <c r="A256" s="63"/>
      <c r="B256" s="5"/>
      <c r="C256" s="64" t="s">
        <v>200</v>
      </c>
      <c r="D256" s="64">
        <v>30</v>
      </c>
      <c r="E256" s="64">
        <v>24</v>
      </c>
      <c r="F256" s="64">
        <v>720</v>
      </c>
      <c r="G256" s="64">
        <v>0</v>
      </c>
      <c r="H256" s="65">
        <v>0</v>
      </c>
      <c r="I256" s="65">
        <v>1</v>
      </c>
      <c r="J256" s="64"/>
    </row>
    <row r="257" customHeight="1" spans="1:10">
      <c r="A257" s="63"/>
      <c r="B257" s="5"/>
      <c r="C257" s="64" t="s">
        <v>201</v>
      </c>
      <c r="D257" s="64">
        <v>30</v>
      </c>
      <c r="E257" s="64">
        <v>24</v>
      </c>
      <c r="F257" s="64">
        <v>720</v>
      </c>
      <c r="G257" s="64">
        <v>0</v>
      </c>
      <c r="H257" s="65">
        <v>0</v>
      </c>
      <c r="I257" s="65">
        <v>1</v>
      </c>
      <c r="J257" s="64"/>
    </row>
    <row r="258" customHeight="1" spans="1:10">
      <c r="A258" s="63"/>
      <c r="B258" s="6" t="s">
        <v>256</v>
      </c>
      <c r="C258" s="64" t="s">
        <v>179</v>
      </c>
      <c r="D258" s="64">
        <v>30</v>
      </c>
      <c r="E258" s="64">
        <v>24</v>
      </c>
      <c r="F258" s="64">
        <v>720</v>
      </c>
      <c r="G258" s="64">
        <v>0</v>
      </c>
      <c r="H258" s="65">
        <v>0</v>
      </c>
      <c r="I258" s="65">
        <v>1</v>
      </c>
      <c r="J258" s="64"/>
    </row>
    <row r="259" customHeight="1" spans="1:10">
      <c r="A259" s="63"/>
      <c r="B259" s="5"/>
      <c r="C259" s="64" t="s">
        <v>181</v>
      </c>
      <c r="D259" s="64">
        <v>31</v>
      </c>
      <c r="E259" s="64">
        <v>24</v>
      </c>
      <c r="F259" s="64">
        <v>720</v>
      </c>
      <c r="G259" s="64">
        <v>720</v>
      </c>
      <c r="H259" s="65">
        <v>1</v>
      </c>
      <c r="I259" s="65">
        <v>1</v>
      </c>
      <c r="J259" s="64"/>
    </row>
    <row r="260" customHeight="1" spans="1:10">
      <c r="A260" s="63"/>
      <c r="B260" s="5"/>
      <c r="C260" s="64" t="s">
        <v>185</v>
      </c>
      <c r="D260" s="64">
        <v>30</v>
      </c>
      <c r="E260" s="64">
        <v>24</v>
      </c>
      <c r="F260" s="64">
        <v>720</v>
      </c>
      <c r="G260" s="64">
        <v>720</v>
      </c>
      <c r="H260" s="65">
        <v>1</v>
      </c>
      <c r="I260" s="65">
        <v>1</v>
      </c>
      <c r="J260" s="64"/>
    </row>
    <row r="261" customHeight="1" spans="1:10">
      <c r="A261" s="63"/>
      <c r="B261" s="6" t="s">
        <v>257</v>
      </c>
      <c r="C261" s="64" t="s">
        <v>179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 t="s">
        <v>258</v>
      </c>
    </row>
    <row r="262" customHeight="1" spans="1:10">
      <c r="A262" s="63"/>
      <c r="B262" s="5"/>
      <c r="C262" s="64" t="s">
        <v>181</v>
      </c>
      <c r="D262" s="64">
        <v>30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/>
    </row>
    <row r="263" customHeight="1" spans="1:10">
      <c r="A263" s="63"/>
      <c r="B263" s="5"/>
      <c r="C263" s="64" t="s">
        <v>185</v>
      </c>
      <c r="D263" s="64">
        <v>30</v>
      </c>
      <c r="E263" s="64">
        <v>24</v>
      </c>
      <c r="F263" s="64">
        <v>720</v>
      </c>
      <c r="G263" s="64">
        <v>720</v>
      </c>
      <c r="H263" s="65">
        <v>1</v>
      </c>
      <c r="I263" s="65">
        <v>1</v>
      </c>
      <c r="J263" s="64"/>
    </row>
    <row r="264" customHeight="1" spans="1:10">
      <c r="A264" s="63"/>
      <c r="B264" s="5"/>
      <c r="C264" s="64" t="s">
        <v>186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/>
    </row>
    <row r="265" customHeight="1" spans="1:10">
      <c r="A265" s="63"/>
      <c r="B265" s="5"/>
      <c r="C265" s="64" t="s">
        <v>188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/>
    </row>
    <row r="266" ht="19" customHeight="1" spans="1:10">
      <c r="A266" s="67" t="s">
        <v>71</v>
      </c>
      <c r="B266" s="67"/>
      <c r="C266" s="15"/>
      <c r="D266" s="15"/>
      <c r="E266" s="68" t="s">
        <v>72</v>
      </c>
      <c r="F266" s="68"/>
      <c r="G266" s="69"/>
      <c r="H266" s="10" t="str">
        <f>H38</f>
        <v>制表时间：2023/5/7</v>
      </c>
      <c r="I266" s="10"/>
      <c r="J266" s="10"/>
    </row>
    <row r="267" ht="19" customHeight="1" spans="1:10">
      <c r="A267" s="90"/>
      <c r="B267" s="90"/>
      <c r="C267" s="15"/>
      <c r="D267" s="15"/>
      <c r="E267" s="91"/>
      <c r="F267" s="91"/>
      <c r="G267" s="92"/>
      <c r="H267" s="15"/>
      <c r="I267" s="15"/>
      <c r="J267" s="15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21" customHeight="1" spans="1:10">
      <c r="A269" s="56" t="s">
        <v>162</v>
      </c>
      <c r="B269" s="56"/>
      <c r="C269" s="56"/>
      <c r="D269" s="56"/>
      <c r="E269" s="56"/>
      <c r="F269" s="56"/>
      <c r="G269" s="56"/>
      <c r="H269" s="57"/>
      <c r="I269" s="56"/>
      <c r="J269" s="56"/>
    </row>
    <row r="270" customHeight="1" spans="1:10">
      <c r="A270" s="58">
        <f>A2</f>
        <v>45017</v>
      </c>
      <c r="B270" s="58"/>
      <c r="C270" s="58"/>
      <c r="D270" s="58"/>
      <c r="E270" s="58"/>
      <c r="F270" s="58"/>
      <c r="G270" s="58"/>
      <c r="H270" s="58"/>
      <c r="I270" s="58"/>
      <c r="J270" s="58"/>
    </row>
    <row r="271" customHeight="1" spans="1:10">
      <c r="A271" s="6" t="s">
        <v>163</v>
      </c>
      <c r="B271" s="6" t="s">
        <v>164</v>
      </c>
      <c r="C271" s="6" t="s">
        <v>165</v>
      </c>
      <c r="D271" s="6" t="s">
        <v>166</v>
      </c>
      <c r="E271" s="59" t="s">
        <v>167</v>
      </c>
      <c r="F271" s="59" t="s">
        <v>168</v>
      </c>
      <c r="G271" s="60" t="s">
        <v>169</v>
      </c>
      <c r="H271" s="61" t="s">
        <v>170</v>
      </c>
      <c r="I271" s="59" t="s">
        <v>171</v>
      </c>
      <c r="J271" s="6" t="s">
        <v>172</v>
      </c>
    </row>
    <row r="272" customHeight="1" spans="1:10">
      <c r="A272" s="6"/>
      <c r="B272" s="6"/>
      <c r="C272" s="6"/>
      <c r="D272" s="6"/>
      <c r="E272" s="59"/>
      <c r="F272" s="59"/>
      <c r="G272" s="60"/>
      <c r="H272" s="61"/>
      <c r="I272" s="59"/>
      <c r="J272" s="6"/>
    </row>
    <row r="273" customHeight="1" spans="1:10">
      <c r="A273" s="62"/>
      <c r="B273" s="6"/>
      <c r="C273" s="62"/>
      <c r="D273" s="6" t="s">
        <v>173</v>
      </c>
      <c r="E273" s="59" t="s">
        <v>174</v>
      </c>
      <c r="F273" s="59" t="s">
        <v>175</v>
      </c>
      <c r="G273" s="60" t="s">
        <v>175</v>
      </c>
      <c r="H273" s="61" t="s">
        <v>176</v>
      </c>
      <c r="I273" s="59" t="s">
        <v>176</v>
      </c>
      <c r="J273" s="6"/>
    </row>
    <row r="274" customHeight="1" spans="1:10">
      <c r="A274" s="63" t="s">
        <v>248</v>
      </c>
      <c r="B274" s="63" t="s">
        <v>257</v>
      </c>
      <c r="C274" s="64" t="s">
        <v>190</v>
      </c>
      <c r="D274" s="64">
        <v>30</v>
      </c>
      <c r="E274" s="64">
        <v>24</v>
      </c>
      <c r="F274" s="64">
        <v>720</v>
      </c>
      <c r="G274" s="64">
        <v>720</v>
      </c>
      <c r="H274" s="65">
        <v>1</v>
      </c>
      <c r="I274" s="65">
        <v>1</v>
      </c>
      <c r="J274" s="64"/>
    </row>
    <row r="275" customHeight="1" spans="1:10">
      <c r="A275" s="64"/>
      <c r="B275" s="63"/>
      <c r="C275" s="64" t="s">
        <v>200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/>
    </row>
    <row r="276" customHeight="1" spans="1:10">
      <c r="A276" s="64"/>
      <c r="B276" s="63"/>
      <c r="C276" s="64" t="s">
        <v>201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/>
    </row>
    <row r="277" customHeight="1" spans="1:10">
      <c r="A277" s="64"/>
      <c r="B277" s="63" t="s">
        <v>259</v>
      </c>
      <c r="C277" s="64" t="s">
        <v>202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/>
    </row>
    <row r="278" customHeight="1" spans="1:10">
      <c r="A278" s="64"/>
      <c r="B278" s="64"/>
      <c r="C278" s="64" t="s">
        <v>203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/>
    </row>
    <row r="279" customHeight="1" spans="1:10">
      <c r="A279" s="64"/>
      <c r="B279" s="64"/>
      <c r="C279" s="64" t="s">
        <v>204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/>
    </row>
    <row r="280" customHeight="1" spans="1:10">
      <c r="A280" s="64"/>
      <c r="B280" s="64"/>
      <c r="C280" s="64" t="s">
        <v>205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/>
    </row>
    <row r="281" customHeight="1" spans="1:10">
      <c r="A281" s="64"/>
      <c r="B281" s="64"/>
      <c r="C281" s="64" t="s">
        <v>206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/>
    </row>
    <row r="282" customHeight="1" spans="1:10">
      <c r="A282" s="64"/>
      <c r="B282" s="64"/>
      <c r="C282" s="64" t="s">
        <v>207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/>
    </row>
    <row r="283" customHeight="1" spans="1:10">
      <c r="A283" s="64"/>
      <c r="B283" s="64"/>
      <c r="C283" s="64" t="s">
        <v>208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/>
    </row>
    <row r="284" customHeight="1" spans="1:10">
      <c r="A284" s="64"/>
      <c r="B284" s="64"/>
      <c r="C284" s="64" t="s">
        <v>209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/>
    </row>
    <row r="285" customHeight="1" spans="1:10">
      <c r="A285" s="64"/>
      <c r="B285" s="64" t="s">
        <v>260</v>
      </c>
      <c r="C285" s="64" t="s">
        <v>179</v>
      </c>
      <c r="D285" s="64">
        <v>30</v>
      </c>
      <c r="E285" s="64">
        <v>24</v>
      </c>
      <c r="F285" s="64">
        <v>720</v>
      </c>
      <c r="G285" s="64">
        <v>47.6</v>
      </c>
      <c r="H285" s="65">
        <v>0.0661111111111111</v>
      </c>
      <c r="I285" s="65">
        <v>1</v>
      </c>
      <c r="J285" s="64" t="s">
        <v>261</v>
      </c>
    </row>
    <row r="286" customHeight="1" spans="1:10">
      <c r="A286" s="64"/>
      <c r="B286" s="64"/>
      <c r="C286" s="64" t="s">
        <v>181</v>
      </c>
      <c r="D286" s="64">
        <v>30</v>
      </c>
      <c r="E286" s="64">
        <v>24</v>
      </c>
      <c r="F286" s="64">
        <v>720</v>
      </c>
      <c r="G286" s="64">
        <v>0</v>
      </c>
      <c r="H286" s="65">
        <v>0</v>
      </c>
      <c r="I286" s="65">
        <v>1</v>
      </c>
      <c r="J286" s="64" t="s">
        <v>261</v>
      </c>
    </row>
    <row r="287" customHeight="1" spans="1:10">
      <c r="A287" s="64"/>
      <c r="B287" s="64"/>
      <c r="C287" s="64" t="s">
        <v>185</v>
      </c>
      <c r="D287" s="64">
        <v>30</v>
      </c>
      <c r="E287" s="64">
        <v>24</v>
      </c>
      <c r="F287" s="64">
        <v>720</v>
      </c>
      <c r="G287" s="64">
        <v>48.2</v>
      </c>
      <c r="H287" s="65">
        <v>0.0669444444444444</v>
      </c>
      <c r="I287" s="65">
        <v>1</v>
      </c>
      <c r="J287" s="64" t="s">
        <v>261</v>
      </c>
    </row>
    <row r="288" customHeight="1" spans="1:10">
      <c r="A288" s="64"/>
      <c r="B288" s="64" t="s">
        <v>262</v>
      </c>
      <c r="C288" s="64" t="s">
        <v>179</v>
      </c>
      <c r="D288" s="64">
        <v>30</v>
      </c>
      <c r="E288" s="64">
        <v>24</v>
      </c>
      <c r="F288" s="64">
        <v>720</v>
      </c>
      <c r="G288" s="64">
        <v>37.2</v>
      </c>
      <c r="H288" s="65">
        <v>0.0516666666666667</v>
      </c>
      <c r="I288" s="65">
        <v>1</v>
      </c>
      <c r="J288" s="64" t="s">
        <v>261</v>
      </c>
    </row>
    <row r="289" customHeight="1" spans="1:10">
      <c r="A289" s="64"/>
      <c r="B289" s="64"/>
      <c r="C289" s="64" t="s">
        <v>181</v>
      </c>
      <c r="D289" s="64">
        <v>30</v>
      </c>
      <c r="E289" s="64">
        <v>24</v>
      </c>
      <c r="F289" s="64">
        <v>720</v>
      </c>
      <c r="G289" s="64">
        <v>34.9</v>
      </c>
      <c r="H289" s="65">
        <v>0.0484722222222222</v>
      </c>
      <c r="I289" s="65">
        <v>1</v>
      </c>
      <c r="J289" s="64" t="s">
        <v>261</v>
      </c>
    </row>
    <row r="290" customHeight="1" spans="1:10">
      <c r="A290" s="64"/>
      <c r="B290" s="64"/>
      <c r="C290" s="64" t="s">
        <v>185</v>
      </c>
      <c r="D290" s="64">
        <v>30</v>
      </c>
      <c r="E290" s="64">
        <v>24</v>
      </c>
      <c r="F290" s="64">
        <v>720</v>
      </c>
      <c r="G290" s="64">
        <v>33.8</v>
      </c>
      <c r="H290" s="65">
        <v>0.0469444444444444</v>
      </c>
      <c r="I290" s="65">
        <v>1</v>
      </c>
      <c r="J290" s="64" t="s">
        <v>261</v>
      </c>
    </row>
    <row r="291" ht="17" customHeight="1" spans="1:10">
      <c r="A291" s="63" t="s">
        <v>263</v>
      </c>
      <c r="B291" s="80" t="s">
        <v>264</v>
      </c>
      <c r="C291" s="64" t="s">
        <v>179</v>
      </c>
      <c r="D291" s="64">
        <v>30</v>
      </c>
      <c r="E291" s="64">
        <v>24</v>
      </c>
      <c r="F291" s="64">
        <v>720</v>
      </c>
      <c r="G291" s="64">
        <v>718</v>
      </c>
      <c r="H291" s="65">
        <v>0.99</v>
      </c>
      <c r="I291" s="65">
        <v>1</v>
      </c>
      <c r="J291" s="64" t="s">
        <v>265</v>
      </c>
    </row>
    <row r="292" customHeight="1" spans="1:10">
      <c r="A292" s="64"/>
      <c r="B292" s="82"/>
      <c r="C292" s="64" t="s">
        <v>181</v>
      </c>
      <c r="D292" s="64">
        <v>30</v>
      </c>
      <c r="E292" s="64">
        <v>24</v>
      </c>
      <c r="F292" s="64">
        <v>720</v>
      </c>
      <c r="G292" s="64">
        <v>706</v>
      </c>
      <c r="H292" s="65">
        <v>0.980555555555556</v>
      </c>
      <c r="I292" s="65">
        <v>1</v>
      </c>
      <c r="J292" s="64" t="s">
        <v>265</v>
      </c>
    </row>
    <row r="293" customHeight="1" spans="1:10">
      <c r="A293" s="64"/>
      <c r="B293" s="82"/>
      <c r="C293" s="64" t="s">
        <v>185</v>
      </c>
      <c r="D293" s="64">
        <v>30</v>
      </c>
      <c r="E293" s="64">
        <v>24</v>
      </c>
      <c r="F293" s="64">
        <v>720</v>
      </c>
      <c r="G293" s="64">
        <v>678</v>
      </c>
      <c r="H293" s="65">
        <v>0.941666666666667</v>
      </c>
      <c r="I293" s="65">
        <v>1</v>
      </c>
      <c r="J293" s="64" t="s">
        <v>265</v>
      </c>
    </row>
    <row r="294" customHeight="1" spans="1:10">
      <c r="A294" s="64"/>
      <c r="B294" s="82"/>
      <c r="C294" s="64" t="s">
        <v>186</v>
      </c>
      <c r="D294" s="64">
        <v>30</v>
      </c>
      <c r="E294" s="64">
        <v>24</v>
      </c>
      <c r="F294" s="64">
        <v>720</v>
      </c>
      <c r="G294" s="64">
        <v>718</v>
      </c>
      <c r="H294" s="65">
        <v>0.99</v>
      </c>
      <c r="I294" s="65">
        <v>1</v>
      </c>
      <c r="J294" s="64" t="s">
        <v>265</v>
      </c>
    </row>
    <row r="295" customHeight="1" spans="1:10">
      <c r="A295" s="64"/>
      <c r="B295" s="82"/>
      <c r="C295" s="64" t="s">
        <v>188</v>
      </c>
      <c r="D295" s="64">
        <v>30</v>
      </c>
      <c r="E295" s="64">
        <v>24</v>
      </c>
      <c r="F295" s="64">
        <v>720</v>
      </c>
      <c r="G295" s="64">
        <v>492</v>
      </c>
      <c r="H295" s="65">
        <v>0.683333333333333</v>
      </c>
      <c r="I295" s="65">
        <v>1</v>
      </c>
      <c r="J295" s="64" t="s">
        <v>265</v>
      </c>
    </row>
    <row r="296" customHeight="1" spans="1:10">
      <c r="A296" s="64"/>
      <c r="B296" s="82"/>
      <c r="C296" s="64" t="s">
        <v>190</v>
      </c>
      <c r="D296" s="64">
        <v>30</v>
      </c>
      <c r="E296" s="64">
        <v>24</v>
      </c>
      <c r="F296" s="64">
        <v>720</v>
      </c>
      <c r="G296" s="64">
        <v>64</v>
      </c>
      <c r="H296" s="65">
        <v>0.0888888888888889</v>
      </c>
      <c r="I296" s="65">
        <v>1</v>
      </c>
      <c r="J296" s="64" t="s">
        <v>265</v>
      </c>
    </row>
    <row r="297" customHeight="1" spans="1:10">
      <c r="A297" s="64"/>
      <c r="B297" s="82"/>
      <c r="C297" s="64" t="s">
        <v>200</v>
      </c>
      <c r="D297" s="64">
        <v>30</v>
      </c>
      <c r="E297" s="64">
        <v>24</v>
      </c>
      <c r="F297" s="64">
        <v>720</v>
      </c>
      <c r="G297" s="64">
        <v>188</v>
      </c>
      <c r="H297" s="65">
        <v>0.261111111111111</v>
      </c>
      <c r="I297" s="65">
        <v>1</v>
      </c>
      <c r="J297" s="64" t="s">
        <v>265</v>
      </c>
    </row>
    <row r="298" ht="32" customHeight="1" spans="1:10">
      <c r="A298" s="64"/>
      <c r="B298" s="84"/>
      <c r="C298" s="64" t="s">
        <v>201</v>
      </c>
      <c r="D298" s="64">
        <v>30</v>
      </c>
      <c r="E298" s="64">
        <v>24</v>
      </c>
      <c r="F298" s="64">
        <v>720</v>
      </c>
      <c r="G298" s="64">
        <v>186</v>
      </c>
      <c r="H298" s="65">
        <v>0.258333333333333</v>
      </c>
      <c r="I298" s="65">
        <v>1</v>
      </c>
      <c r="J298" s="63" t="s">
        <v>266</v>
      </c>
    </row>
    <row r="299" customHeight="1" spans="1:10">
      <c r="A299" s="64"/>
      <c r="B299" s="80" t="s">
        <v>267</v>
      </c>
      <c r="C299" s="64" t="s">
        <v>202</v>
      </c>
      <c r="D299" s="64">
        <v>30</v>
      </c>
      <c r="E299" s="64">
        <v>24</v>
      </c>
      <c r="F299" s="64">
        <v>720</v>
      </c>
      <c r="G299" s="64">
        <v>204</v>
      </c>
      <c r="H299" s="65">
        <v>0.283333333333333</v>
      </c>
      <c r="I299" s="65">
        <v>1</v>
      </c>
      <c r="J299" s="64" t="s">
        <v>268</v>
      </c>
    </row>
    <row r="300" customHeight="1" spans="1:10">
      <c r="A300" s="64"/>
      <c r="B300" s="82"/>
      <c r="C300" s="64" t="s">
        <v>203</v>
      </c>
      <c r="D300" s="64">
        <v>30</v>
      </c>
      <c r="E300" s="64">
        <v>24</v>
      </c>
      <c r="F300" s="64">
        <v>720</v>
      </c>
      <c r="G300" s="64">
        <v>200</v>
      </c>
      <c r="H300" s="65">
        <v>0.277777777777778</v>
      </c>
      <c r="I300" s="65">
        <v>1</v>
      </c>
      <c r="J300" s="64" t="s">
        <v>265</v>
      </c>
    </row>
    <row r="301" customHeight="1" spans="1:10">
      <c r="A301" s="64"/>
      <c r="B301" s="82"/>
      <c r="C301" s="64" t="s">
        <v>204</v>
      </c>
      <c r="D301" s="64">
        <v>30</v>
      </c>
      <c r="E301" s="64">
        <v>24</v>
      </c>
      <c r="F301" s="64">
        <v>720</v>
      </c>
      <c r="G301" s="64">
        <v>558</v>
      </c>
      <c r="H301" s="65">
        <v>0.775</v>
      </c>
      <c r="I301" s="65">
        <v>1</v>
      </c>
      <c r="J301" s="64" t="s">
        <v>265</v>
      </c>
    </row>
    <row r="302" customHeight="1" spans="1:10">
      <c r="A302" s="64"/>
      <c r="B302" s="82"/>
      <c r="C302" s="64" t="s">
        <v>205</v>
      </c>
      <c r="D302" s="64">
        <v>30</v>
      </c>
      <c r="E302" s="64">
        <v>24</v>
      </c>
      <c r="F302" s="64">
        <v>720</v>
      </c>
      <c r="G302" s="64">
        <v>718</v>
      </c>
      <c r="H302" s="65">
        <v>0.99</v>
      </c>
      <c r="I302" s="65">
        <v>1</v>
      </c>
      <c r="J302" s="64" t="s">
        <v>265</v>
      </c>
    </row>
    <row r="303" customHeight="1" spans="1:10">
      <c r="A303" s="64"/>
      <c r="B303" s="64" t="s">
        <v>269</v>
      </c>
      <c r="C303" s="64" t="s">
        <v>179</v>
      </c>
      <c r="D303" s="64">
        <v>30</v>
      </c>
      <c r="E303" s="64">
        <v>24</v>
      </c>
      <c r="F303" s="64">
        <v>720</v>
      </c>
      <c r="G303" s="64">
        <v>0</v>
      </c>
      <c r="H303" s="65">
        <v>0</v>
      </c>
      <c r="I303" s="65">
        <v>1</v>
      </c>
      <c r="J303" s="64" t="s">
        <v>243</v>
      </c>
    </row>
    <row r="304" customHeight="1" spans="1:10">
      <c r="A304" s="64"/>
      <c r="B304" s="64"/>
      <c r="C304" s="64" t="s">
        <v>181</v>
      </c>
      <c r="D304" s="64">
        <v>30</v>
      </c>
      <c r="E304" s="64">
        <v>24</v>
      </c>
      <c r="F304" s="64">
        <v>720</v>
      </c>
      <c r="G304" s="64">
        <v>720</v>
      </c>
      <c r="H304" s="65">
        <v>1</v>
      </c>
      <c r="I304" s="65">
        <v>1</v>
      </c>
      <c r="J304" s="64" t="s">
        <v>243</v>
      </c>
    </row>
    <row r="305" customHeight="1" spans="1:10">
      <c r="A305" s="64"/>
      <c r="B305" s="64"/>
      <c r="C305" s="64" t="s">
        <v>185</v>
      </c>
      <c r="D305" s="64">
        <v>30</v>
      </c>
      <c r="E305" s="64">
        <v>24</v>
      </c>
      <c r="F305" s="64">
        <v>720</v>
      </c>
      <c r="G305" s="64">
        <v>0</v>
      </c>
      <c r="H305" s="65">
        <v>0</v>
      </c>
      <c r="I305" s="65">
        <v>1</v>
      </c>
      <c r="J305" s="64" t="s">
        <v>243</v>
      </c>
    </row>
    <row r="306" customHeight="1" spans="1:10">
      <c r="A306" s="63" t="s">
        <v>270</v>
      </c>
      <c r="B306" s="64" t="s">
        <v>271</v>
      </c>
      <c r="C306" s="64" t="s">
        <v>179</v>
      </c>
      <c r="D306" s="64">
        <v>30</v>
      </c>
      <c r="E306" s="64">
        <v>24</v>
      </c>
      <c r="F306" s="64">
        <v>720</v>
      </c>
      <c r="G306" s="64">
        <v>720</v>
      </c>
      <c r="H306" s="65">
        <v>1</v>
      </c>
      <c r="I306" s="65">
        <v>1</v>
      </c>
      <c r="J306" s="64"/>
    </row>
    <row r="307" customHeight="1" spans="1:10">
      <c r="A307" s="64"/>
      <c r="B307" s="64"/>
      <c r="C307" s="64" t="s">
        <v>181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/>
    </row>
    <row r="308" customHeight="1" spans="1:10">
      <c r="A308" s="64"/>
      <c r="B308" s="64" t="s">
        <v>272</v>
      </c>
      <c r="C308" s="64" t="s">
        <v>179</v>
      </c>
      <c r="D308" s="64">
        <v>30</v>
      </c>
      <c r="E308" s="64">
        <v>24</v>
      </c>
      <c r="F308" s="64">
        <v>720</v>
      </c>
      <c r="G308" s="64">
        <v>596</v>
      </c>
      <c r="H308" s="65">
        <v>0.827777777777778</v>
      </c>
      <c r="I308" s="65">
        <v>1</v>
      </c>
      <c r="J308" s="64"/>
    </row>
    <row r="309" customHeight="1" spans="1:10">
      <c r="A309" s="64"/>
      <c r="B309" s="64"/>
      <c r="C309" s="64" t="s">
        <v>181</v>
      </c>
      <c r="D309" s="64">
        <v>30</v>
      </c>
      <c r="E309" s="64">
        <v>24</v>
      </c>
      <c r="F309" s="64">
        <v>720</v>
      </c>
      <c r="G309" s="64">
        <v>718</v>
      </c>
      <c r="H309" s="65">
        <v>0.997222222222222</v>
      </c>
      <c r="I309" s="65">
        <v>1</v>
      </c>
      <c r="J309" s="64"/>
    </row>
    <row r="310" customHeight="1" spans="1:10">
      <c r="A310" s="64"/>
      <c r="B310" s="64"/>
      <c r="C310" s="64" t="s">
        <v>185</v>
      </c>
      <c r="D310" s="64">
        <v>30</v>
      </c>
      <c r="E310" s="64">
        <v>24</v>
      </c>
      <c r="F310" s="64">
        <v>720</v>
      </c>
      <c r="G310" s="64">
        <v>0</v>
      </c>
      <c r="H310" s="65">
        <v>0</v>
      </c>
      <c r="I310" s="65">
        <v>1</v>
      </c>
      <c r="J310" s="64"/>
    </row>
    <row r="311" ht="18" customHeight="1" spans="1:10">
      <c r="A311" s="64"/>
      <c r="B311" s="64" t="s">
        <v>273</v>
      </c>
      <c r="C311" s="64" t="s">
        <v>179</v>
      </c>
      <c r="D311" s="64">
        <v>30</v>
      </c>
      <c r="E311" s="64">
        <v>24</v>
      </c>
      <c r="F311" s="64">
        <v>720</v>
      </c>
      <c r="G311" s="64">
        <v>596</v>
      </c>
      <c r="H311" s="65">
        <v>0.827777777777778</v>
      </c>
      <c r="I311" s="65">
        <v>1</v>
      </c>
      <c r="J311" s="63" t="s">
        <v>274</v>
      </c>
    </row>
    <row r="312" ht="27" customHeight="1" spans="1:10">
      <c r="A312" s="64"/>
      <c r="B312" s="64"/>
      <c r="C312" s="64" t="s">
        <v>181</v>
      </c>
      <c r="D312" s="64">
        <v>30</v>
      </c>
      <c r="E312" s="64">
        <v>24</v>
      </c>
      <c r="F312" s="64">
        <v>720</v>
      </c>
      <c r="G312" s="64">
        <v>718</v>
      </c>
      <c r="H312" s="65">
        <v>0.99</v>
      </c>
      <c r="I312" s="65">
        <v>1</v>
      </c>
      <c r="J312" s="63" t="s">
        <v>274</v>
      </c>
    </row>
    <row r="313" ht="21" customHeight="1" spans="1:10">
      <c r="A313" s="67" t="s">
        <v>71</v>
      </c>
      <c r="B313" s="67"/>
      <c r="C313" s="15"/>
      <c r="D313" s="15"/>
      <c r="E313" s="68" t="s">
        <v>72</v>
      </c>
      <c r="F313" s="68"/>
      <c r="G313" s="69"/>
      <c r="H313" s="10" t="str">
        <f>H38</f>
        <v>制表时间：2023/5/7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6:J266"/>
    <mergeCell ref="A269:J269"/>
    <mergeCell ref="A270:J270"/>
    <mergeCell ref="H313:J313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5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49"/>
    <mergeCell ref="B250:B257"/>
    <mergeCell ref="B258:B260"/>
    <mergeCell ref="B261:B265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2:C94"/>
    <mergeCell ref="C137:C139"/>
    <mergeCell ref="C182:C184"/>
    <mergeCell ref="C227:C229"/>
    <mergeCell ref="C271:C273"/>
    <mergeCell ref="D3:D4"/>
    <mergeCell ref="D48:D49"/>
    <mergeCell ref="D92:D93"/>
    <mergeCell ref="D137:D138"/>
    <mergeCell ref="D182:D183"/>
    <mergeCell ref="D227:D228"/>
    <mergeCell ref="D271:D272"/>
    <mergeCell ref="E3:E4"/>
    <mergeCell ref="E48:E49"/>
    <mergeCell ref="E92:E93"/>
    <mergeCell ref="E137:E138"/>
    <mergeCell ref="E182:E183"/>
    <mergeCell ref="E227:E228"/>
    <mergeCell ref="E271:E272"/>
    <mergeCell ref="F3:F4"/>
    <mergeCell ref="F48:F49"/>
    <mergeCell ref="F92:F93"/>
    <mergeCell ref="F137:F138"/>
    <mergeCell ref="F182:F183"/>
    <mergeCell ref="F227:F228"/>
    <mergeCell ref="F271:F272"/>
    <mergeCell ref="G3:G4"/>
    <mergeCell ref="G48:G49"/>
    <mergeCell ref="G92:G93"/>
    <mergeCell ref="G137:G138"/>
    <mergeCell ref="G182:G183"/>
    <mergeCell ref="G227:G228"/>
    <mergeCell ref="G271:G272"/>
    <mergeCell ref="H3:H4"/>
    <mergeCell ref="H48:H49"/>
    <mergeCell ref="H92:H93"/>
    <mergeCell ref="H137:H138"/>
    <mergeCell ref="H182:H183"/>
    <mergeCell ref="H227:H228"/>
    <mergeCell ref="H271:H272"/>
    <mergeCell ref="I3:I4"/>
    <mergeCell ref="I48:I49"/>
    <mergeCell ref="I92:I93"/>
    <mergeCell ref="I137:I138"/>
    <mergeCell ref="I182:I183"/>
    <mergeCell ref="I227:I228"/>
    <mergeCell ref="I271:I272"/>
    <mergeCell ref="J3:J5"/>
    <mergeCell ref="J48:J50"/>
    <mergeCell ref="J92:J94"/>
    <mergeCell ref="J137:J139"/>
    <mergeCell ref="J182:J184"/>
    <mergeCell ref="J227:J229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0" workbookViewId="0">
      <selection activeCell="H28" sqref="H28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76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45017</v>
      </c>
      <c r="E2" s="32"/>
      <c r="F2" s="30"/>
    </row>
    <row r="3" ht="20.25" customHeight="1" spans="1:7">
      <c r="A3" s="33" t="s">
        <v>275</v>
      </c>
      <c r="B3" s="33" t="s">
        <v>165</v>
      </c>
      <c r="C3" s="33" t="s">
        <v>276</v>
      </c>
      <c r="D3" s="33" t="s">
        <v>277</v>
      </c>
      <c r="E3" s="33" t="s">
        <v>278</v>
      </c>
      <c r="F3" s="33" t="s">
        <v>279</v>
      </c>
      <c r="G3" s="34" t="s">
        <v>131</v>
      </c>
    </row>
    <row r="4" ht="22.5" spans="1:8">
      <c r="A4" s="35" t="s">
        <v>280</v>
      </c>
      <c r="B4" s="36" t="s">
        <v>281</v>
      </c>
      <c r="C4" s="36" t="s">
        <v>282</v>
      </c>
      <c r="D4" s="33" t="s">
        <v>283</v>
      </c>
      <c r="E4" s="33" t="s">
        <v>284</v>
      </c>
      <c r="F4" s="37" t="s">
        <v>285</v>
      </c>
      <c r="G4" s="38" t="s">
        <v>286</v>
      </c>
      <c r="H4" s="39"/>
    </row>
    <row r="5" ht="22.5" spans="1:7">
      <c r="A5" s="40"/>
      <c r="B5" s="36" t="s">
        <v>287</v>
      </c>
      <c r="C5" s="36" t="s">
        <v>282</v>
      </c>
      <c r="D5" s="33" t="s">
        <v>283</v>
      </c>
      <c r="E5" s="33" t="s">
        <v>284</v>
      </c>
      <c r="F5" s="33" t="s">
        <v>285</v>
      </c>
      <c r="G5" s="38" t="str">
        <f>G4</f>
        <v>2023-04-06 2023-04-13 2023-04-20 2023-04-27</v>
      </c>
    </row>
    <row r="6" ht="22.5" spans="1:7">
      <c r="A6" s="40"/>
      <c r="B6" s="36" t="s">
        <v>288</v>
      </c>
      <c r="C6" s="36" t="s">
        <v>282</v>
      </c>
      <c r="D6" s="33" t="s">
        <v>283</v>
      </c>
      <c r="E6" s="33" t="s">
        <v>284</v>
      </c>
      <c r="F6" s="33" t="s">
        <v>285</v>
      </c>
      <c r="G6" s="38" t="str">
        <f t="shared" ref="G6:G20" si="0">G5</f>
        <v>2023-04-06 2023-04-13 2023-04-20 2023-04-27</v>
      </c>
    </row>
    <row r="7" ht="22.5" spans="1:7">
      <c r="A7" s="41"/>
      <c r="B7" s="36" t="s">
        <v>289</v>
      </c>
      <c r="C7" s="36" t="s">
        <v>282</v>
      </c>
      <c r="D7" s="33" t="s">
        <v>283</v>
      </c>
      <c r="E7" s="33" t="s">
        <v>284</v>
      </c>
      <c r="F7" s="33" t="s">
        <v>285</v>
      </c>
      <c r="G7" s="38" t="str">
        <f t="shared" si="0"/>
        <v>2023-04-06 2023-04-13 2023-04-20 2023-04-27</v>
      </c>
    </row>
    <row r="8" ht="22.5" spans="1:7">
      <c r="A8" s="35" t="s">
        <v>290</v>
      </c>
      <c r="B8" s="36" t="s">
        <v>281</v>
      </c>
      <c r="C8" s="36" t="s">
        <v>291</v>
      </c>
      <c r="D8" s="33" t="s">
        <v>283</v>
      </c>
      <c r="E8" s="33" t="s">
        <v>284</v>
      </c>
      <c r="F8" s="33" t="s">
        <v>285</v>
      </c>
      <c r="G8" s="38" t="str">
        <f t="shared" si="0"/>
        <v>2023-04-06 2023-04-13 2023-04-20 2023-04-27</v>
      </c>
    </row>
    <row r="9" ht="22.5" spans="1:7">
      <c r="A9" s="40"/>
      <c r="B9" s="36" t="s">
        <v>287</v>
      </c>
      <c r="C9" s="36" t="s">
        <v>291</v>
      </c>
      <c r="D9" s="33" t="s">
        <v>283</v>
      </c>
      <c r="E9" s="33" t="s">
        <v>284</v>
      </c>
      <c r="F9" s="33" t="s">
        <v>285</v>
      </c>
      <c r="G9" s="38" t="str">
        <f t="shared" si="0"/>
        <v>2023-04-06 2023-04-13 2023-04-20 2023-04-27</v>
      </c>
    </row>
    <row r="10" ht="22.5" spans="1:7">
      <c r="A10" s="40"/>
      <c r="B10" s="36" t="s">
        <v>288</v>
      </c>
      <c r="C10" s="36" t="s">
        <v>291</v>
      </c>
      <c r="D10" s="33" t="s">
        <v>283</v>
      </c>
      <c r="E10" s="33" t="s">
        <v>284</v>
      </c>
      <c r="F10" s="33" t="s">
        <v>285</v>
      </c>
      <c r="G10" s="38" t="str">
        <f t="shared" si="0"/>
        <v>2023-04-06 2023-04-13 2023-04-20 2023-04-27</v>
      </c>
    </row>
    <row r="11" ht="22.5" spans="1:7">
      <c r="A11" s="41"/>
      <c r="B11" s="36" t="s">
        <v>289</v>
      </c>
      <c r="C11" s="36" t="s">
        <v>291</v>
      </c>
      <c r="D11" s="33" t="s">
        <v>283</v>
      </c>
      <c r="E11" s="33" t="s">
        <v>284</v>
      </c>
      <c r="F11" s="33" t="s">
        <v>285</v>
      </c>
      <c r="G11" s="38" t="str">
        <f t="shared" si="0"/>
        <v>2023-04-06 2023-04-13 2023-04-20 2023-04-27</v>
      </c>
    </row>
    <row r="12" ht="24" customHeight="1" spans="1:7">
      <c r="A12" s="36" t="s">
        <v>292</v>
      </c>
      <c r="B12" s="36" t="s">
        <v>179</v>
      </c>
      <c r="C12" s="33" t="s">
        <v>293</v>
      </c>
      <c r="D12" s="33" t="s">
        <v>294</v>
      </c>
      <c r="E12" s="33" t="s">
        <v>284</v>
      </c>
      <c r="F12" s="33" t="s">
        <v>295</v>
      </c>
      <c r="G12" s="38" t="str">
        <f t="shared" si="0"/>
        <v>2023-04-06 2023-04-13 2023-04-20 2023-04-27</v>
      </c>
    </row>
    <row r="13" ht="22.5" spans="1:7">
      <c r="A13" s="35" t="s">
        <v>296</v>
      </c>
      <c r="B13" s="36" t="s">
        <v>281</v>
      </c>
      <c r="C13" s="33" t="s">
        <v>297</v>
      </c>
      <c r="D13" s="33" t="s">
        <v>298</v>
      </c>
      <c r="E13" s="33" t="s">
        <v>284</v>
      </c>
      <c r="F13" s="33" t="s">
        <v>285</v>
      </c>
      <c r="G13" s="38" t="str">
        <f t="shared" si="0"/>
        <v>2023-04-06 2023-04-13 2023-04-20 2023-04-27</v>
      </c>
    </row>
    <row r="14" ht="22.5" spans="1:7">
      <c r="A14" s="40"/>
      <c r="B14" s="36" t="s">
        <v>287</v>
      </c>
      <c r="C14" s="33" t="s">
        <v>297</v>
      </c>
      <c r="D14" s="33" t="s">
        <v>298</v>
      </c>
      <c r="E14" s="33" t="s">
        <v>284</v>
      </c>
      <c r="F14" s="33" t="s">
        <v>285</v>
      </c>
      <c r="G14" s="38" t="str">
        <f t="shared" si="0"/>
        <v>2023-04-06 2023-04-13 2023-04-20 2023-04-27</v>
      </c>
    </row>
    <row r="15" ht="22.5" spans="1:7">
      <c r="A15" s="40"/>
      <c r="B15" s="36" t="s">
        <v>288</v>
      </c>
      <c r="C15" s="33" t="s">
        <v>297</v>
      </c>
      <c r="D15" s="33" t="s">
        <v>298</v>
      </c>
      <c r="E15" s="33" t="s">
        <v>284</v>
      </c>
      <c r="F15" s="33" t="s">
        <v>285</v>
      </c>
      <c r="G15" s="38" t="str">
        <f t="shared" si="0"/>
        <v>2023-04-06 2023-04-13 2023-04-20 2023-04-27</v>
      </c>
    </row>
    <row r="16" ht="22.5" spans="1:7">
      <c r="A16" s="41"/>
      <c r="B16" s="36" t="s">
        <v>289</v>
      </c>
      <c r="C16" s="33" t="s">
        <v>297</v>
      </c>
      <c r="D16" s="33" t="s">
        <v>298</v>
      </c>
      <c r="E16" s="33" t="s">
        <v>284</v>
      </c>
      <c r="F16" s="33" t="s">
        <v>285</v>
      </c>
      <c r="G16" s="38" t="str">
        <f t="shared" si="0"/>
        <v>2023-04-06 2023-04-13 2023-04-20 2023-04-27</v>
      </c>
    </row>
    <row r="17" ht="22.5" spans="1:7">
      <c r="A17" s="33" t="s">
        <v>299</v>
      </c>
      <c r="B17" s="36" t="s">
        <v>281</v>
      </c>
      <c r="C17" s="33" t="s">
        <v>291</v>
      </c>
      <c r="D17" s="33" t="s">
        <v>298</v>
      </c>
      <c r="E17" s="33" t="s">
        <v>284</v>
      </c>
      <c r="F17" s="33" t="s">
        <v>285</v>
      </c>
      <c r="G17" s="38" t="str">
        <f t="shared" si="0"/>
        <v>2023-04-06 2023-04-13 2023-04-20 2023-04-27</v>
      </c>
    </row>
    <row r="18" ht="22.5" spans="1:7">
      <c r="A18" s="33"/>
      <c r="B18" s="36" t="s">
        <v>287</v>
      </c>
      <c r="C18" s="33" t="s">
        <v>291</v>
      </c>
      <c r="D18" s="33" t="s">
        <v>298</v>
      </c>
      <c r="E18" s="33" t="s">
        <v>284</v>
      </c>
      <c r="F18" s="33" t="s">
        <v>285</v>
      </c>
      <c r="G18" s="38" t="str">
        <f t="shared" si="0"/>
        <v>2023-04-06 2023-04-13 2023-04-20 2023-04-27</v>
      </c>
    </row>
    <row r="19" ht="22.5" spans="1:7">
      <c r="A19" s="33"/>
      <c r="B19" s="36" t="s">
        <v>288</v>
      </c>
      <c r="C19" s="33" t="s">
        <v>291</v>
      </c>
      <c r="D19" s="33" t="s">
        <v>298</v>
      </c>
      <c r="E19" s="33" t="s">
        <v>284</v>
      </c>
      <c r="F19" s="33" t="s">
        <v>285</v>
      </c>
      <c r="G19" s="38" t="str">
        <f t="shared" si="0"/>
        <v>2023-04-06 2023-04-13 2023-04-20 2023-04-27</v>
      </c>
    </row>
    <row r="20" ht="22.5" spans="1:7">
      <c r="A20" s="33"/>
      <c r="B20" s="36" t="s">
        <v>289</v>
      </c>
      <c r="C20" s="33" t="s">
        <v>291</v>
      </c>
      <c r="D20" s="33" t="s">
        <v>298</v>
      </c>
      <c r="E20" s="33" t="s">
        <v>284</v>
      </c>
      <c r="F20" s="33" t="s">
        <v>285</v>
      </c>
      <c r="G20" s="38" t="str">
        <f t="shared" si="0"/>
        <v>2023-04-06 2023-04-13 2023-04-20 2023-04-27</v>
      </c>
    </row>
    <row r="21" ht="20.25" customHeight="1" spans="1:7">
      <c r="A21" s="42" t="s">
        <v>71</v>
      </c>
      <c r="B21" s="42"/>
      <c r="C21" s="42"/>
      <c r="D21" s="42" t="s">
        <v>72</v>
      </c>
      <c r="E21" s="42"/>
      <c r="F21" s="42" t="s">
        <v>300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76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45017</v>
      </c>
      <c r="E26" s="49"/>
      <c r="F26" s="30"/>
    </row>
    <row r="27" ht="18.75" customHeight="1" spans="1:7">
      <c r="A27" s="33" t="s">
        <v>275</v>
      </c>
      <c r="B27" s="33" t="s">
        <v>165</v>
      </c>
      <c r="C27" s="33" t="s">
        <v>276</v>
      </c>
      <c r="D27" s="33" t="s">
        <v>277</v>
      </c>
      <c r="E27" s="33" t="s">
        <v>278</v>
      </c>
      <c r="F27" s="33" t="s">
        <v>279</v>
      </c>
      <c r="G27" s="33" t="s">
        <v>131</v>
      </c>
    </row>
    <row r="28" ht="19.5" customHeight="1" spans="1:7">
      <c r="A28" s="33" t="s">
        <v>301</v>
      </c>
      <c r="B28" s="50" t="s">
        <v>281</v>
      </c>
      <c r="C28" s="50" t="s">
        <v>291</v>
      </c>
      <c r="D28" s="33" t="s">
        <v>283</v>
      </c>
      <c r="E28" s="36" t="s">
        <v>284</v>
      </c>
      <c r="F28" s="33" t="s">
        <v>295</v>
      </c>
      <c r="G28" s="51">
        <v>45035</v>
      </c>
    </row>
    <row r="29" ht="19.5" customHeight="1" spans="1:7">
      <c r="A29" s="33"/>
      <c r="B29" s="50" t="s">
        <v>289</v>
      </c>
      <c r="C29" s="50" t="s">
        <v>291</v>
      </c>
      <c r="D29" s="33" t="s">
        <v>283</v>
      </c>
      <c r="E29" s="36" t="s">
        <v>284</v>
      </c>
      <c r="F29" s="33" t="s">
        <v>295</v>
      </c>
      <c r="G29" s="51">
        <f>G28</f>
        <v>45035</v>
      </c>
    </row>
    <row r="30" ht="19.5" customHeight="1" spans="1:7">
      <c r="A30" s="33" t="s">
        <v>302</v>
      </c>
      <c r="B30" s="50" t="s">
        <v>281</v>
      </c>
      <c r="C30" s="36" t="s">
        <v>293</v>
      </c>
      <c r="D30" s="33" t="s">
        <v>298</v>
      </c>
      <c r="E30" s="36" t="s">
        <v>284</v>
      </c>
      <c r="F30" s="33" t="s">
        <v>295</v>
      </c>
      <c r="G30" s="51">
        <f>G29</f>
        <v>45035</v>
      </c>
    </row>
    <row r="31" ht="19.5" customHeight="1" spans="1:7">
      <c r="A31" s="33"/>
      <c r="B31" s="50" t="s">
        <v>289</v>
      </c>
      <c r="C31" s="36" t="s">
        <v>293</v>
      </c>
      <c r="D31" s="33" t="s">
        <v>298</v>
      </c>
      <c r="E31" s="36" t="s">
        <v>284</v>
      </c>
      <c r="F31" s="33" t="s">
        <v>295</v>
      </c>
      <c r="G31" s="51">
        <f>G30</f>
        <v>45035</v>
      </c>
    </row>
    <row r="32" ht="20.25" customHeight="1" spans="1:7">
      <c r="A32" s="42" t="s">
        <v>71</v>
      </c>
      <c r="B32" s="42"/>
      <c r="C32" s="42"/>
      <c r="D32" s="42" t="s">
        <v>72</v>
      </c>
      <c r="E32" s="42"/>
      <c r="F32" s="42" t="str">
        <f>F21</f>
        <v>制表日期：2023/5/5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I13" sqref="I13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303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304</v>
      </c>
      <c r="B3" s="5"/>
      <c r="C3" s="5"/>
      <c r="D3" s="5"/>
      <c r="E3" s="5" t="s">
        <v>305</v>
      </c>
      <c r="F3" s="5"/>
      <c r="G3" s="5"/>
      <c r="H3" s="5"/>
      <c r="I3" s="3"/>
    </row>
    <row r="4" customHeight="1" spans="1:9">
      <c r="A4" s="5" t="s">
        <v>306</v>
      </c>
      <c r="B4" s="5"/>
      <c r="C4" s="5"/>
      <c r="D4" s="5"/>
      <c r="E4" s="5" t="s">
        <v>307</v>
      </c>
      <c r="F4" s="5"/>
      <c r="G4" s="5" t="s">
        <v>308</v>
      </c>
      <c r="H4" s="5"/>
      <c r="I4" s="25"/>
    </row>
    <row r="5" customHeight="1" spans="1:8">
      <c r="A5" s="5" t="s">
        <v>309</v>
      </c>
      <c r="B5" s="5" t="s">
        <v>310</v>
      </c>
      <c r="C5" s="5" t="s">
        <v>311</v>
      </c>
      <c r="D5" s="5" t="s">
        <v>312</v>
      </c>
      <c r="E5" s="5" t="s">
        <v>309</v>
      </c>
      <c r="F5" s="5" t="s">
        <v>310</v>
      </c>
      <c r="G5" s="5" t="s">
        <v>309</v>
      </c>
      <c r="H5" s="5" t="s">
        <v>312</v>
      </c>
    </row>
    <row r="6" customHeight="1" spans="1:8">
      <c r="A6" s="6" t="s">
        <v>313</v>
      </c>
      <c r="B6" s="7">
        <v>1.85</v>
      </c>
      <c r="C6" s="7">
        <v>9.41</v>
      </c>
      <c r="D6" s="7">
        <v>2.95</v>
      </c>
      <c r="E6" s="6" t="s">
        <v>313</v>
      </c>
      <c r="F6" s="7">
        <v>6.68</v>
      </c>
      <c r="G6" s="6" t="s">
        <v>313</v>
      </c>
      <c r="H6" s="7">
        <v>1.18</v>
      </c>
    </row>
    <row r="7" customHeight="1" spans="1:8">
      <c r="A7" s="6" t="s">
        <v>314</v>
      </c>
      <c r="B7" s="7">
        <v>2.93</v>
      </c>
      <c r="C7" s="7">
        <v>7.2</v>
      </c>
      <c r="D7" s="7">
        <v>1.84</v>
      </c>
      <c r="E7" s="6" t="s">
        <v>314</v>
      </c>
      <c r="F7" s="7">
        <v>5.32</v>
      </c>
      <c r="G7" s="6" t="s">
        <v>315</v>
      </c>
      <c r="H7" s="7">
        <v>2.49</v>
      </c>
    </row>
    <row r="8" customHeight="1" spans="1:8">
      <c r="A8" s="6" t="s">
        <v>315</v>
      </c>
      <c r="B8" s="7">
        <v>5.25</v>
      </c>
      <c r="C8" s="7">
        <v>2.69</v>
      </c>
      <c r="D8" s="7">
        <v>1.38</v>
      </c>
      <c r="E8" s="6" t="s">
        <v>315</v>
      </c>
      <c r="F8" s="7">
        <v>3.8</v>
      </c>
      <c r="G8" s="6" t="s">
        <v>316</v>
      </c>
      <c r="H8" s="7">
        <v>2.66</v>
      </c>
    </row>
    <row r="9" customHeight="1" spans="1:8">
      <c r="A9" s="6" t="s">
        <v>316</v>
      </c>
      <c r="B9" s="7">
        <v>7.97</v>
      </c>
      <c r="C9" s="7">
        <v>1.21</v>
      </c>
      <c r="D9" s="7">
        <v>0.6</v>
      </c>
      <c r="E9" s="6" t="s">
        <v>317</v>
      </c>
      <c r="F9" s="7">
        <v>2.32</v>
      </c>
      <c r="G9" s="6" t="s">
        <v>318</v>
      </c>
      <c r="H9" s="7">
        <v>3.85</v>
      </c>
    </row>
    <row r="10" customHeight="1" spans="1:8">
      <c r="A10" s="8" t="s">
        <v>319</v>
      </c>
      <c r="B10" s="9">
        <v>6012</v>
      </c>
      <c r="C10" s="10"/>
      <c r="D10" s="11"/>
      <c r="E10" s="6" t="s">
        <v>316</v>
      </c>
      <c r="F10" s="7">
        <v>1.96</v>
      </c>
      <c r="G10" s="5" t="s">
        <v>319</v>
      </c>
      <c r="H10" s="12">
        <v>6234</v>
      </c>
    </row>
    <row r="11" customHeight="1" spans="1:8">
      <c r="A11" s="13"/>
      <c r="B11" s="14"/>
      <c r="C11" s="15"/>
      <c r="D11" s="16"/>
      <c r="E11" s="6" t="s">
        <v>318</v>
      </c>
      <c r="F11" s="7">
        <v>1.07</v>
      </c>
      <c r="G11" s="5"/>
      <c r="H11" s="17"/>
    </row>
    <row r="12" customHeight="1" spans="1:8">
      <c r="A12" s="18"/>
      <c r="B12" s="19"/>
      <c r="C12" s="20"/>
      <c r="D12" s="21"/>
      <c r="E12" s="6" t="s">
        <v>319</v>
      </c>
      <c r="F12" s="5">
        <v>5820</v>
      </c>
      <c r="G12" s="5"/>
      <c r="H12" s="22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320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2023-06-01T07:35:29Z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C486B51DDF7C47DAA2D653E59BF603FF</vt:lpwstr>
  </property>
</Properties>
</file>