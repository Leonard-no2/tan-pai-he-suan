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<sst xmlns="http://schemas.openxmlformats.org/spreadsheetml/2006/main" count="936" uniqueCount="322">
  <si>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</si>
  <si>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</si>
  <si>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</si>
  <si>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</si>
  <si>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</si>
  <si>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</si>
  <si>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</si>
  <si>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</si>
  <si>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</si>
  <si>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</si>
  <si>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</si>
  <si>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</si>
  <si>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</si>
  <si>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</si>
  <si>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</si>
  <si>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</si>
  <si>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</si>
  <si>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</si>
  <si>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</si>
  <si>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</si>
  <si>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</si>
  <si>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</si>
  <si>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</si>
  <si>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</si>
  <si>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</si>
  <si>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</si>
  <si>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</si>
  <si>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</si>
  <si>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</si>
  <si>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</si>
  <si>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</si>
  <si>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</si>
  <si>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</si>
  <si>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</si>
  <si>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</si>
  <si>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</si>
  <si>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</si>
  <si>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</si>
  <si>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</si>
  <si>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</si>
  <si>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</si>
  <si>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</si>
  <si>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</si>
  <si>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</si>
  <si>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</si>
  <si>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</si>
  <si>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</si>
  <si>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</si>
  <si>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</si>
  <si>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</si>
  <si>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阴</t>
  </si>
  <si>
    <t>雨</t>
  </si>
  <si>
    <t>总药剂</t>
  </si>
  <si>
    <t>除磷药剂</t>
  </si>
  <si>
    <t>多云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</si>
  <si>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</si>
  <si>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</si>
  <si>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</si>
  <si>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</si>
  <si>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</si>
  <si>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</si>
  <si>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</si>
  <si>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</si>
  <si>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</si>
  <si>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</si>
  <si>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</si>
  <si>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</si>
  <si>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</si>
  <si>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</si>
  <si>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</si>
  <si>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</si>
  <si>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</si>
  <si>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</si>
  <si>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</si>
  <si>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</si>
  <si>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</si>
  <si>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</si>
  <si>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</si>
  <si>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</si>
  <si>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</si>
  <si>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</si>
  <si>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</si>
  <si>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</si>
  <si>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</si>
  <si>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</si>
  <si>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</si>
  <si>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</si>
  <si>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</si>
  <si>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</si>
  <si>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</si>
  <si>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</si>
  <si>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</si>
  <si>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</si>
  <si>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</si>
  <si>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</si>
  <si>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</si>
  <si>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</si>
  <si>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</si>
  <si>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</si>
  <si>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</si>
  <si>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</si>
  <si>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</si>
  <si>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</si>
  <si>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</si>
  <si>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</si>
  <si>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</si>
  <si>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</si>
  <si>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</si>
  <si>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</si>
  <si>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</si>
  <si>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</si>
  <si>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</si>
  <si>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</si>
  <si>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</si>
  <si>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</si>
  <si>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</si>
  <si>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</si>
  <si>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</si>
  <si>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</si>
  <si>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</si>
  <si>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</si>
  <si>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</si>
  <si>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</si>
  <si>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</si>
  <si>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</si>
  <si>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</si>
  <si>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</si>
  <si>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</si>
  <si>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</si>
  <si>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</si>
  <si>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</si>
  <si>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</si>
  <si>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</si>
  <si>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3535.10吨，其中运往常州市英科环境科技有限公司3200.20吨，国电常州发电有限公司226.66吨，本月外运接种108.24吨，其中常州吉庆纺织植绒材料有限公司30.00吨,常州市巨朋纺织印染有限公司15.00吨，江苏盈天化学有限公司63.24吨。</t>
  </si>
  <si>
    <t>审核：                                               制表：                               制表日期：2023/12/4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</si>
  <si>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</si>
  <si>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</si>
  <si>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</si>
  <si>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</si>
  <si>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</si>
  <si>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</si>
  <si>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</si>
  <si>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</si>
  <si>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</si>
  <si>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</si>
  <si>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</si>
  <si>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</si>
  <si>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</si>
  <si>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</si>
  <si>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制表时间：2023/12/4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</si>
  <si>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</si>
  <si>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</si>
  <si>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</si>
  <si>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</si>
  <si>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</si>
  <si>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</si>
  <si>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</si>
  <si>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</si>
  <si>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</si>
  <si>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</si>
  <si>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</si>
  <si>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</si>
  <si>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</si>
  <si>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</si>
  <si>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</si>
  <si>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</si>
  <si>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</si>
  <si>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</si>
  <si>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</si>
  <si>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</si>
  <si>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</si>
  <si>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</si>
  <si>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</si>
  <si>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</si>
  <si>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</si>
  <si>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</si>
  <si>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</si>
  <si>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</si>
  <si>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</si>
  <si>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</si>
  <si>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</si>
  <si>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</si>
  <si>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</si>
  <si>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</si>
  <si>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</si>
  <si>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</si>
  <si>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</si>
  <si>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</si>
  <si>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</si>
  <si>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</si>
  <si>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</si>
  <si>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</si>
  <si>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</si>
  <si>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20日更换滤网</t>
  </si>
  <si>
    <t>3日更换滤网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</si>
  <si>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</si>
  <si>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</si>
  <si>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</si>
  <si>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</si>
  <si>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</si>
  <si>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</si>
  <si>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</si>
  <si>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</si>
  <si>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</si>
  <si>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</si>
  <si>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</si>
  <si>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</si>
  <si>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</si>
  <si>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</si>
  <si>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</si>
  <si>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</si>
  <si>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</si>
  <si>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</si>
  <si>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</si>
  <si>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</si>
  <si>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</si>
  <si>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</si>
  <si>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</si>
  <si>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</si>
  <si>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</si>
  <si>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</si>
  <si>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</si>
  <si>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</si>
  <si>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</si>
  <si>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</si>
  <si>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</si>
  <si>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</si>
  <si>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</si>
  <si>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</si>
  <si>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</si>
  <si>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</si>
  <si>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</si>
  <si>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</si>
  <si>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</si>
  <si>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</si>
  <si>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</si>
  <si>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</si>
  <si>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7日更换1-3行走轮电机</t>
  </si>
  <si>
    <t>剩余
污泥泵</t>
  </si>
  <si>
    <t>外回
流泵</t>
  </si>
  <si>
    <t>内回
流泵</t>
  </si>
  <si>
    <t>15日更换接线柱</t>
  </si>
  <si>
    <t>10日更换接线柱、21日更换软启动器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</si>
  <si>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</si>
  <si>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</si>
  <si>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</si>
  <si>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</si>
  <si>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</si>
  <si>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</si>
  <si>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</si>
  <si>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</si>
  <si>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</si>
  <si>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2日保养</t>
  </si>
  <si>
    <t>PAM
投加泵</t>
  </si>
  <si>
    <t>提标
空压机</t>
  </si>
  <si>
    <t>6日保养</t>
  </si>
  <si>
    <t>V型滤池
（南）</t>
  </si>
  <si>
    <t>6日更换进水阀电磁阀</t>
  </si>
  <si>
    <t>1日更换进水阀气管</t>
  </si>
  <si>
    <t xml:space="preserve"> </t>
  </si>
  <si>
    <t>29日更换进水阀电磁阀及气压调节阀</t>
  </si>
  <si>
    <t>V型滤池
（北）</t>
  </si>
  <si>
    <t>9日更换进水阀电磁阀</t>
  </si>
  <si>
    <t>反冲洗泵</t>
  </si>
  <si>
    <t>反冲洗风机</t>
  </si>
  <si>
    <t>二
氧
化
氯
发
生
器
房</t>
  </si>
  <si>
    <t>欧泰华
二氧化氯
发生器</t>
  </si>
  <si>
    <t>23日更换加热管2根</t>
  </si>
  <si>
    <t>23日更换温控探头1只</t>
  </si>
  <si>
    <t>山大华特
二氧化氯
发生器</t>
  </si>
  <si>
    <t>增压水泵</t>
  </si>
  <si>
    <t>脱
水
机
房</t>
  </si>
  <si>
    <t>浓缩池刮泥机</t>
  </si>
  <si>
    <t>20日保养</t>
  </si>
  <si>
    <t>进泥泵</t>
  </si>
  <si>
    <t>30日保养</t>
  </si>
  <si>
    <t>脱水离心机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</si>
  <si>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</si>
  <si>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</si>
  <si>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</si>
  <si>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</si>
  <si>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</si>
  <si>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</si>
  <si>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</si>
  <si>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</si>
  <si>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</si>
  <si>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</si>
  <si>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</si>
  <si>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2023-11-06 2023-11-13 2023-11-20 2023-11-27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</si>
  <si>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</si>
  <si>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</si>
  <si>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</si>
  <si>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</si>
  <si>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</si>
  <si>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</si>
  <si>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</si>
  <si>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</si>
  <si>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</si>
  <si>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</si>
  <si>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</si>
  <si>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</si>
  <si>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</si>
  <si>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制表日期：2023/12/5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</si>
  <si>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</si>
  <si>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</si>
  <si>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</si>
  <si>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</si>
  <si>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采样时间：2023-11-22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</si>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</sst>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yyyy&quot;年&quot;m&quot;月&quot;;@"/>
    <numFmt numFmtId="180" formatCode="0;[Red]0"/>
    <numFmt numFmtId="181" formatCode="0.00;[Red]0.00"/>
    <numFmt numFmtId="182" formatCode="0.0_);[Red]\(0.0\)"/>
    <numFmt numFmtId="183" formatCode="0.0_ "/>
    <numFmt numFmtId="184" formatCode="0.00_ "/>
    <numFmt numFmtId="185" formatCode="0.0_);\(0.0\)"/>
    <numFmt numFmtId="186" formatCode="0.0;[Red]0.0"/>
    <numFmt numFmtId="187" formatCode="0.0%"/>
    <numFmt numFmtId="188" formatCode="0.000_ "/>
    <numFmt numFmtId="189" formatCode="0;_䠀"/>
    <numFmt numFmtId="190" formatCode="0;_鰀"/>
    <numFmt numFmtId="191" formatCode="#,##0.00_ "/>
    <numFmt numFmtId="192" formatCode="0.00;_鰀"/>
    <numFmt numFmtId="193" formatCode="0;_ﰀ"/>
    <numFmt numFmtId="194" formatCode="0.0;_ﰀ"/>
    <numFmt numFmtId="195" formatCode="0.0000_ "/>
    <numFmt numFmtId="196" formatCode="0.000_);[Red]\(0.000\)"/>
    <numFmt numFmtId="197" formatCode="0.0000_);[Red]\(0.0000\)"/>
    <numFmt numFmtId="198" formatCode="0.000;_鰀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7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0" fillId="4" borderId="19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0" borderId="0">
      <alignment vertical="center"/>
    </xf>
    <xf numFmtId="0" fontId="51" fillId="16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0" borderId="0" applyNumberFormat="0" applyBorder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52" fillId="0" borderId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0" borderId="0">
      <alignment vertical="center"/>
    </xf>
    <xf numFmtId="0" fontId="51" fillId="16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22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0" borderId="0"/>
    <xf numFmtId="0" fontId="52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>
      <alignment vertical="top"/>
      <protection locked="0"/>
    </xf>
    <xf numFmtId="0" fontId="52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0" fillId="0" borderId="0"/>
    <xf numFmtId="0" fontId="51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>
      <alignment vertical="top"/>
      <protection locked="0"/>
    </xf>
    <xf numFmtId="0" fontId="51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0" borderId="0">
      <alignment vertical="center"/>
    </xf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0" borderId="0">
      <alignment vertical="center"/>
    </xf>
    <xf numFmtId="0" fontId="5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43" fontId="52" fillId="0" borderId="0" applyFont="0" applyFill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2" fillId="0" borderId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2" fillId="0" borderId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4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8" fillId="8" borderId="0" applyNumberFormat="0" applyBorder="0" applyAlignment="0" applyProtection="0">
      <alignment vertical="center"/>
    </xf>
    <xf numFmtId="0" fontId="52" fillId="0" borderId="0">
      <alignment vertical="center"/>
    </xf>
    <xf numFmtId="0" fontId="50" fillId="10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2" fillId="0" borderId="0">
      <alignment vertical="center"/>
    </xf>
    <xf numFmtId="0" fontId="0" fillId="0" borderId="0">
      <alignment vertical="center"/>
    </xf>
    <xf numFmtId="0" fontId="52" fillId="0" borderId="0">
      <alignment vertical="center"/>
    </xf>
    <xf numFmtId="0" fontId="0" fillId="4" borderId="19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17" borderId="0" applyNumberFormat="0" applyBorder="0" applyAlignment="0" applyProtection="0">
      <alignment vertical="center"/>
    </xf>
    <xf numFmtId="0" fontId="0" fillId="0" borderId="0"/>
    <xf numFmtId="0" fontId="47" fillId="0" borderId="27" applyNumberFormat="0" applyFill="0" applyAlignment="0" applyProtection="0">
      <alignment vertical="center"/>
    </xf>
    <xf numFmtId="0" fontId="0" fillId="0" borderId="0"/>
    <xf numFmtId="0" fontId="51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2" fillId="0" borderId="0">
      <alignment vertical="center"/>
    </xf>
    <xf numFmtId="0" fontId="52" fillId="0" borderId="0">
      <alignment vertical="center"/>
    </xf>
    <xf numFmtId="0" fontId="5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5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2" fillId="5" borderId="23" applyNumberFormat="0" applyAlignment="0" applyProtection="0">
      <alignment vertical="center"/>
    </xf>
    <xf numFmtId="0" fontId="0" fillId="0" borderId="0"/>
    <xf numFmtId="0" fontId="42" fillId="5" borderId="23" applyNumberFormat="0" applyAlignment="0" applyProtection="0">
      <alignment vertical="center"/>
    </xf>
    <xf numFmtId="0" fontId="0" fillId="0" borderId="0"/>
    <xf numFmtId="0" fontId="0" fillId="0" borderId="0"/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44" fillId="6" borderId="23" applyNumberFormat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45" fillId="7" borderId="2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46" fillId="0" borderId="26" applyNumberFormat="0" applyFill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3" fillId="6" borderId="24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42" fillId="5" borderId="23" applyNumberForma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0" fillId="4" borderId="19" applyNumberFormat="0" applyFont="0" applyAlignment="0" applyProtection="0">
      <alignment vertical="center"/>
    </xf>
  </cellStyleXfs>
  <cellXfs count="3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79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77" fontId="1" fillId="0" borderId="1" xfId="4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0" fontId="17" fillId="0" borderId="4" xfId="0" applyNumberFormat="1" applyFont="1" applyBorder="1" applyAlignment="1">
      <alignment vertical="center"/>
    </xf>
    <xf numFmtId="177" fontId="17" fillId="0" borderId="4" xfId="0" applyNumberFormat="1" applyFont="1" applyBorder="1" applyAlignment="1">
      <alignment vertical="center"/>
    </xf>
    <xf numFmtId="184" fontId="17" fillId="0" borderId="4" xfId="0" applyNumberFormat="1" applyFont="1" applyBorder="1" applyAlignment="1">
      <alignment vertical="center"/>
    </xf>
    <xf numFmtId="186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0" fontId="17" fillId="0" borderId="0" xfId="0" applyNumberFormat="1" applyFont="1" applyBorder="1" applyAlignment="1">
      <alignment vertical="center"/>
    </xf>
    <xf numFmtId="180" fontId="17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84" fontId="17" fillId="0" borderId="0" xfId="0" applyNumberFormat="1" applyFont="1" applyAlignment="1">
      <alignment vertical="center"/>
    </xf>
    <xf numFmtId="186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3" fontId="19" fillId="0" borderId="4" xfId="0" applyNumberFormat="1" applyFont="1" applyFill="1" applyBorder="1" applyAlignment="1">
      <alignment horizontal="center" vertical="center"/>
    </xf>
    <xf numFmtId="183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3" fontId="19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3" fontId="20" fillId="0" borderId="0" xfId="0" applyNumberFormat="1" applyFont="1" applyFill="1" applyBorder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83" fontId="20" fillId="0" borderId="0" xfId="0" applyNumberFormat="1" applyFont="1" applyFill="1" applyAlignment="1">
      <alignment horizontal="center" vertical="center"/>
    </xf>
    <xf numFmtId="184" fontId="19" fillId="0" borderId="0" xfId="0" applyNumberFormat="1" applyFont="1" applyFill="1" applyAlignment="1">
      <alignment horizontal="center" vertical="center"/>
    </xf>
    <xf numFmtId="184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3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4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81" fontId="9" fillId="3" borderId="1" xfId="0" applyNumberFormat="1" applyFont="1" applyFill="1" applyBorder="1" applyAlignment="1">
      <alignment horizontal="center" vertical="center"/>
    </xf>
    <xf numFmtId="181" fontId="1" fillId="0" borderId="1" xfId="4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7" fontId="20" fillId="0" borderId="5" xfId="3" applyNumberFormat="1" applyFont="1" applyFill="1" applyBorder="1" applyAlignment="1">
      <alignment horizontal="center" vertical="center"/>
    </xf>
    <xf numFmtId="188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87" fontId="20" fillId="0" borderId="8" xfId="3" applyNumberFormat="1" applyFont="1" applyFill="1" applyBorder="1" applyAlignment="1">
      <alignment horizontal="center" vertical="center"/>
    </xf>
    <xf numFmtId="184" fontId="20" fillId="0" borderId="8" xfId="0" applyNumberFormat="1" applyFont="1" applyFill="1" applyBorder="1" applyAlignment="1">
      <alignment horizontal="center" vertical="center"/>
    </xf>
    <xf numFmtId="183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7" fontId="20" fillId="0" borderId="12" xfId="3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0" fontId="0" fillId="0" borderId="0" xfId="0" applyNumberFormat="1"/>
    <xf numFmtId="187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3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89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4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83" fontId="9" fillId="0" borderId="9" xfId="0" applyNumberFormat="1" applyFont="1" applyBorder="1" applyAlignment="1">
      <alignment horizontal="center" vertical="center" wrapText="1"/>
    </xf>
    <xf numFmtId="190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8" fontId="9" fillId="0" borderId="1" xfId="491" applyNumberFormat="1" applyFont="1" applyBorder="1" applyAlignment="1">
      <alignment horizontal="center" vertical="center" wrapText="1"/>
    </xf>
    <xf numFmtId="184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3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3" fontId="9" fillId="0" borderId="13" xfId="0" applyNumberFormat="1" applyFont="1" applyBorder="1" applyAlignment="1">
      <alignment horizontal="center" vertical="center" wrapText="1"/>
    </xf>
    <xf numFmtId="183" fontId="9" fillId="0" borderId="14" xfId="0" applyNumberFormat="1" applyFont="1" applyBorder="1" applyAlignment="1">
      <alignment horizontal="center" vertical="center" wrapText="1"/>
    </xf>
    <xf numFmtId="184" fontId="9" fillId="0" borderId="13" xfId="0" applyNumberFormat="1" applyFont="1" applyBorder="1" applyAlignment="1">
      <alignment horizontal="center" vertical="center" wrapText="1"/>
    </xf>
    <xf numFmtId="184" fontId="9" fillId="0" borderId="14" xfId="0" applyNumberFormat="1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88" fontId="9" fillId="0" borderId="1" xfId="491" applyNumberFormat="1" applyFont="1" applyBorder="1" applyAlignment="1">
      <alignment horizontal="center" vertical="center" wrapText="1"/>
    </xf>
    <xf numFmtId="184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4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76" fontId="9" fillId="0" borderId="1" xfId="491" applyNumberFormat="1" applyFont="1" applyFill="1" applyBorder="1" applyAlignment="1">
      <alignment horizontal="center" vertical="center" wrapText="1"/>
    </xf>
    <xf numFmtId="184" fontId="9" fillId="0" borderId="1" xfId="0" applyNumberFormat="1" applyFont="1" applyBorder="1" applyAlignment="1">
      <alignment horizontal="center" vertical="center"/>
    </xf>
    <xf numFmtId="191" fontId="9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89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190" fontId="1" fillId="0" borderId="1" xfId="340" applyNumberFormat="1" applyFont="1" applyFill="1" applyBorder="1" applyAlignment="1">
      <alignment horizontal="center" vertical="center" wrapText="1"/>
    </xf>
    <xf numFmtId="192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190" fontId="1" fillId="0" borderId="1" xfId="481" applyNumberFormat="1" applyFont="1" applyFill="1" applyBorder="1" applyAlignment="1">
      <alignment horizontal="center" vertical="center" wrapText="1"/>
    </xf>
    <xf numFmtId="192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83" fontId="12" fillId="0" borderId="1" xfId="340" applyNumberFormat="1" applyFont="1" applyFill="1" applyBorder="1" applyAlignment="1">
      <alignment horizontal="center" vertical="center" wrapText="1"/>
    </xf>
    <xf numFmtId="178" fontId="12" fillId="0" borderId="1" xfId="340" applyNumberFormat="1" applyFont="1" applyFill="1" applyBorder="1" applyAlignment="1">
      <alignment horizontal="center" vertical="center" wrapText="1"/>
    </xf>
    <xf numFmtId="176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176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0" fontId="12" fillId="0" borderId="1" xfId="340" applyNumberFormat="1" applyFont="1" applyFill="1" applyBorder="1" applyAlignment="1">
      <alignment horizontal="center" vertical="center" wrapText="1"/>
    </xf>
    <xf numFmtId="190" fontId="12" fillId="0" borderId="1" xfId="508" applyNumberFormat="1" applyFont="1" applyFill="1" applyBorder="1" applyAlignment="1">
      <alignment horizontal="center" vertical="center" wrapText="1"/>
    </xf>
    <xf numFmtId="192" fontId="2" fillId="0" borderId="0" xfId="0" applyNumberFormat="1" applyFont="1" applyFill="1" applyAlignment="1">
      <alignment horizontal="center" vertical="center"/>
    </xf>
    <xf numFmtId="190" fontId="2" fillId="0" borderId="0" xfId="0" applyNumberFormat="1" applyFont="1" applyFill="1" applyAlignment="1">
      <alignment horizontal="center" vertical="center"/>
    </xf>
    <xf numFmtId="176" fontId="2" fillId="0" borderId="0" xfId="485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0" fontId="30" fillId="0" borderId="0" xfId="0" applyNumberFormat="1" applyFont="1" applyFill="1" applyAlignment="1">
      <alignment horizontal="center" vertical="center"/>
    </xf>
    <xf numFmtId="0" fontId="30" fillId="0" borderId="0" xfId="485" applyFont="1" applyFill="1" applyBorder="1" applyAlignment="1">
      <alignment horizontal="center" vertical="center"/>
    </xf>
    <xf numFmtId="197" fontId="2" fillId="0" borderId="0" xfId="485" applyNumberFormat="1" applyFont="1" applyFill="1" applyBorder="1" applyAlignment="1">
      <alignment horizontal="center" vertical="center"/>
    </xf>
    <xf numFmtId="190" fontId="2" fillId="0" borderId="1" xfId="0" applyNumberFormat="1" applyFont="1" applyFill="1" applyBorder="1" applyAlignment="1">
      <alignment horizontal="center" vertical="center"/>
    </xf>
    <xf numFmtId="184" fontId="31" fillId="0" borderId="1" xfId="485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0" fontId="31" fillId="0" borderId="1" xfId="485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31" fillId="0" borderId="0" xfId="485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Fill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90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Alignment="1">
      <alignment horizontal="center" vertical="center"/>
    </xf>
    <xf numFmtId="192" fontId="28" fillId="0" borderId="0" xfId="3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/>
    </xf>
    <xf numFmtId="198" fontId="28" fillId="0" borderId="0" xfId="3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184" fontId="2" fillId="0" borderId="0" xfId="0" applyNumberFormat="1" applyFont="1" applyFill="1"/>
    <xf numFmtId="0" fontId="33" fillId="0" borderId="0" xfId="0" applyFont="1" applyFill="1"/>
  </cellXfs>
  <cellStyles count="6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20% - 强调文字颜色 1 2" xfId="51"/>
    <cellStyle name="链接单元格 3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常规 6" xfId="61"/>
    <cellStyle name="60% - 强调文字颜色 2 3" xfId="62"/>
    <cellStyle name="20% - 强调文字颜色 4 5" xfId="63"/>
    <cellStyle name="计算 2 9" xfId="64"/>
    <cellStyle name="解释性文本 2 2" xfId="65"/>
    <cellStyle name="注释 5" xfId="66"/>
    <cellStyle name="强调文字颜色 1 2 3" xfId="67"/>
    <cellStyle name="20% - 强调文字颜色 4 4 2" xfId="68"/>
    <cellStyle name="60% - 强调文字颜色 2 2 2" xfId="69"/>
    <cellStyle name="计算 2 10" xfId="70"/>
    <cellStyle name="常规 5 2" xfId="71"/>
    <cellStyle name="标题 1 5 2" xfId="72"/>
    <cellStyle name="计算 2 8" xfId="73"/>
    <cellStyle name="20% - 强调文字颜色 2 4 2" xfId="74"/>
    <cellStyle name="40% - 强调文字颜色 4 2" xfId="75"/>
    <cellStyle name="计算 3 2" xfId="76"/>
    <cellStyle name="40% - 强调文字颜色 6 5" xfId="77"/>
    <cellStyle name="60% - 强调文字颜色 4 2 3" xfId="78"/>
    <cellStyle name="适中 2 5" xfId="79"/>
    <cellStyle name="强调文字颜色 3 2 4" xfId="80"/>
    <cellStyle name="20% - 强调文字颜色 3 3" xfId="81"/>
    <cellStyle name="60% - 强调文字颜色 2 5 2" xfId="82"/>
    <cellStyle name="标题 4 5 2" xfId="83"/>
    <cellStyle name="检查单元格 3 2" xfId="84"/>
    <cellStyle name="链接单元格 3" xfId="85"/>
    <cellStyle name="标题 5 4" xfId="86"/>
    <cellStyle name="40% - 强调文字颜色 4 3 2" xfId="87"/>
    <cellStyle name="链接单元格 4" xfId="88"/>
    <cellStyle name="标题 5 5" xfId="89"/>
    <cellStyle name="输出 4" xfId="90"/>
    <cellStyle name="强调文字颜色 1 5 2" xfId="91"/>
    <cellStyle name="计算 3" xfId="92"/>
    <cellStyle name="60% - 强调文字颜色 6 5 2" xfId="93"/>
    <cellStyle name="计算 4" xfId="94"/>
    <cellStyle name="标题 1 4 2" xfId="95"/>
    <cellStyle name="20% - 强调文字颜色 3 3 2" xfId="96"/>
    <cellStyle name="适中 2" xfId="97"/>
    <cellStyle name="计算 5" xfId="98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千位分隔 2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2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zoomScale="85" zoomScaleNormal="85" workbookViewId="0">
      <selection activeCell="A32" sqref="$A32:$XFD32"/>
    </sheetView>
  </sheetViews>
  <sheetFormatPr defaultColWidth="8.75" defaultRowHeight="14.25"/>
  <cols>
    <col min="1" max="1" width="3.75" style="254" customWidth="1"/>
    <col min="2" max="3" width="4.25" style="254" customWidth="1"/>
    <col min="4" max="4" width="6.5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7.79166666666667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27" width="12.625" style="254"/>
    <col min="28" max="34" width="9" style="254"/>
    <col min="35" max="35" width="12.625" style="254"/>
    <col min="36" max="36" width="10.375" style="254"/>
    <col min="37" max="37" width="9.375" style="254"/>
    <col min="38" max="16384" width="8.75" style="254"/>
  </cols>
  <sheetData>
    <row r="1" ht="17" customHeight="1" spans="1:23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V1" s="256">
        <v>1577700</v>
      </c>
      <c r="W1" s="256">
        <v>1012264.68</v>
      </c>
    </row>
    <row r="2" ht="14" customHeight="1" spans="1:18">
      <c r="A2" s="258">
        <v>45231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8" t="s">
        <v>1</v>
      </c>
      <c r="B3" s="260" t="s">
        <v>2</v>
      </c>
      <c r="C3" s="260" t="s">
        <v>3</v>
      </c>
      <c r="D3" s="8" t="s">
        <v>4</v>
      </c>
      <c r="E3" s="5" t="s">
        <v>5</v>
      </c>
      <c r="F3" s="5"/>
      <c r="G3" s="5"/>
      <c r="H3" s="260" t="s">
        <v>6</v>
      </c>
      <c r="I3" s="260" t="s">
        <v>7</v>
      </c>
      <c r="J3" s="260" t="s">
        <v>8</v>
      </c>
      <c r="K3" s="260" t="s">
        <v>9</v>
      </c>
      <c r="L3" s="8" t="s">
        <v>10</v>
      </c>
      <c r="M3" s="260" t="s">
        <v>11</v>
      </c>
      <c r="N3" s="260" t="s">
        <v>12</v>
      </c>
      <c r="O3" s="5" t="s">
        <v>13</v>
      </c>
      <c r="P3" s="5"/>
      <c r="Q3" s="8" t="s">
        <v>14</v>
      </c>
      <c r="R3" s="8" t="s">
        <v>15</v>
      </c>
      <c r="T3" s="256" t="s">
        <v>16</v>
      </c>
      <c r="U3" s="256" t="s">
        <v>17</v>
      </c>
      <c r="W3" s="256" t="s">
        <v>18</v>
      </c>
      <c r="X3" s="256" t="s">
        <v>19</v>
      </c>
      <c r="Y3" s="256" t="s">
        <v>20</v>
      </c>
      <c r="Z3" s="256" t="s">
        <v>21</v>
      </c>
      <c r="AD3" s="254" t="s">
        <v>22</v>
      </c>
      <c r="AE3" s="254" t="s">
        <v>23</v>
      </c>
      <c r="AF3" s="254" t="s">
        <v>24</v>
      </c>
      <c r="AG3" s="254" t="s">
        <v>25</v>
      </c>
      <c r="AH3" s="254" t="s">
        <v>26</v>
      </c>
      <c r="AI3" s="254" t="s">
        <v>27</v>
      </c>
      <c r="AK3" s="254" t="s">
        <v>28</v>
      </c>
      <c r="AL3" s="254" t="s">
        <v>19</v>
      </c>
    </row>
    <row r="4" ht="21" customHeight="1" spans="1:28">
      <c r="A4" s="261"/>
      <c r="B4" s="261" t="s">
        <v>29</v>
      </c>
      <c r="C4" s="261" t="s">
        <v>30</v>
      </c>
      <c r="D4" s="261"/>
      <c r="E4" s="261" t="s">
        <v>31</v>
      </c>
      <c r="F4" s="261" t="s">
        <v>32</v>
      </c>
      <c r="G4" s="261" t="s">
        <v>33</v>
      </c>
      <c r="H4" s="261" t="s">
        <v>34</v>
      </c>
      <c r="I4" s="261" t="s">
        <v>35</v>
      </c>
      <c r="J4" s="261" t="s">
        <v>36</v>
      </c>
      <c r="K4" s="261" t="s">
        <v>34</v>
      </c>
      <c r="L4" s="261"/>
      <c r="M4" s="261" t="s">
        <v>34</v>
      </c>
      <c r="N4" s="261" t="s">
        <v>34</v>
      </c>
      <c r="O4" s="261" t="s">
        <v>37</v>
      </c>
      <c r="P4" s="261" t="s">
        <v>38</v>
      </c>
      <c r="Q4" s="261"/>
      <c r="R4" s="261"/>
      <c r="T4" s="56" t="s">
        <v>39</v>
      </c>
      <c r="U4" s="279">
        <f>ROUND(J36*W4,2)</f>
        <v>1016755.93</v>
      </c>
      <c r="V4" s="279"/>
      <c r="W4" s="280">
        <f>W1/V1</f>
        <v>0.641607834189009</v>
      </c>
      <c r="X4" s="281">
        <f>J35/R35</f>
        <v>0.282866117237269</v>
      </c>
      <c r="Y4" s="256">
        <v>0.678412105877773</v>
      </c>
      <c r="Z4" s="312">
        <v>44929</v>
      </c>
      <c r="AA4" s="313"/>
      <c r="AB4" s="254" t="s">
        <v>40</v>
      </c>
    </row>
    <row r="5" ht="18.6" customHeight="1" spans="1:38">
      <c r="A5" s="6">
        <v>1</v>
      </c>
      <c r="B5" s="262">
        <v>26.5</v>
      </c>
      <c r="C5" s="63" t="s">
        <v>41</v>
      </c>
      <c r="D5" s="263">
        <v>185684</v>
      </c>
      <c r="E5" s="264">
        <v>0</v>
      </c>
      <c r="F5" s="264">
        <v>159.62</v>
      </c>
      <c r="G5" s="264">
        <v>0</v>
      </c>
      <c r="H5" s="265">
        <v>75</v>
      </c>
      <c r="I5" s="6">
        <v>3576</v>
      </c>
      <c r="J5" s="271">
        <v>48000</v>
      </c>
      <c r="K5" s="272">
        <v>12264</v>
      </c>
      <c r="L5" s="272">
        <v>0</v>
      </c>
      <c r="M5" s="273">
        <v>0</v>
      </c>
      <c r="N5" s="273">
        <v>0</v>
      </c>
      <c r="O5" s="274">
        <v>1.98</v>
      </c>
      <c r="P5" s="274">
        <v>0</v>
      </c>
      <c r="Q5" s="282">
        <v>0</v>
      </c>
      <c r="R5" s="283">
        <f>D5-Q5</f>
        <v>185684</v>
      </c>
      <c r="S5" s="284">
        <f>O5*1000</f>
        <v>1980</v>
      </c>
      <c r="T5" s="285" t="s">
        <v>42</v>
      </c>
      <c r="U5" s="286">
        <f>H36*W5/1000</f>
        <v>87500</v>
      </c>
      <c r="V5" s="279"/>
      <c r="W5" s="287">
        <v>28000</v>
      </c>
      <c r="X5" s="279">
        <f>H35/R35*1000</f>
        <v>0.557806913842661</v>
      </c>
      <c r="Y5" s="256">
        <v>28000</v>
      </c>
      <c r="Z5" s="312">
        <v>44656</v>
      </c>
      <c r="AA5" s="254">
        <f>J5*$W$4</f>
        <v>30797.1760410724</v>
      </c>
      <c r="AB5" s="314">
        <f>E5+F5+G5</f>
        <v>159.62</v>
      </c>
      <c r="AD5" s="254">
        <f t="shared" ref="AD5:AD35" si="0">$W$9*K5/1000/R5</f>
        <v>0.0274758406755563</v>
      </c>
      <c r="AE5" s="254">
        <f>$W$5*H5/1000/R5</f>
        <v>0.0113095366321277</v>
      </c>
      <c r="AF5" s="254">
        <f t="shared" ref="AF5:AF35" si="1">$W$6*L5/1000/R5</f>
        <v>0</v>
      </c>
      <c r="AG5" s="254">
        <f t="shared" ref="AG5:AG35" si="2">$W$7*M5/1000/R5</f>
        <v>0</v>
      </c>
      <c r="AH5" s="254">
        <f t="shared" ref="AH5:AH35" si="3">$W$8*N5/1000/R5</f>
        <v>0</v>
      </c>
      <c r="AI5" s="254">
        <f t="shared" ref="AI5:AI35" si="4">AD5+AE5+AF5+AG5+AH5</f>
        <v>0.038785377307684</v>
      </c>
      <c r="AJ5" s="254">
        <f>AI5*R5</f>
        <v>7201.824</v>
      </c>
      <c r="AK5" s="254">
        <f>AB5*(100-进出水!T7)/100</f>
        <v>34.3183</v>
      </c>
      <c r="AL5" s="254">
        <f t="shared" ref="AL5:AL35" si="5">H5/AK5</f>
        <v>2.18542293761637</v>
      </c>
    </row>
    <row r="6" ht="18.6" customHeight="1" spans="1:38">
      <c r="A6" s="6">
        <v>2</v>
      </c>
      <c r="B6" s="262">
        <v>26.1</v>
      </c>
      <c r="C6" s="63" t="s">
        <v>41</v>
      </c>
      <c r="D6" s="263">
        <v>204615</v>
      </c>
      <c r="E6" s="264">
        <v>0</v>
      </c>
      <c r="F6" s="264">
        <v>91.06</v>
      </c>
      <c r="G6" s="264">
        <v>0</v>
      </c>
      <c r="H6" s="265">
        <v>100</v>
      </c>
      <c r="I6" s="6">
        <v>4368</v>
      </c>
      <c r="J6" s="271">
        <v>50000</v>
      </c>
      <c r="K6" s="272">
        <v>11304</v>
      </c>
      <c r="L6" s="272">
        <v>0</v>
      </c>
      <c r="M6" s="273">
        <v>0</v>
      </c>
      <c r="N6" s="273">
        <v>0</v>
      </c>
      <c r="O6" s="274">
        <v>1.32</v>
      </c>
      <c r="P6" s="274">
        <v>0</v>
      </c>
      <c r="Q6" s="282">
        <v>0</v>
      </c>
      <c r="R6" s="283">
        <f t="shared" ref="R6:R35" si="6">D6-Q6</f>
        <v>204615</v>
      </c>
      <c r="S6" s="284">
        <f t="shared" ref="S6:S34" si="7">O6*1000</f>
        <v>1320</v>
      </c>
      <c r="T6" s="285" t="s">
        <v>43</v>
      </c>
      <c r="U6" s="286">
        <f>L36*W6/1000</f>
        <v>0</v>
      </c>
      <c r="V6" s="279">
        <f>U5+U6</f>
        <v>87500</v>
      </c>
      <c r="W6" s="56">
        <v>10400</v>
      </c>
      <c r="X6" s="279">
        <f>L35/R35*1000</f>
        <v>0</v>
      </c>
      <c r="Y6" s="256">
        <v>10400</v>
      </c>
      <c r="Z6" s="312">
        <v>44656</v>
      </c>
      <c r="AA6" s="254">
        <f t="shared" ref="AA6:AA34" si="8">J6*$W$4</f>
        <v>32080.3917094505</v>
      </c>
      <c r="AB6" s="314">
        <f t="shared" ref="AB6:AB34" si="9">E6+F6+G6</f>
        <v>91.06</v>
      </c>
      <c r="AD6" s="254">
        <f t="shared" si="0"/>
        <v>0.0229820101165604</v>
      </c>
      <c r="AE6" s="254">
        <f>$W$5*H6/1000/R6</f>
        <v>0.0136842362485644</v>
      </c>
      <c r="AF6" s="254">
        <f t="shared" si="1"/>
        <v>0</v>
      </c>
      <c r="AG6" s="254">
        <f t="shared" si="2"/>
        <v>0</v>
      </c>
      <c r="AH6" s="254">
        <f t="shared" si="3"/>
        <v>0</v>
      </c>
      <c r="AI6" s="254">
        <f t="shared" si="4"/>
        <v>0.0366662463651248</v>
      </c>
      <c r="AJ6" s="254">
        <f t="shared" ref="AJ6:AJ34" si="10">AI6*R6</f>
        <v>7502.46400000001</v>
      </c>
      <c r="AK6" s="254">
        <f>AB6*(100-进出水!T8)/100</f>
        <v>19.76002</v>
      </c>
      <c r="AL6" s="254">
        <f t="shared" si="5"/>
        <v>5.06072362274937</v>
      </c>
    </row>
    <row r="7" ht="18.6" customHeight="1" spans="1:38">
      <c r="A7" s="6">
        <v>3</v>
      </c>
      <c r="B7" s="262">
        <v>26.2</v>
      </c>
      <c r="C7" s="63" t="s">
        <v>41</v>
      </c>
      <c r="D7" s="263">
        <v>202679</v>
      </c>
      <c r="E7" s="264">
        <v>0</v>
      </c>
      <c r="F7" s="264">
        <v>104.98</v>
      </c>
      <c r="G7" s="264">
        <v>0</v>
      </c>
      <c r="H7" s="265">
        <v>100</v>
      </c>
      <c r="I7" s="6">
        <v>3232</v>
      </c>
      <c r="J7" s="271">
        <v>50500</v>
      </c>
      <c r="K7" s="272">
        <v>11616</v>
      </c>
      <c r="L7" s="272">
        <v>0</v>
      </c>
      <c r="M7" s="273">
        <v>0</v>
      </c>
      <c r="N7" s="273">
        <v>0</v>
      </c>
      <c r="O7" s="274">
        <v>1.8</v>
      </c>
      <c r="P7" s="274">
        <v>0</v>
      </c>
      <c r="Q7" s="282">
        <v>0</v>
      </c>
      <c r="R7" s="283">
        <f t="shared" si="6"/>
        <v>202679</v>
      </c>
      <c r="S7" s="284">
        <f t="shared" si="7"/>
        <v>1800</v>
      </c>
      <c r="T7" s="285" t="s">
        <v>44</v>
      </c>
      <c r="U7" s="286">
        <f>M36*W7/1000</f>
        <v>12693.096</v>
      </c>
      <c r="V7" s="279"/>
      <c r="W7" s="56">
        <v>468</v>
      </c>
      <c r="X7" s="279">
        <f>M35/R35*1000</f>
        <v>4.84122851751701</v>
      </c>
      <c r="Y7" s="256">
        <v>445</v>
      </c>
      <c r="Z7" s="312">
        <v>44656</v>
      </c>
      <c r="AA7" s="254">
        <f t="shared" si="8"/>
        <v>32401.195626545</v>
      </c>
      <c r="AB7" s="314">
        <f t="shared" si="9"/>
        <v>104.98</v>
      </c>
      <c r="AD7" s="254">
        <f t="shared" si="0"/>
        <v>0.0238419175148881</v>
      </c>
      <c r="AE7" s="254">
        <f>$W$5*H7/1000/R7</f>
        <v>0.0138149487613418</v>
      </c>
      <c r="AF7" s="254">
        <f t="shared" si="1"/>
        <v>0</v>
      </c>
      <c r="AG7" s="254">
        <f t="shared" si="2"/>
        <v>0</v>
      </c>
      <c r="AH7" s="254">
        <f t="shared" si="3"/>
        <v>0</v>
      </c>
      <c r="AI7" s="254">
        <f t="shared" si="4"/>
        <v>0.0376568662762299</v>
      </c>
      <c r="AJ7" s="254">
        <f t="shared" si="10"/>
        <v>7632.256</v>
      </c>
      <c r="AK7" s="254">
        <f>AB7*(100-进出水!T9)/100</f>
        <v>22.67568</v>
      </c>
      <c r="AL7" s="254">
        <f t="shared" si="5"/>
        <v>4.41001107794783</v>
      </c>
    </row>
    <row r="8" ht="18.6" customHeight="1" spans="1:38">
      <c r="A8" s="6">
        <v>4</v>
      </c>
      <c r="B8" s="262">
        <v>25.8</v>
      </c>
      <c r="C8" s="63" t="s">
        <v>41</v>
      </c>
      <c r="D8" s="263">
        <v>200081</v>
      </c>
      <c r="E8" s="264">
        <v>0</v>
      </c>
      <c r="F8" s="264">
        <v>106.04</v>
      </c>
      <c r="G8" s="264">
        <v>0</v>
      </c>
      <c r="H8" s="265">
        <v>75</v>
      </c>
      <c r="I8" s="6">
        <v>4106</v>
      </c>
      <c r="J8" s="271">
        <v>51400</v>
      </c>
      <c r="K8" s="272">
        <v>8304</v>
      </c>
      <c r="L8" s="272">
        <v>0</v>
      </c>
      <c r="M8" s="273">
        <v>0</v>
      </c>
      <c r="N8" s="273">
        <v>0</v>
      </c>
      <c r="O8" s="274">
        <v>2.16</v>
      </c>
      <c r="P8" s="274">
        <v>0</v>
      </c>
      <c r="Q8" s="282">
        <v>0</v>
      </c>
      <c r="R8" s="283">
        <f t="shared" si="6"/>
        <v>200081</v>
      </c>
      <c r="S8" s="284">
        <f t="shared" si="7"/>
        <v>2160</v>
      </c>
      <c r="T8" s="285" t="s">
        <v>45</v>
      </c>
      <c r="U8" s="286">
        <f>N36*W8/1000</f>
        <v>50017.272</v>
      </c>
      <c r="V8" s="279">
        <f>U7+U8</f>
        <v>62710.368</v>
      </c>
      <c r="W8" s="56">
        <v>5773</v>
      </c>
      <c r="X8" s="279">
        <f>N35/R35*1000</f>
        <v>1.5465085124905</v>
      </c>
      <c r="Y8" s="56">
        <v>6495</v>
      </c>
      <c r="Z8" s="312">
        <v>44900</v>
      </c>
      <c r="AA8" s="254">
        <f t="shared" si="8"/>
        <v>32978.6426773151</v>
      </c>
      <c r="AB8" s="314">
        <f t="shared" si="9"/>
        <v>106.04</v>
      </c>
      <c r="AD8" s="254">
        <f t="shared" si="0"/>
        <v>0.0172653275423453</v>
      </c>
      <c r="AE8" s="254">
        <f>$W$5*H8/1000/R8</f>
        <v>0.0104957492215653</v>
      </c>
      <c r="AF8" s="254">
        <f t="shared" si="1"/>
        <v>0</v>
      </c>
      <c r="AG8" s="254">
        <f t="shared" si="2"/>
        <v>0</v>
      </c>
      <c r="AH8" s="254">
        <f t="shared" si="3"/>
        <v>0</v>
      </c>
      <c r="AI8" s="254">
        <f t="shared" si="4"/>
        <v>0.0277610767639106</v>
      </c>
      <c r="AJ8" s="254">
        <f t="shared" si="10"/>
        <v>5554.464</v>
      </c>
      <c r="AK8" s="254">
        <f>AB8*(100-进出水!T10)/100</f>
        <v>23.01068</v>
      </c>
      <c r="AL8" s="254">
        <f t="shared" si="5"/>
        <v>3.25935609030242</v>
      </c>
    </row>
    <row r="9" ht="18.6" customHeight="1" spans="1:38">
      <c r="A9" s="6">
        <v>5</v>
      </c>
      <c r="B9" s="262">
        <v>26.3</v>
      </c>
      <c r="C9" s="63" t="s">
        <v>41</v>
      </c>
      <c r="D9" s="263">
        <v>209249</v>
      </c>
      <c r="E9" s="264">
        <v>0</v>
      </c>
      <c r="F9" s="264">
        <v>119.98</v>
      </c>
      <c r="G9" s="264">
        <v>0</v>
      </c>
      <c r="H9" s="265">
        <v>100</v>
      </c>
      <c r="I9" s="6">
        <v>3706</v>
      </c>
      <c r="J9" s="275">
        <v>55200</v>
      </c>
      <c r="K9" s="272">
        <v>12276</v>
      </c>
      <c r="L9" s="272">
        <v>0</v>
      </c>
      <c r="M9" s="273">
        <v>0</v>
      </c>
      <c r="N9" s="273">
        <v>0</v>
      </c>
      <c r="O9" s="274">
        <v>2.34</v>
      </c>
      <c r="P9" s="274">
        <v>0</v>
      </c>
      <c r="Q9" s="282">
        <v>0</v>
      </c>
      <c r="R9" s="283">
        <f t="shared" si="6"/>
        <v>209249</v>
      </c>
      <c r="S9" s="284">
        <f t="shared" si="7"/>
        <v>2340</v>
      </c>
      <c r="T9" s="285" t="s">
        <v>46</v>
      </c>
      <c r="U9" s="286">
        <f>K36*W9/1000</f>
        <v>75209.472</v>
      </c>
      <c r="V9" s="279"/>
      <c r="W9" s="56">
        <v>416</v>
      </c>
      <c r="X9" s="279">
        <f>K35/R35*1000</f>
        <v>32.2710488215816</v>
      </c>
      <c r="Y9" s="256">
        <v>526</v>
      </c>
      <c r="Z9" s="312">
        <v>44656</v>
      </c>
      <c r="AA9" s="254">
        <f t="shared" si="8"/>
        <v>35416.7524472333</v>
      </c>
      <c r="AB9" s="314">
        <f t="shared" si="9"/>
        <v>119.98</v>
      </c>
      <c r="AD9" s="254">
        <f t="shared" si="0"/>
        <v>0.0244054499663081</v>
      </c>
      <c r="AE9" s="254">
        <f>$W$5*H9/1000/R9</f>
        <v>0.0133811870068674</v>
      </c>
      <c r="AF9" s="254">
        <f t="shared" si="1"/>
        <v>0</v>
      </c>
      <c r="AG9" s="254">
        <f t="shared" si="2"/>
        <v>0</v>
      </c>
      <c r="AH9" s="254">
        <f t="shared" si="3"/>
        <v>0</v>
      </c>
      <c r="AI9" s="254">
        <f t="shared" si="4"/>
        <v>0.0377866369731755</v>
      </c>
      <c r="AJ9" s="254">
        <f t="shared" si="10"/>
        <v>7906.816</v>
      </c>
      <c r="AK9" s="254">
        <f>AB9*(100-进出水!T11)/100</f>
        <v>25.67572</v>
      </c>
      <c r="AL9" s="254">
        <f t="shared" si="5"/>
        <v>3.89473011857116</v>
      </c>
    </row>
    <row r="10" ht="18.6" customHeight="1" spans="1:38">
      <c r="A10" s="6">
        <v>6</v>
      </c>
      <c r="B10" s="262">
        <v>25.6</v>
      </c>
      <c r="C10" s="63" t="s">
        <v>41</v>
      </c>
      <c r="D10" s="263">
        <v>191662</v>
      </c>
      <c r="E10" s="264">
        <v>0</v>
      </c>
      <c r="F10" s="264">
        <v>32.28</v>
      </c>
      <c r="G10" s="264">
        <v>30</v>
      </c>
      <c r="H10" s="265">
        <v>75</v>
      </c>
      <c r="I10" s="6">
        <v>3256</v>
      </c>
      <c r="J10" s="271">
        <v>53200</v>
      </c>
      <c r="K10" s="272">
        <v>0</v>
      </c>
      <c r="L10" s="272">
        <v>0</v>
      </c>
      <c r="M10" s="273">
        <v>0</v>
      </c>
      <c r="N10" s="273">
        <v>0</v>
      </c>
      <c r="O10" s="274">
        <v>2.22</v>
      </c>
      <c r="P10" s="274">
        <v>0</v>
      </c>
      <c r="Q10" s="282">
        <v>0</v>
      </c>
      <c r="R10" s="283">
        <f t="shared" si="6"/>
        <v>191662</v>
      </c>
      <c r="S10" s="284">
        <f t="shared" si="7"/>
        <v>2220</v>
      </c>
      <c r="T10" s="285" t="s">
        <v>47</v>
      </c>
      <c r="U10" s="286">
        <f>T18</f>
        <v>32897.86</v>
      </c>
      <c r="V10" s="279" t="s">
        <v>48</v>
      </c>
      <c r="W10" s="288"/>
      <c r="X10" s="288"/>
      <c r="Y10" s="313"/>
      <c r="Z10" s="313"/>
      <c r="AA10" s="254">
        <f t="shared" si="8"/>
        <v>34133.5367788553</v>
      </c>
      <c r="AB10" s="314">
        <f t="shared" si="9"/>
        <v>62.28</v>
      </c>
      <c r="AD10" s="254">
        <f t="shared" si="0"/>
        <v>0</v>
      </c>
      <c r="AE10" s="254">
        <f>$W$5*H10/1000/R10</f>
        <v>0.0109567885131116</v>
      </c>
      <c r="AF10" s="254">
        <f t="shared" si="1"/>
        <v>0</v>
      </c>
      <c r="AG10" s="254">
        <f t="shared" si="2"/>
        <v>0</v>
      </c>
      <c r="AH10" s="254">
        <f t="shared" si="3"/>
        <v>0</v>
      </c>
      <c r="AI10" s="254">
        <f t="shared" si="4"/>
        <v>0.0109567885131116</v>
      </c>
      <c r="AJ10" s="254">
        <f t="shared" si="10"/>
        <v>2100</v>
      </c>
      <c r="AK10" s="254">
        <f>AB10*(100-进出水!T12)/100</f>
        <v>13.14108</v>
      </c>
      <c r="AL10" s="254">
        <f t="shared" si="5"/>
        <v>5.70729346446411</v>
      </c>
    </row>
    <row r="11" s="254" customFormat="1" ht="18.6" customHeight="1" spans="1:38">
      <c r="A11" s="6">
        <v>7</v>
      </c>
      <c r="B11" s="262">
        <v>25.4</v>
      </c>
      <c r="C11" s="63" t="s">
        <v>41</v>
      </c>
      <c r="D11" s="263">
        <v>162807</v>
      </c>
      <c r="E11" s="264">
        <v>121.2</v>
      </c>
      <c r="F11" s="264">
        <v>0</v>
      </c>
      <c r="G11" s="264">
        <v>0</v>
      </c>
      <c r="H11" s="265">
        <v>100</v>
      </c>
      <c r="I11" s="13">
        <v>3396</v>
      </c>
      <c r="J11" s="275">
        <v>46500</v>
      </c>
      <c r="K11" s="272">
        <v>936</v>
      </c>
      <c r="L11" s="272">
        <v>0</v>
      </c>
      <c r="M11" s="273">
        <v>0</v>
      </c>
      <c r="N11" s="273">
        <v>0</v>
      </c>
      <c r="O11" s="274">
        <v>2.22</v>
      </c>
      <c r="P11" s="274">
        <v>0</v>
      </c>
      <c r="Q11" s="282">
        <v>2</v>
      </c>
      <c r="R11" s="283">
        <f t="shared" si="6"/>
        <v>162805</v>
      </c>
      <c r="S11" s="284">
        <f t="shared" si="7"/>
        <v>2220</v>
      </c>
      <c r="T11" s="285" t="s">
        <v>49</v>
      </c>
      <c r="U11" s="286">
        <f>汇总!J5*4.2</f>
        <v>18190.2</v>
      </c>
      <c r="V11" s="279"/>
      <c r="W11" s="56">
        <v>4.2</v>
      </c>
      <c r="X11" s="56"/>
      <c r="Y11" s="56"/>
      <c r="Z11" s="256"/>
      <c r="AA11" s="254">
        <f t="shared" si="8"/>
        <v>29834.7642897889</v>
      </c>
      <c r="AB11" s="314">
        <f t="shared" si="9"/>
        <v>121.2</v>
      </c>
      <c r="AD11" s="254">
        <f t="shared" si="0"/>
        <v>0.00239167101747489</v>
      </c>
      <c r="AE11" s="254">
        <f>$W$5*H11/1000/R11</f>
        <v>0.0171984889898959</v>
      </c>
      <c r="AF11" s="254">
        <f t="shared" si="1"/>
        <v>0</v>
      </c>
      <c r="AG11" s="254">
        <f t="shared" si="2"/>
        <v>0</v>
      </c>
      <c r="AH11" s="254">
        <f t="shared" si="3"/>
        <v>0</v>
      </c>
      <c r="AI11" s="254">
        <f t="shared" si="4"/>
        <v>0.0195901600073708</v>
      </c>
      <c r="AJ11" s="254">
        <f t="shared" si="10"/>
        <v>3189.376</v>
      </c>
      <c r="AK11" s="254">
        <f>AB11*(100-进出水!T13)/100</f>
        <v>25.6944</v>
      </c>
      <c r="AL11" s="254">
        <f t="shared" si="5"/>
        <v>3.89189862382465</v>
      </c>
    </row>
    <row r="12" ht="18.6" customHeight="1" spans="1:38">
      <c r="A12" s="6">
        <v>8</v>
      </c>
      <c r="B12" s="262">
        <v>25.1</v>
      </c>
      <c r="C12" s="63" t="s">
        <v>41</v>
      </c>
      <c r="D12" s="265">
        <v>197085</v>
      </c>
      <c r="E12" s="264">
        <v>0</v>
      </c>
      <c r="F12" s="264">
        <v>104.98</v>
      </c>
      <c r="G12" s="264">
        <v>15</v>
      </c>
      <c r="H12" s="265">
        <v>75</v>
      </c>
      <c r="I12" s="6">
        <v>4342</v>
      </c>
      <c r="J12" s="271">
        <v>52300</v>
      </c>
      <c r="K12" s="272">
        <v>0</v>
      </c>
      <c r="L12" s="272">
        <v>0</v>
      </c>
      <c r="M12" s="273">
        <v>0</v>
      </c>
      <c r="N12" s="273">
        <v>0</v>
      </c>
      <c r="O12" s="274">
        <v>2.22</v>
      </c>
      <c r="P12" s="274">
        <v>0</v>
      </c>
      <c r="Q12" s="282">
        <v>0</v>
      </c>
      <c r="R12" s="283">
        <f t="shared" si="6"/>
        <v>197085</v>
      </c>
      <c r="S12" s="284">
        <f t="shared" si="7"/>
        <v>2220</v>
      </c>
      <c r="T12" s="289"/>
      <c r="U12" s="290"/>
      <c r="V12" s="288"/>
      <c r="W12" s="288"/>
      <c r="X12" s="288"/>
      <c r="AA12" s="254">
        <f t="shared" si="8"/>
        <v>33556.0897280852</v>
      </c>
      <c r="AB12" s="314">
        <f t="shared" si="9"/>
        <v>119.98</v>
      </c>
      <c r="AD12" s="254">
        <f t="shared" si="0"/>
        <v>0</v>
      </c>
      <c r="AE12" s="254">
        <f>$W$5*H12/1000/R12</f>
        <v>0.0106553010122536</v>
      </c>
      <c r="AF12" s="254">
        <f t="shared" si="1"/>
        <v>0</v>
      </c>
      <c r="AG12" s="254">
        <f t="shared" si="2"/>
        <v>0</v>
      </c>
      <c r="AH12" s="254">
        <f t="shared" si="3"/>
        <v>0</v>
      </c>
      <c r="AI12" s="254">
        <f t="shared" si="4"/>
        <v>0.0106553010122536</v>
      </c>
      <c r="AJ12" s="254">
        <f t="shared" si="10"/>
        <v>2100</v>
      </c>
      <c r="AK12" s="254">
        <f>AB12*(100-进出水!T14)/100</f>
        <v>25.7957</v>
      </c>
      <c r="AL12" s="254">
        <f t="shared" si="5"/>
        <v>2.90746132107289</v>
      </c>
    </row>
    <row r="13" ht="18.6" customHeight="1" spans="1:38">
      <c r="A13" s="6">
        <v>9</v>
      </c>
      <c r="B13" s="262">
        <v>25</v>
      </c>
      <c r="C13" s="63" t="s">
        <v>50</v>
      </c>
      <c r="D13" s="263">
        <v>190664</v>
      </c>
      <c r="E13" s="264">
        <v>17.34</v>
      </c>
      <c r="F13" s="264">
        <v>66.66</v>
      </c>
      <c r="G13" s="264">
        <v>0</v>
      </c>
      <c r="H13" s="265">
        <v>100</v>
      </c>
      <c r="I13" s="6">
        <v>4472</v>
      </c>
      <c r="J13" s="271">
        <v>53700</v>
      </c>
      <c r="K13" s="272">
        <v>0</v>
      </c>
      <c r="L13" s="272">
        <v>0</v>
      </c>
      <c r="M13" s="273">
        <v>0</v>
      </c>
      <c r="N13" s="273">
        <v>0</v>
      </c>
      <c r="O13" s="274">
        <v>2.28</v>
      </c>
      <c r="P13" s="274">
        <v>0</v>
      </c>
      <c r="Q13" s="282">
        <v>294</v>
      </c>
      <c r="R13" s="283">
        <f t="shared" si="6"/>
        <v>190370</v>
      </c>
      <c r="S13" s="284">
        <f t="shared" si="7"/>
        <v>2280</v>
      </c>
      <c r="T13" s="285"/>
      <c r="U13" s="291">
        <f>U14/R36</f>
        <v>0.0402370384861781</v>
      </c>
      <c r="V13" s="56"/>
      <c r="W13" s="56"/>
      <c r="X13" s="288"/>
      <c r="AA13" s="254">
        <f t="shared" si="8"/>
        <v>34454.3406959498</v>
      </c>
      <c r="AB13" s="314">
        <f t="shared" si="9"/>
        <v>84</v>
      </c>
      <c r="AD13" s="254">
        <f t="shared" si="0"/>
        <v>0</v>
      </c>
      <c r="AE13" s="254">
        <f>$W$5*H13/1000/R13</f>
        <v>0.0147081998214004</v>
      </c>
      <c r="AF13" s="254">
        <f t="shared" si="1"/>
        <v>0</v>
      </c>
      <c r="AG13" s="254">
        <f t="shared" si="2"/>
        <v>0</v>
      </c>
      <c r="AH13" s="254">
        <f t="shared" si="3"/>
        <v>0</v>
      </c>
      <c r="AI13" s="254">
        <f t="shared" si="4"/>
        <v>0.0147081998214004</v>
      </c>
      <c r="AJ13" s="254">
        <f t="shared" si="10"/>
        <v>2799.99999999999</v>
      </c>
      <c r="AK13" s="254">
        <f>AB13*(100-进出水!T15)/100</f>
        <v>17.976</v>
      </c>
      <c r="AL13" s="254">
        <f t="shared" si="5"/>
        <v>5.56297285269248</v>
      </c>
    </row>
    <row r="14" ht="18.6" customHeight="1" spans="1:38">
      <c r="A14" s="6">
        <v>10</v>
      </c>
      <c r="B14" s="262">
        <v>24.9</v>
      </c>
      <c r="C14" s="63" t="s">
        <v>51</v>
      </c>
      <c r="D14" s="263">
        <v>194129</v>
      </c>
      <c r="E14" s="264">
        <v>35.14</v>
      </c>
      <c r="F14" s="264">
        <v>68.7</v>
      </c>
      <c r="G14" s="264">
        <v>0</v>
      </c>
      <c r="H14" s="265">
        <v>75</v>
      </c>
      <c r="I14" s="6">
        <v>4248</v>
      </c>
      <c r="J14" s="271">
        <v>53900</v>
      </c>
      <c r="K14" s="272">
        <v>0</v>
      </c>
      <c r="L14" s="272">
        <v>0</v>
      </c>
      <c r="M14" s="273">
        <v>0</v>
      </c>
      <c r="N14" s="273">
        <v>0</v>
      </c>
      <c r="O14" s="274">
        <v>2.16</v>
      </c>
      <c r="P14" s="274">
        <v>0</v>
      </c>
      <c r="Q14" s="282">
        <v>0</v>
      </c>
      <c r="R14" s="283">
        <f t="shared" si="6"/>
        <v>194129</v>
      </c>
      <c r="S14" s="284">
        <f t="shared" si="7"/>
        <v>2160</v>
      </c>
      <c r="T14" s="292" t="s">
        <v>52</v>
      </c>
      <c r="U14" s="293">
        <f>U5+U6+U7+U8+U9</f>
        <v>225419.84</v>
      </c>
      <c r="V14" s="294" t="s">
        <v>53</v>
      </c>
      <c r="W14" s="295">
        <f>U6+U9</f>
        <v>75209.472</v>
      </c>
      <c r="X14" s="288"/>
      <c r="AA14" s="254">
        <f t="shared" si="8"/>
        <v>34582.6622627876</v>
      </c>
      <c r="AB14" s="314">
        <f t="shared" si="9"/>
        <v>103.84</v>
      </c>
      <c r="AD14" s="254">
        <f t="shared" si="0"/>
        <v>0</v>
      </c>
      <c r="AE14" s="254">
        <f>$W$5*H14/1000/R14</f>
        <v>0.0108175491554585</v>
      </c>
      <c r="AF14" s="254">
        <f t="shared" si="1"/>
        <v>0</v>
      </c>
      <c r="AG14" s="254">
        <f t="shared" si="2"/>
        <v>0</v>
      </c>
      <c r="AH14" s="254">
        <f t="shared" si="3"/>
        <v>0</v>
      </c>
      <c r="AI14" s="254">
        <f t="shared" si="4"/>
        <v>0.0108175491554585</v>
      </c>
      <c r="AJ14" s="254">
        <f t="shared" si="10"/>
        <v>2100</v>
      </c>
      <c r="AK14" s="254">
        <f>AB14*(100-进出水!T16)/100</f>
        <v>21.91024</v>
      </c>
      <c r="AL14" s="254">
        <f t="shared" si="5"/>
        <v>3.42305698157574</v>
      </c>
    </row>
    <row r="15" ht="18.6" customHeight="1" spans="1:38">
      <c r="A15" s="6">
        <v>11</v>
      </c>
      <c r="B15" s="262">
        <v>24.7</v>
      </c>
      <c r="C15" s="63" t="s">
        <v>54</v>
      </c>
      <c r="D15" s="263">
        <v>193419</v>
      </c>
      <c r="E15" s="264">
        <v>52.98</v>
      </c>
      <c r="F15" s="264">
        <v>53.66</v>
      </c>
      <c r="G15" s="264">
        <v>0</v>
      </c>
      <c r="H15" s="265">
        <v>75</v>
      </c>
      <c r="I15" s="6">
        <v>4836</v>
      </c>
      <c r="J15" s="275">
        <v>53200</v>
      </c>
      <c r="K15" s="272">
        <v>0</v>
      </c>
      <c r="L15" s="272">
        <v>0</v>
      </c>
      <c r="M15" s="273">
        <v>0</v>
      </c>
      <c r="N15" s="273">
        <v>0</v>
      </c>
      <c r="O15" s="274">
        <v>2.18</v>
      </c>
      <c r="P15" s="274">
        <v>0</v>
      </c>
      <c r="Q15" s="282">
        <v>0</v>
      </c>
      <c r="R15" s="283">
        <f t="shared" si="6"/>
        <v>193419</v>
      </c>
      <c r="S15" s="284">
        <f t="shared" si="7"/>
        <v>2180</v>
      </c>
      <c r="T15" s="292" t="s">
        <v>55</v>
      </c>
      <c r="U15" s="296" t="s">
        <v>56</v>
      </c>
      <c r="V15" s="296" t="s">
        <v>57</v>
      </c>
      <c r="W15" s="294" t="s">
        <v>58</v>
      </c>
      <c r="X15" s="288"/>
      <c r="AA15" s="254">
        <f t="shared" si="8"/>
        <v>34133.5367788553</v>
      </c>
      <c r="AB15" s="314">
        <f t="shared" si="9"/>
        <v>106.64</v>
      </c>
      <c r="AD15" s="254">
        <f t="shared" si="0"/>
        <v>0</v>
      </c>
      <c r="AE15" s="254">
        <f>$W$5*H15/1000/R15</f>
        <v>0.0108572580770245</v>
      </c>
      <c r="AF15" s="254">
        <f t="shared" si="1"/>
        <v>0</v>
      </c>
      <c r="AG15" s="254">
        <f t="shared" si="2"/>
        <v>0</v>
      </c>
      <c r="AH15" s="254">
        <f t="shared" si="3"/>
        <v>0</v>
      </c>
      <c r="AI15" s="254">
        <f t="shared" si="4"/>
        <v>0.0108572580770245</v>
      </c>
      <c r="AJ15" s="254">
        <f t="shared" si="10"/>
        <v>2100</v>
      </c>
      <c r="AK15" s="254">
        <f>AB15*(100-进出水!T17)/100</f>
        <v>22.82096</v>
      </c>
      <c r="AL15" s="254">
        <f t="shared" si="5"/>
        <v>3.28645245423505</v>
      </c>
    </row>
    <row r="16" ht="18.6" customHeight="1" spans="1:38">
      <c r="A16" s="6">
        <v>12</v>
      </c>
      <c r="B16" s="262">
        <v>24</v>
      </c>
      <c r="C16" s="63" t="s">
        <v>50</v>
      </c>
      <c r="D16" s="263">
        <v>184541</v>
      </c>
      <c r="E16" s="264">
        <v>0</v>
      </c>
      <c r="F16" s="264">
        <v>104.2</v>
      </c>
      <c r="G16" s="264">
        <v>0</v>
      </c>
      <c r="H16" s="265">
        <v>100</v>
      </c>
      <c r="I16" s="6">
        <v>3932</v>
      </c>
      <c r="J16" s="276">
        <v>53700</v>
      </c>
      <c r="K16" s="272">
        <v>0</v>
      </c>
      <c r="L16" s="272">
        <v>0</v>
      </c>
      <c r="M16" s="273">
        <v>0</v>
      </c>
      <c r="N16" s="273">
        <v>0</v>
      </c>
      <c r="O16" s="274">
        <v>2.7</v>
      </c>
      <c r="P16" s="274">
        <v>0</v>
      </c>
      <c r="Q16" s="282">
        <v>151</v>
      </c>
      <c r="R16" s="283">
        <f t="shared" si="6"/>
        <v>184390</v>
      </c>
      <c r="S16" s="284">
        <f t="shared" si="7"/>
        <v>2700</v>
      </c>
      <c r="T16" s="297">
        <f>U16+V16+W16</f>
        <v>3535.1</v>
      </c>
      <c r="U16" s="295">
        <f>F36</f>
        <v>3200.2</v>
      </c>
      <c r="V16" s="295">
        <f>E36</f>
        <v>226.66</v>
      </c>
      <c r="W16" s="295">
        <f>G36</f>
        <v>108.24</v>
      </c>
      <c r="X16" s="288"/>
      <c r="AA16" s="254">
        <f t="shared" si="8"/>
        <v>34454.3406959498</v>
      </c>
      <c r="AB16" s="314">
        <f t="shared" si="9"/>
        <v>104.2</v>
      </c>
      <c r="AD16" s="254">
        <f t="shared" si="0"/>
        <v>0</v>
      </c>
      <c r="AE16" s="254">
        <f>$W$5*H16/1000/R16</f>
        <v>0.0151852052714355</v>
      </c>
      <c r="AF16" s="254">
        <f t="shared" si="1"/>
        <v>0</v>
      </c>
      <c r="AG16" s="254">
        <f t="shared" si="2"/>
        <v>0</v>
      </c>
      <c r="AH16" s="254">
        <f t="shared" si="3"/>
        <v>0</v>
      </c>
      <c r="AI16" s="254">
        <f t="shared" si="4"/>
        <v>0.0151852052714355</v>
      </c>
      <c r="AJ16" s="254">
        <f t="shared" si="10"/>
        <v>2799.99999999999</v>
      </c>
      <c r="AK16" s="254">
        <f>AB16*(100-进出水!T18)/100</f>
        <v>22.0904</v>
      </c>
      <c r="AL16" s="254">
        <f t="shared" si="5"/>
        <v>4.52685329373846</v>
      </c>
    </row>
    <row r="17" ht="18.6" customHeight="1" spans="1:38">
      <c r="A17" s="6">
        <v>13</v>
      </c>
      <c r="B17" s="262">
        <v>23.6</v>
      </c>
      <c r="C17" s="63" t="s">
        <v>41</v>
      </c>
      <c r="D17" s="263">
        <v>188675</v>
      </c>
      <c r="E17" s="264">
        <v>0</v>
      </c>
      <c r="F17" s="264">
        <v>125.98</v>
      </c>
      <c r="G17" s="264">
        <v>0</v>
      </c>
      <c r="H17" s="265">
        <v>75</v>
      </c>
      <c r="I17" s="6">
        <v>3442</v>
      </c>
      <c r="J17" s="276">
        <v>52700</v>
      </c>
      <c r="K17" s="272">
        <v>0</v>
      </c>
      <c r="L17" s="272">
        <v>0</v>
      </c>
      <c r="M17" s="273">
        <v>0</v>
      </c>
      <c r="N17" s="273">
        <v>0</v>
      </c>
      <c r="O17" s="274">
        <v>2.22</v>
      </c>
      <c r="P17" s="274">
        <v>0</v>
      </c>
      <c r="Q17" s="282">
        <v>0</v>
      </c>
      <c r="R17" s="283">
        <f t="shared" si="6"/>
        <v>188675</v>
      </c>
      <c r="S17" s="284">
        <f t="shared" si="7"/>
        <v>2220</v>
      </c>
      <c r="T17" s="292" t="s">
        <v>59</v>
      </c>
      <c r="U17" s="298">
        <v>9.6</v>
      </c>
      <c r="V17" s="298">
        <v>9.6</v>
      </c>
      <c r="W17" s="294"/>
      <c r="X17" s="288"/>
      <c r="Y17" s="315"/>
      <c r="Z17" s="315"/>
      <c r="AA17" s="254">
        <f t="shared" si="8"/>
        <v>33812.7328617608</v>
      </c>
      <c r="AB17" s="314">
        <f t="shared" si="9"/>
        <v>125.98</v>
      </c>
      <c r="AD17" s="254">
        <f t="shared" si="0"/>
        <v>0</v>
      </c>
      <c r="AE17" s="254">
        <f>$W$5*H17/1000/R17</f>
        <v>0.0111302504306347</v>
      </c>
      <c r="AF17" s="254">
        <f t="shared" si="1"/>
        <v>0</v>
      </c>
      <c r="AG17" s="254">
        <f t="shared" si="2"/>
        <v>0</v>
      </c>
      <c r="AH17" s="254">
        <f t="shared" si="3"/>
        <v>0</v>
      </c>
      <c r="AI17" s="254">
        <f t="shared" si="4"/>
        <v>0.0111302504306347</v>
      </c>
      <c r="AJ17" s="254">
        <f t="shared" si="10"/>
        <v>2100</v>
      </c>
      <c r="AK17" s="254">
        <f>AB17*(100-进出水!T19)/100</f>
        <v>27.46364</v>
      </c>
      <c r="AL17" s="254">
        <f t="shared" si="5"/>
        <v>2.73088345172017</v>
      </c>
    </row>
    <row r="18" s="254" customFormat="1" ht="18.6" customHeight="1" spans="1:38">
      <c r="A18" s="6">
        <v>14</v>
      </c>
      <c r="B18" s="262">
        <v>23.1</v>
      </c>
      <c r="C18" s="63" t="s">
        <v>41</v>
      </c>
      <c r="D18" s="263">
        <v>200801</v>
      </c>
      <c r="E18" s="264">
        <v>0</v>
      </c>
      <c r="F18" s="264">
        <v>110.04</v>
      </c>
      <c r="G18" s="264">
        <v>0</v>
      </c>
      <c r="H18" s="265">
        <v>100</v>
      </c>
      <c r="I18" s="6">
        <v>4010</v>
      </c>
      <c r="J18" s="276">
        <v>54200</v>
      </c>
      <c r="K18" s="272">
        <v>0</v>
      </c>
      <c r="L18" s="272">
        <v>0</v>
      </c>
      <c r="M18" s="273">
        <v>0</v>
      </c>
      <c r="N18" s="273">
        <v>0</v>
      </c>
      <c r="O18" s="274">
        <v>3.3</v>
      </c>
      <c r="P18" s="274">
        <v>0</v>
      </c>
      <c r="Q18" s="282">
        <v>0</v>
      </c>
      <c r="R18" s="283">
        <f t="shared" si="6"/>
        <v>200801</v>
      </c>
      <c r="S18" s="284">
        <f t="shared" si="7"/>
        <v>3300</v>
      </c>
      <c r="T18" s="297">
        <f>U18+V18</f>
        <v>32897.86</v>
      </c>
      <c r="U18" s="295">
        <f>ROUND(U16*U17,2)</f>
        <v>30721.92</v>
      </c>
      <c r="V18" s="294">
        <f>ROUND(V16*V17,2)</f>
        <v>2175.94</v>
      </c>
      <c r="W18" s="294"/>
      <c r="X18" s="288"/>
      <c r="Y18" s="315"/>
      <c r="Z18" s="315"/>
      <c r="AA18" s="254">
        <f t="shared" si="8"/>
        <v>34775.1446130443</v>
      </c>
      <c r="AB18" s="314">
        <f t="shared" si="9"/>
        <v>110.04</v>
      </c>
      <c r="AD18" s="254">
        <f t="shared" si="0"/>
        <v>0</v>
      </c>
      <c r="AE18" s="254">
        <f>$W$5*H18/1000/R18</f>
        <v>0.0139441536645734</v>
      </c>
      <c r="AF18" s="254">
        <f t="shared" si="1"/>
        <v>0</v>
      </c>
      <c r="AG18" s="254">
        <f t="shared" si="2"/>
        <v>0</v>
      </c>
      <c r="AH18" s="254">
        <f t="shared" si="3"/>
        <v>0</v>
      </c>
      <c r="AI18" s="254">
        <f t="shared" si="4"/>
        <v>0.0139441536645734</v>
      </c>
      <c r="AJ18" s="254">
        <f t="shared" si="10"/>
        <v>2800</v>
      </c>
      <c r="AK18" s="254">
        <f>AB18*(100-进出水!T20)/100</f>
        <v>23.76864</v>
      </c>
      <c r="AL18" s="254">
        <f t="shared" si="5"/>
        <v>4.20722430900548</v>
      </c>
    </row>
    <row r="19" ht="18.6" customHeight="1" spans="1:38">
      <c r="A19" s="6">
        <v>15</v>
      </c>
      <c r="B19" s="262">
        <v>23.4</v>
      </c>
      <c r="C19" s="63" t="s">
        <v>41</v>
      </c>
      <c r="D19" s="263">
        <v>175404</v>
      </c>
      <c r="E19" s="264">
        <v>0</v>
      </c>
      <c r="F19" s="264">
        <v>108.74</v>
      </c>
      <c r="G19" s="264">
        <v>0</v>
      </c>
      <c r="H19" s="265">
        <v>75</v>
      </c>
      <c r="I19" s="6">
        <v>4232</v>
      </c>
      <c r="J19" s="276">
        <v>50500</v>
      </c>
      <c r="K19" s="272">
        <v>0</v>
      </c>
      <c r="L19" s="272">
        <v>0</v>
      </c>
      <c r="M19" s="273">
        <v>0</v>
      </c>
      <c r="N19" s="273">
        <v>0</v>
      </c>
      <c r="O19" s="274">
        <v>4.44</v>
      </c>
      <c r="P19" s="274">
        <v>0</v>
      </c>
      <c r="Q19" s="282">
        <v>0</v>
      </c>
      <c r="R19" s="283">
        <f t="shared" si="6"/>
        <v>175404</v>
      </c>
      <c r="S19" s="284">
        <f t="shared" si="7"/>
        <v>4440</v>
      </c>
      <c r="T19" s="292" t="s">
        <v>60</v>
      </c>
      <c r="U19" s="296"/>
      <c r="V19" s="298">
        <v>0</v>
      </c>
      <c r="W19" s="294"/>
      <c r="X19" s="288"/>
      <c r="AA19" s="254">
        <f t="shared" si="8"/>
        <v>32401.195626545</v>
      </c>
      <c r="AB19" s="314">
        <f t="shared" si="9"/>
        <v>108.74</v>
      </c>
      <c r="AD19" s="254">
        <f t="shared" si="0"/>
        <v>0</v>
      </c>
      <c r="AE19" s="254">
        <f>$W$5*H19/1000/R19</f>
        <v>0.0119723609495793</v>
      </c>
      <c r="AF19" s="254">
        <f t="shared" si="1"/>
        <v>0</v>
      </c>
      <c r="AG19" s="254">
        <f t="shared" si="2"/>
        <v>0</v>
      </c>
      <c r="AH19" s="254">
        <f t="shared" si="3"/>
        <v>0</v>
      </c>
      <c r="AI19" s="254">
        <f t="shared" si="4"/>
        <v>0.0119723609495793</v>
      </c>
      <c r="AJ19" s="254">
        <f t="shared" si="10"/>
        <v>2100.00000000001</v>
      </c>
      <c r="AK19" s="254">
        <f>AB19*(100-进出水!T21)/100</f>
        <v>23.3791</v>
      </c>
      <c r="AL19" s="254">
        <f t="shared" si="5"/>
        <v>3.20799346424798</v>
      </c>
    </row>
    <row r="20" ht="18.6" customHeight="1" spans="1:38">
      <c r="A20" s="6">
        <v>16</v>
      </c>
      <c r="B20" s="262">
        <v>23.1</v>
      </c>
      <c r="C20" s="63" t="s">
        <v>41</v>
      </c>
      <c r="D20" s="263">
        <v>200014</v>
      </c>
      <c r="E20" s="264">
        <v>0</v>
      </c>
      <c r="F20" s="264">
        <v>100.46</v>
      </c>
      <c r="G20" s="264">
        <v>0</v>
      </c>
      <c r="H20" s="265">
        <v>100</v>
      </c>
      <c r="I20" s="6">
        <v>4474</v>
      </c>
      <c r="J20" s="276">
        <v>53100</v>
      </c>
      <c r="K20" s="272">
        <v>8160</v>
      </c>
      <c r="L20" s="272">
        <v>0</v>
      </c>
      <c r="M20" s="273">
        <v>0</v>
      </c>
      <c r="N20" s="273">
        <v>0</v>
      </c>
      <c r="O20" s="274">
        <v>4.2</v>
      </c>
      <c r="P20" s="274">
        <v>0</v>
      </c>
      <c r="Q20" s="282">
        <v>0</v>
      </c>
      <c r="R20" s="283">
        <f t="shared" si="6"/>
        <v>200014</v>
      </c>
      <c r="S20" s="284">
        <f t="shared" si="7"/>
        <v>4200</v>
      </c>
      <c r="T20" s="297">
        <f>U20+V20</f>
        <v>0</v>
      </c>
      <c r="U20" s="296"/>
      <c r="V20" s="294">
        <f>ROUND(V16*V19,2)</f>
        <v>0</v>
      </c>
      <c r="W20" s="294"/>
      <c r="X20" s="288"/>
      <c r="AA20" s="254">
        <f t="shared" si="8"/>
        <v>34069.3759954364</v>
      </c>
      <c r="AB20" s="314">
        <f t="shared" si="9"/>
        <v>100.46</v>
      </c>
      <c r="AD20" s="254">
        <f t="shared" si="0"/>
        <v>0.0169716119871609</v>
      </c>
      <c r="AE20" s="254">
        <f>$W$5*H20/1000/R20</f>
        <v>0.0139990200685952</v>
      </c>
      <c r="AF20" s="254">
        <f t="shared" si="1"/>
        <v>0</v>
      </c>
      <c r="AG20" s="254">
        <f t="shared" si="2"/>
        <v>0</v>
      </c>
      <c r="AH20" s="254">
        <f t="shared" si="3"/>
        <v>0</v>
      </c>
      <c r="AI20" s="254">
        <f t="shared" si="4"/>
        <v>0.0309706320557561</v>
      </c>
      <c r="AJ20" s="254">
        <f t="shared" si="10"/>
        <v>6194.56</v>
      </c>
      <c r="AK20" s="254">
        <f>AB20*(100-进出水!T22)/100</f>
        <v>21.29752</v>
      </c>
      <c r="AL20" s="254">
        <f t="shared" si="5"/>
        <v>4.69538237315894</v>
      </c>
    </row>
    <row r="21" ht="18.6" customHeight="1" spans="1:38">
      <c r="A21" s="6">
        <v>17</v>
      </c>
      <c r="B21" s="262">
        <v>23.2</v>
      </c>
      <c r="C21" s="63" t="s">
        <v>41</v>
      </c>
      <c r="D21" s="263">
        <v>194201</v>
      </c>
      <c r="E21" s="264">
        <v>0</v>
      </c>
      <c r="F21" s="264">
        <v>122</v>
      </c>
      <c r="G21" s="264">
        <v>0</v>
      </c>
      <c r="H21" s="265">
        <v>75</v>
      </c>
      <c r="I21" s="6">
        <v>4450</v>
      </c>
      <c r="J21" s="276">
        <v>53200</v>
      </c>
      <c r="K21" s="272">
        <v>13008</v>
      </c>
      <c r="L21" s="272">
        <v>0</v>
      </c>
      <c r="M21" s="273">
        <v>0</v>
      </c>
      <c r="N21" s="273">
        <v>0</v>
      </c>
      <c r="O21" s="274">
        <v>3.36</v>
      </c>
      <c r="P21" s="274">
        <v>0</v>
      </c>
      <c r="Q21" s="282">
        <v>0</v>
      </c>
      <c r="R21" s="283">
        <f t="shared" si="6"/>
        <v>194201</v>
      </c>
      <c r="S21" s="284">
        <f t="shared" si="7"/>
        <v>3360</v>
      </c>
      <c r="T21" s="292" t="s">
        <v>61</v>
      </c>
      <c r="U21" s="299" t="s">
        <v>62</v>
      </c>
      <c r="V21" s="300">
        <f>V17+V19</f>
        <v>9.6</v>
      </c>
      <c r="W21" s="56" t="s">
        <v>63</v>
      </c>
      <c r="X21" s="288"/>
      <c r="AA21" s="254">
        <f t="shared" si="8"/>
        <v>34133.5367788553</v>
      </c>
      <c r="AB21" s="314">
        <f t="shared" si="9"/>
        <v>122</v>
      </c>
      <c r="AD21" s="254">
        <f t="shared" si="0"/>
        <v>0.0278645733029181</v>
      </c>
      <c r="AE21" s="254">
        <f>$W$5*H21/1000/R21</f>
        <v>0.0108135385502649</v>
      </c>
      <c r="AF21" s="254">
        <f t="shared" si="1"/>
        <v>0</v>
      </c>
      <c r="AG21" s="254">
        <f t="shared" si="2"/>
        <v>0</v>
      </c>
      <c r="AH21" s="254">
        <f t="shared" si="3"/>
        <v>0</v>
      </c>
      <c r="AI21" s="254">
        <f t="shared" si="4"/>
        <v>0.038678111853183</v>
      </c>
      <c r="AJ21" s="254">
        <f t="shared" si="10"/>
        <v>7511.32799999999</v>
      </c>
      <c r="AK21" s="254">
        <f>AB21*(100-进出水!T23)/100</f>
        <v>26.23</v>
      </c>
      <c r="AL21" s="254">
        <f t="shared" si="5"/>
        <v>2.85932138772398</v>
      </c>
    </row>
    <row r="22" ht="18.6" customHeight="1" spans="1:38">
      <c r="A22" s="6">
        <v>18</v>
      </c>
      <c r="B22" s="262">
        <v>23.1</v>
      </c>
      <c r="C22" s="63" t="s">
        <v>41</v>
      </c>
      <c r="D22" s="263">
        <v>181019</v>
      </c>
      <c r="E22" s="264">
        <v>0</v>
      </c>
      <c r="F22" s="264">
        <v>105.14</v>
      </c>
      <c r="G22" s="264">
        <v>0</v>
      </c>
      <c r="H22" s="265">
        <v>75</v>
      </c>
      <c r="I22" s="6">
        <v>4210</v>
      </c>
      <c r="J22" s="63">
        <v>51400</v>
      </c>
      <c r="K22" s="272">
        <v>12696</v>
      </c>
      <c r="L22" s="272">
        <v>0</v>
      </c>
      <c r="M22" s="273">
        <v>0</v>
      </c>
      <c r="N22" s="273">
        <v>0</v>
      </c>
      <c r="O22" s="274">
        <v>2.1</v>
      </c>
      <c r="P22" s="274">
        <v>0</v>
      </c>
      <c r="Q22" s="282">
        <v>0</v>
      </c>
      <c r="R22" s="283">
        <f t="shared" si="6"/>
        <v>181019</v>
      </c>
      <c r="S22" s="284">
        <f t="shared" si="7"/>
        <v>2100</v>
      </c>
      <c r="T22" s="297">
        <f>T18+T20</f>
        <v>32897.86</v>
      </c>
      <c r="U22" s="299"/>
      <c r="V22" s="56"/>
      <c r="W22" s="301">
        <f>T16-E36-F36-G36</f>
        <v>-2.1316282072803e-13</v>
      </c>
      <c r="X22" s="288"/>
      <c r="AA22" s="254">
        <f t="shared" si="8"/>
        <v>32978.6426773151</v>
      </c>
      <c r="AB22" s="314">
        <f t="shared" si="9"/>
        <v>105.14</v>
      </c>
      <c r="AD22" s="254">
        <f t="shared" si="0"/>
        <v>0.0291766941591767</v>
      </c>
      <c r="AE22" s="254">
        <f>$W$5*H22/1000/R22</f>
        <v>0.0116009921610439</v>
      </c>
      <c r="AF22" s="254">
        <f t="shared" si="1"/>
        <v>0</v>
      </c>
      <c r="AG22" s="254">
        <f t="shared" si="2"/>
        <v>0</v>
      </c>
      <c r="AH22" s="254">
        <f t="shared" si="3"/>
        <v>0</v>
      </c>
      <c r="AI22" s="254">
        <f t="shared" si="4"/>
        <v>0.0407776863202206</v>
      </c>
      <c r="AJ22" s="254">
        <f t="shared" si="10"/>
        <v>7381.53600000001</v>
      </c>
      <c r="AK22" s="254">
        <f>AB22*(100-进出水!T24)/100</f>
        <v>22.81538</v>
      </c>
      <c r="AL22" s="254">
        <f t="shared" si="5"/>
        <v>3.28725622803565</v>
      </c>
    </row>
    <row r="23" ht="18.6" customHeight="1" spans="1:38">
      <c r="A23" s="6">
        <v>19</v>
      </c>
      <c r="B23" s="262">
        <v>23.6</v>
      </c>
      <c r="C23" s="63" t="s">
        <v>41</v>
      </c>
      <c r="D23" s="263">
        <v>172907</v>
      </c>
      <c r="E23" s="264">
        <v>0</v>
      </c>
      <c r="F23" s="264">
        <v>105.28</v>
      </c>
      <c r="G23" s="264">
        <v>0</v>
      </c>
      <c r="H23" s="265">
        <v>100</v>
      </c>
      <c r="I23" s="6">
        <v>4374</v>
      </c>
      <c r="J23" s="63">
        <v>50600</v>
      </c>
      <c r="K23" s="272">
        <v>12672</v>
      </c>
      <c r="L23" s="272">
        <v>0</v>
      </c>
      <c r="M23" s="273">
        <v>0</v>
      </c>
      <c r="N23" s="273">
        <v>0</v>
      </c>
      <c r="O23" s="274">
        <v>2.38</v>
      </c>
      <c r="P23" s="274">
        <v>0</v>
      </c>
      <c r="Q23" s="282">
        <v>0</v>
      </c>
      <c r="R23" s="283">
        <f t="shared" si="6"/>
        <v>172907</v>
      </c>
      <c r="S23" s="284">
        <f t="shared" si="7"/>
        <v>2380</v>
      </c>
      <c r="T23" s="285"/>
      <c r="U23" s="302"/>
      <c r="V23" s="56"/>
      <c r="W23" s="56"/>
      <c r="X23" s="56"/>
      <c r="AA23" s="254">
        <f t="shared" si="8"/>
        <v>32465.3564099639</v>
      </c>
      <c r="AB23" s="314">
        <f t="shared" si="9"/>
        <v>105.28</v>
      </c>
      <c r="AD23" s="254">
        <f t="shared" si="0"/>
        <v>0.0304877882329807</v>
      </c>
      <c r="AE23" s="254">
        <f>$W$5*H23/1000/R23</f>
        <v>0.0161936763693778</v>
      </c>
      <c r="AF23" s="254">
        <f t="shared" si="1"/>
        <v>0</v>
      </c>
      <c r="AG23" s="254">
        <f t="shared" si="2"/>
        <v>0</v>
      </c>
      <c r="AH23" s="254">
        <f t="shared" si="3"/>
        <v>0</v>
      </c>
      <c r="AI23" s="254">
        <f t="shared" si="4"/>
        <v>0.0466814646023585</v>
      </c>
      <c r="AJ23" s="254">
        <f t="shared" si="10"/>
        <v>8071.552</v>
      </c>
      <c r="AK23" s="254">
        <f>AB23*(100-进出水!T25)/100</f>
        <v>22.95104</v>
      </c>
      <c r="AL23" s="254">
        <f t="shared" si="5"/>
        <v>4.35710102897298</v>
      </c>
    </row>
    <row r="24" ht="18.6" customHeight="1" spans="1:38">
      <c r="A24" s="6">
        <v>20</v>
      </c>
      <c r="B24" s="262">
        <v>26.3</v>
      </c>
      <c r="C24" s="63" t="s">
        <v>41</v>
      </c>
      <c r="D24" s="263">
        <v>161127</v>
      </c>
      <c r="E24" s="264">
        <v>0</v>
      </c>
      <c r="F24" s="264">
        <v>103.94</v>
      </c>
      <c r="G24" s="264">
        <v>0</v>
      </c>
      <c r="H24" s="265">
        <v>75</v>
      </c>
      <c r="I24" s="6">
        <v>4216</v>
      </c>
      <c r="J24" s="63">
        <v>48800</v>
      </c>
      <c r="K24" s="272">
        <v>12552</v>
      </c>
      <c r="L24" s="272">
        <v>0</v>
      </c>
      <c r="M24" s="273">
        <v>0</v>
      </c>
      <c r="N24" s="273">
        <v>0</v>
      </c>
      <c r="O24" s="274">
        <v>2.52</v>
      </c>
      <c r="P24" s="274">
        <v>0</v>
      </c>
      <c r="Q24" s="282">
        <v>0</v>
      </c>
      <c r="R24" s="283">
        <f t="shared" si="6"/>
        <v>161127</v>
      </c>
      <c r="S24" s="284">
        <f t="shared" si="7"/>
        <v>2520</v>
      </c>
      <c r="T24" s="285" t="s">
        <v>64</v>
      </c>
      <c r="U24" s="302" t="s">
        <v>65</v>
      </c>
      <c r="V24" s="303">
        <f>H36</f>
        <v>3125</v>
      </c>
      <c r="W24" s="56">
        <f>L36</f>
        <v>0</v>
      </c>
      <c r="X24" s="56"/>
      <c r="AA24" s="254">
        <f t="shared" si="8"/>
        <v>31310.4623084237</v>
      </c>
      <c r="AB24" s="314">
        <f t="shared" si="9"/>
        <v>103.94</v>
      </c>
      <c r="AD24" s="254">
        <f t="shared" si="0"/>
        <v>0.0324069336610252</v>
      </c>
      <c r="AE24" s="254">
        <f>$W$5*H24/1000/R24</f>
        <v>0.0130331974157031</v>
      </c>
      <c r="AF24" s="254">
        <f t="shared" si="1"/>
        <v>0</v>
      </c>
      <c r="AG24" s="254">
        <f t="shared" si="2"/>
        <v>0</v>
      </c>
      <c r="AH24" s="254">
        <f t="shared" si="3"/>
        <v>0</v>
      </c>
      <c r="AI24" s="254">
        <f t="shared" si="4"/>
        <v>0.0454401310767283</v>
      </c>
      <c r="AJ24" s="254">
        <f t="shared" si="10"/>
        <v>7321.632</v>
      </c>
      <c r="AK24" s="254">
        <f>AB24*(100-进出水!T26)/100</f>
        <v>22.8668</v>
      </c>
      <c r="AL24" s="254">
        <f t="shared" si="5"/>
        <v>3.27986425735127</v>
      </c>
    </row>
    <row r="25" s="254" customFormat="1" ht="18.6" customHeight="1" spans="1:38">
      <c r="A25" s="6">
        <v>21</v>
      </c>
      <c r="B25" s="262">
        <v>25.7</v>
      </c>
      <c r="C25" s="63" t="s">
        <v>41</v>
      </c>
      <c r="D25" s="263">
        <v>180637</v>
      </c>
      <c r="E25" s="264">
        <v>0</v>
      </c>
      <c r="F25" s="264">
        <v>83.78</v>
      </c>
      <c r="G25" s="264">
        <v>0</v>
      </c>
      <c r="H25" s="265">
        <v>100</v>
      </c>
      <c r="I25" s="6">
        <v>5068</v>
      </c>
      <c r="J25" s="276">
        <v>53700</v>
      </c>
      <c r="K25" s="272">
        <v>12612</v>
      </c>
      <c r="L25" s="272">
        <v>0</v>
      </c>
      <c r="M25" s="273">
        <v>0</v>
      </c>
      <c r="N25" s="273">
        <v>0</v>
      </c>
      <c r="O25" s="274">
        <v>3.42</v>
      </c>
      <c r="P25" s="274">
        <v>0</v>
      </c>
      <c r="Q25" s="282">
        <v>0</v>
      </c>
      <c r="R25" s="283">
        <f t="shared" si="6"/>
        <v>180637</v>
      </c>
      <c r="S25" s="284">
        <f t="shared" si="7"/>
        <v>3420</v>
      </c>
      <c r="T25" s="285"/>
      <c r="U25" s="302" t="s">
        <v>66</v>
      </c>
      <c r="V25" s="279">
        <f>汇总!F6</f>
        <v>4.10014826660951</v>
      </c>
      <c r="W25" s="279">
        <f>W24/R36*1000</f>
        <v>0</v>
      </c>
      <c r="X25" s="56"/>
      <c r="Y25" s="256"/>
      <c r="Z25" s="256"/>
      <c r="AA25" s="254">
        <f t="shared" si="8"/>
        <v>34454.3406959498</v>
      </c>
      <c r="AB25" s="314">
        <f t="shared" si="9"/>
        <v>83.78</v>
      </c>
      <c r="AD25" s="254">
        <f t="shared" si="0"/>
        <v>0.0290449464949041</v>
      </c>
      <c r="AE25" s="254">
        <f>$W$5*H25/1000/R25</f>
        <v>0.0155007002994957</v>
      </c>
      <c r="AF25" s="254">
        <f t="shared" si="1"/>
        <v>0</v>
      </c>
      <c r="AG25" s="254">
        <f t="shared" si="2"/>
        <v>0</v>
      </c>
      <c r="AH25" s="254">
        <f t="shared" si="3"/>
        <v>0</v>
      </c>
      <c r="AI25" s="254">
        <f t="shared" si="4"/>
        <v>0.0445456467943998</v>
      </c>
      <c r="AJ25" s="254">
        <f t="shared" si="10"/>
        <v>8046.592</v>
      </c>
      <c r="AK25" s="254">
        <f>AB25*(100-进出水!T27)/100</f>
        <v>18.26404</v>
      </c>
      <c r="AL25" s="254">
        <f t="shared" si="5"/>
        <v>5.47523987025872</v>
      </c>
    </row>
    <row r="26" ht="18.6" customHeight="1" spans="1:38">
      <c r="A26" s="6">
        <v>22</v>
      </c>
      <c r="B26" s="262">
        <v>22.3</v>
      </c>
      <c r="C26" s="63" t="s">
        <v>41</v>
      </c>
      <c r="D26" s="263">
        <v>200391</v>
      </c>
      <c r="E26" s="264">
        <v>0</v>
      </c>
      <c r="F26" s="264">
        <v>101.5</v>
      </c>
      <c r="G26" s="264">
        <v>0</v>
      </c>
      <c r="H26" s="265">
        <v>75</v>
      </c>
      <c r="I26" s="6">
        <v>4520</v>
      </c>
      <c r="J26" s="63">
        <v>53800</v>
      </c>
      <c r="K26" s="272">
        <v>4320</v>
      </c>
      <c r="L26" s="272">
        <v>0</v>
      </c>
      <c r="M26" s="273">
        <v>0</v>
      </c>
      <c r="N26" s="273">
        <v>0</v>
      </c>
      <c r="O26" s="274">
        <v>2.1</v>
      </c>
      <c r="P26" s="274">
        <v>0</v>
      </c>
      <c r="Q26" s="282">
        <v>0</v>
      </c>
      <c r="R26" s="283">
        <f t="shared" si="6"/>
        <v>200391</v>
      </c>
      <c r="S26" s="284">
        <f t="shared" si="7"/>
        <v>2100</v>
      </c>
      <c r="T26" s="285" t="s">
        <v>9</v>
      </c>
      <c r="U26" s="302" t="s">
        <v>65</v>
      </c>
      <c r="V26" s="303">
        <f>K36</f>
        <v>180792</v>
      </c>
      <c r="W26" s="56"/>
      <c r="X26" s="56"/>
      <c r="AA26" s="254">
        <f t="shared" si="8"/>
        <v>34518.5014793687</v>
      </c>
      <c r="AB26" s="314">
        <f t="shared" si="9"/>
        <v>101.5</v>
      </c>
      <c r="AD26" s="254">
        <f t="shared" si="0"/>
        <v>0.00896806742817791</v>
      </c>
      <c r="AE26" s="254">
        <f>$W$5*H26/1000/R26</f>
        <v>0.010479512552959</v>
      </c>
      <c r="AF26" s="254">
        <f t="shared" si="1"/>
        <v>0</v>
      </c>
      <c r="AG26" s="254">
        <f t="shared" si="2"/>
        <v>0</v>
      </c>
      <c r="AH26" s="254">
        <f t="shared" si="3"/>
        <v>0</v>
      </c>
      <c r="AI26" s="254">
        <f t="shared" si="4"/>
        <v>0.0194475799811369</v>
      </c>
      <c r="AJ26" s="254">
        <f t="shared" si="10"/>
        <v>3897.12000000001</v>
      </c>
      <c r="AK26" s="254">
        <f>AB26*(100-进出水!T28)/100</f>
        <v>22.0255</v>
      </c>
      <c r="AL26" s="254">
        <f t="shared" si="5"/>
        <v>3.40514403759279</v>
      </c>
    </row>
    <row r="27" ht="18.6" customHeight="1" spans="1:38">
      <c r="A27" s="6">
        <v>23</v>
      </c>
      <c r="B27" s="262">
        <v>23</v>
      </c>
      <c r="C27" s="63" t="s">
        <v>41</v>
      </c>
      <c r="D27" s="263">
        <v>203233</v>
      </c>
      <c r="E27" s="264">
        <v>0</v>
      </c>
      <c r="F27" s="264">
        <v>85.92</v>
      </c>
      <c r="G27" s="264">
        <v>0</v>
      </c>
      <c r="H27" s="265">
        <v>100</v>
      </c>
      <c r="I27" s="6">
        <v>4242</v>
      </c>
      <c r="J27" s="63">
        <v>56400</v>
      </c>
      <c r="K27" s="272">
        <v>0</v>
      </c>
      <c r="L27" s="272">
        <v>0</v>
      </c>
      <c r="M27" s="273">
        <v>0</v>
      </c>
      <c r="N27" s="273">
        <v>0</v>
      </c>
      <c r="O27" s="274">
        <v>2.16</v>
      </c>
      <c r="P27" s="274">
        <v>0</v>
      </c>
      <c r="Q27" s="282">
        <v>0</v>
      </c>
      <c r="R27" s="283">
        <f t="shared" si="6"/>
        <v>203233</v>
      </c>
      <c r="S27" s="284">
        <f t="shared" si="7"/>
        <v>2160</v>
      </c>
      <c r="T27" s="285"/>
      <c r="U27" s="302" t="s">
        <v>67</v>
      </c>
      <c r="V27" s="301">
        <f>ROUND(K36/R36*1000,1)</f>
        <v>32.3</v>
      </c>
      <c r="W27" s="56"/>
      <c r="X27" s="56"/>
      <c r="AA27" s="254">
        <f t="shared" si="8"/>
        <v>36186.6818482601</v>
      </c>
      <c r="AB27" s="314">
        <f t="shared" si="9"/>
        <v>85.92</v>
      </c>
      <c r="AD27" s="254">
        <f t="shared" si="0"/>
        <v>0</v>
      </c>
      <c r="AE27" s="254">
        <f>$W$5*H27/1000/R27</f>
        <v>0.0137772901054455</v>
      </c>
      <c r="AF27" s="254">
        <f t="shared" si="1"/>
        <v>0</v>
      </c>
      <c r="AG27" s="254">
        <f t="shared" si="2"/>
        <v>0</v>
      </c>
      <c r="AH27" s="254">
        <f t="shared" si="3"/>
        <v>0</v>
      </c>
      <c r="AI27" s="254">
        <f t="shared" si="4"/>
        <v>0.0137772901054455</v>
      </c>
      <c r="AJ27" s="254">
        <f t="shared" si="10"/>
        <v>2800.00000000001</v>
      </c>
      <c r="AK27" s="254">
        <f>AB27*(100-进出水!T29)/100</f>
        <v>18.73056</v>
      </c>
      <c r="AL27" s="254">
        <f t="shared" si="5"/>
        <v>5.33886867237285</v>
      </c>
    </row>
    <row r="28" ht="18.6" customHeight="1" spans="1:38">
      <c r="A28" s="6">
        <v>24</v>
      </c>
      <c r="B28" s="262">
        <v>23.6</v>
      </c>
      <c r="C28" s="63" t="s">
        <v>41</v>
      </c>
      <c r="D28" s="263">
        <v>192956</v>
      </c>
      <c r="E28" s="264">
        <v>0</v>
      </c>
      <c r="F28" s="264">
        <v>102.34</v>
      </c>
      <c r="G28" s="264">
        <v>0</v>
      </c>
      <c r="H28" s="265">
        <v>150</v>
      </c>
      <c r="I28" s="6">
        <v>4894</v>
      </c>
      <c r="J28" s="63">
        <v>55400</v>
      </c>
      <c r="K28" s="272">
        <v>9372</v>
      </c>
      <c r="L28" s="272">
        <v>0</v>
      </c>
      <c r="M28" s="273">
        <v>2485</v>
      </c>
      <c r="N28" s="273">
        <v>720</v>
      </c>
      <c r="O28" s="274">
        <v>2.94</v>
      </c>
      <c r="P28" s="274">
        <v>0</v>
      </c>
      <c r="Q28" s="282">
        <v>4537</v>
      </c>
      <c r="R28" s="283">
        <f t="shared" si="6"/>
        <v>188419</v>
      </c>
      <c r="S28" s="284">
        <f t="shared" si="7"/>
        <v>2940</v>
      </c>
      <c r="T28" s="285" t="s">
        <v>11</v>
      </c>
      <c r="U28" s="302" t="s">
        <v>65</v>
      </c>
      <c r="V28" s="303">
        <f>M36</f>
        <v>27122</v>
      </c>
      <c r="W28" s="56"/>
      <c r="X28" s="56"/>
      <c r="AA28" s="254">
        <f t="shared" si="8"/>
        <v>35545.0740140711</v>
      </c>
      <c r="AB28" s="314">
        <f t="shared" si="9"/>
        <v>102.34</v>
      </c>
      <c r="AD28" s="254">
        <f t="shared" si="0"/>
        <v>0.0206919259734952</v>
      </c>
      <c r="AE28" s="254">
        <f>$W$5*H28/1000/R28</f>
        <v>0.0222907456254412</v>
      </c>
      <c r="AF28" s="254">
        <f t="shared" si="1"/>
        <v>0</v>
      </c>
      <c r="AG28" s="254">
        <f t="shared" si="2"/>
        <v>0.00617230746368466</v>
      </c>
      <c r="AH28" s="254">
        <f t="shared" si="3"/>
        <v>0.0220601956278295</v>
      </c>
      <c r="AI28" s="254">
        <f t="shared" si="4"/>
        <v>0.0712151746904505</v>
      </c>
      <c r="AJ28" s="254">
        <f t="shared" si="10"/>
        <v>13418.292</v>
      </c>
      <c r="AK28" s="254">
        <f>AB28*(100-进出水!T30)/100</f>
        <v>22.5148</v>
      </c>
      <c r="AL28" s="254">
        <f t="shared" si="5"/>
        <v>6.66228436406275</v>
      </c>
    </row>
    <row r="29" ht="18.6" customHeight="1" spans="1:38">
      <c r="A29" s="6">
        <v>25</v>
      </c>
      <c r="B29" s="262">
        <v>22.2</v>
      </c>
      <c r="C29" s="63" t="s">
        <v>41</v>
      </c>
      <c r="D29" s="263">
        <v>180746</v>
      </c>
      <c r="E29" s="264">
        <v>0</v>
      </c>
      <c r="F29" s="264">
        <v>158.16</v>
      </c>
      <c r="G29" s="264">
        <v>0</v>
      </c>
      <c r="H29" s="265">
        <v>150</v>
      </c>
      <c r="I29" s="6">
        <v>4502</v>
      </c>
      <c r="J29" s="63">
        <v>55800</v>
      </c>
      <c r="K29" s="272">
        <v>12756</v>
      </c>
      <c r="L29" s="272">
        <v>0</v>
      </c>
      <c r="M29" s="273">
        <v>3266</v>
      </c>
      <c r="N29" s="273">
        <v>1032</v>
      </c>
      <c r="O29" s="274">
        <v>2.28</v>
      </c>
      <c r="P29" s="274">
        <v>0</v>
      </c>
      <c r="Q29" s="282">
        <v>5483</v>
      </c>
      <c r="R29" s="283">
        <f t="shared" si="6"/>
        <v>175263</v>
      </c>
      <c r="S29" s="284">
        <f t="shared" si="7"/>
        <v>2280</v>
      </c>
      <c r="T29" s="285"/>
      <c r="U29" s="302" t="s">
        <v>67</v>
      </c>
      <c r="V29" s="304">
        <f>ROUND(M36/R36*1000,1)</f>
        <v>4.8</v>
      </c>
      <c r="W29" s="56"/>
      <c r="X29" s="56"/>
      <c r="AA29" s="254">
        <f t="shared" si="8"/>
        <v>35801.7171477467</v>
      </c>
      <c r="AB29" s="314">
        <f t="shared" si="9"/>
        <v>158.16</v>
      </c>
      <c r="AD29" s="254">
        <f t="shared" si="0"/>
        <v>0.03027733178138</v>
      </c>
      <c r="AE29" s="254">
        <f>$W$5*H29/1000/R29</f>
        <v>0.0239639855531401</v>
      </c>
      <c r="AF29" s="254">
        <f t="shared" si="1"/>
        <v>0</v>
      </c>
      <c r="AG29" s="254">
        <f t="shared" si="2"/>
        <v>0.00872111055955906</v>
      </c>
      <c r="AH29" s="254">
        <f t="shared" si="3"/>
        <v>0.0339931189127197</v>
      </c>
      <c r="AI29" s="254">
        <f t="shared" si="4"/>
        <v>0.0969555468067989</v>
      </c>
      <c r="AJ29" s="254">
        <f t="shared" si="10"/>
        <v>16992.72</v>
      </c>
      <c r="AK29" s="254">
        <f>AB29*(100-进出水!T31)/100</f>
        <v>34.63704</v>
      </c>
      <c r="AL29" s="254">
        <f t="shared" si="5"/>
        <v>4.33062409489956</v>
      </c>
    </row>
    <row r="30" ht="18.6" customHeight="1" spans="1:38">
      <c r="A30" s="6">
        <v>26</v>
      </c>
      <c r="B30" s="262">
        <v>22.3</v>
      </c>
      <c r="C30" s="63" t="s">
        <v>41</v>
      </c>
      <c r="D30" s="263">
        <v>176831</v>
      </c>
      <c r="E30" s="264">
        <v>0</v>
      </c>
      <c r="F30" s="264">
        <v>126.38</v>
      </c>
      <c r="G30" s="264">
        <v>0</v>
      </c>
      <c r="H30" s="265">
        <v>175</v>
      </c>
      <c r="I30" s="6">
        <v>5130</v>
      </c>
      <c r="J30" s="63">
        <v>54000</v>
      </c>
      <c r="K30" s="272">
        <v>12804</v>
      </c>
      <c r="L30" s="272">
        <v>0</v>
      </c>
      <c r="M30" s="273">
        <v>4970</v>
      </c>
      <c r="N30" s="273">
        <v>1632</v>
      </c>
      <c r="O30" s="274">
        <v>2.32</v>
      </c>
      <c r="P30" s="274">
        <v>0</v>
      </c>
      <c r="Q30" s="282">
        <v>5528</v>
      </c>
      <c r="R30" s="283">
        <f t="shared" si="6"/>
        <v>171303</v>
      </c>
      <c r="S30" s="284">
        <f t="shared" si="7"/>
        <v>2320</v>
      </c>
      <c r="T30" s="285" t="s">
        <v>12</v>
      </c>
      <c r="U30" s="302" t="s">
        <v>65</v>
      </c>
      <c r="V30" s="303">
        <f>处理量!N36</f>
        <v>8664</v>
      </c>
      <c r="W30" s="56"/>
      <c r="X30" s="56"/>
      <c r="AA30" s="254">
        <f t="shared" si="8"/>
        <v>34646.8230462065</v>
      </c>
      <c r="AB30" s="314">
        <f t="shared" si="9"/>
        <v>126.38</v>
      </c>
      <c r="AD30" s="254">
        <f t="shared" si="0"/>
        <v>0.0310938162203814</v>
      </c>
      <c r="AE30" s="254">
        <f>$W$5*H30/1000/R30</f>
        <v>0.0286042859728084</v>
      </c>
      <c r="AF30" s="254">
        <f t="shared" si="1"/>
        <v>0</v>
      </c>
      <c r="AG30" s="254">
        <f t="shared" si="2"/>
        <v>0.0135780459186354</v>
      </c>
      <c r="AH30" s="254">
        <f t="shared" si="3"/>
        <v>0.0549992469483897</v>
      </c>
      <c r="AI30" s="254">
        <f t="shared" si="4"/>
        <v>0.128275395060215</v>
      </c>
      <c r="AJ30" s="254">
        <f t="shared" si="10"/>
        <v>21973.96</v>
      </c>
      <c r="AK30" s="254">
        <f>AB30*(100-进出水!T32)/100</f>
        <v>27.29808</v>
      </c>
      <c r="AL30" s="254">
        <f t="shared" si="5"/>
        <v>6.41070727318552</v>
      </c>
    </row>
    <row r="31" ht="18.6" customHeight="1" spans="1:38">
      <c r="A31" s="6">
        <v>27</v>
      </c>
      <c r="B31" s="262">
        <v>22.8</v>
      </c>
      <c r="C31" s="63" t="s">
        <v>41</v>
      </c>
      <c r="D31" s="263">
        <v>175173</v>
      </c>
      <c r="E31" s="264">
        <v>0</v>
      </c>
      <c r="F31" s="264">
        <v>224.32</v>
      </c>
      <c r="G31" s="264">
        <v>16.02</v>
      </c>
      <c r="H31" s="265">
        <v>175</v>
      </c>
      <c r="I31" s="6">
        <v>4156</v>
      </c>
      <c r="J31" s="63">
        <v>54600</v>
      </c>
      <c r="K31" s="272">
        <v>12300</v>
      </c>
      <c r="L31" s="272">
        <v>0</v>
      </c>
      <c r="M31" s="273">
        <v>4828</v>
      </c>
      <c r="N31" s="273">
        <v>1608</v>
      </c>
      <c r="O31" s="274">
        <v>2.22</v>
      </c>
      <c r="P31" s="274">
        <v>0</v>
      </c>
      <c r="Q31" s="282">
        <v>5555</v>
      </c>
      <c r="R31" s="283">
        <f t="shared" si="6"/>
        <v>169618</v>
      </c>
      <c r="S31" s="284">
        <f t="shared" si="7"/>
        <v>2220</v>
      </c>
      <c r="T31" s="285"/>
      <c r="U31" s="302" t="s">
        <v>67</v>
      </c>
      <c r="V31" s="301">
        <f>ROUND(N36/R36*1000,2)</f>
        <v>1.55</v>
      </c>
      <c r="W31" s="56"/>
      <c r="X31" s="56"/>
      <c r="AA31" s="254">
        <f t="shared" si="8"/>
        <v>35031.7877467199</v>
      </c>
      <c r="AB31" s="314">
        <f t="shared" si="9"/>
        <v>240.34</v>
      </c>
      <c r="AD31" s="254">
        <f t="shared" si="0"/>
        <v>0.0301666096758599</v>
      </c>
      <c r="AE31" s="254">
        <f>$W$5*H31/1000/R31</f>
        <v>0.0288884434435025</v>
      </c>
      <c r="AF31" s="254">
        <f t="shared" si="1"/>
        <v>0</v>
      </c>
      <c r="AG31" s="254">
        <f t="shared" si="2"/>
        <v>0.0133211333702791</v>
      </c>
      <c r="AH31" s="254">
        <f t="shared" si="3"/>
        <v>0.054728766994069</v>
      </c>
      <c r="AI31" s="254">
        <f t="shared" si="4"/>
        <v>0.127104953483711</v>
      </c>
      <c r="AJ31" s="254">
        <f t="shared" si="10"/>
        <v>21559.288</v>
      </c>
      <c r="AK31" s="254">
        <f>AB31*(100-进出水!T33)/100</f>
        <v>51.6731</v>
      </c>
      <c r="AL31" s="254">
        <f t="shared" si="5"/>
        <v>3.38667507852248</v>
      </c>
    </row>
    <row r="32" s="254" customFormat="1" ht="18.6" customHeight="1" spans="1:38">
      <c r="A32" s="6">
        <v>28</v>
      </c>
      <c r="B32" s="262">
        <v>21.6</v>
      </c>
      <c r="C32" s="63" t="s">
        <v>41</v>
      </c>
      <c r="D32" s="263">
        <v>180173</v>
      </c>
      <c r="E32" s="264">
        <v>0</v>
      </c>
      <c r="F32" s="264">
        <v>102.4</v>
      </c>
      <c r="G32" s="264">
        <v>47.22</v>
      </c>
      <c r="H32" s="265">
        <v>150</v>
      </c>
      <c r="I32" s="6">
        <v>4618</v>
      </c>
      <c r="J32" s="63">
        <v>55900</v>
      </c>
      <c r="K32" s="272">
        <v>840</v>
      </c>
      <c r="L32" s="272">
        <v>0</v>
      </c>
      <c r="M32" s="273">
        <v>4615</v>
      </c>
      <c r="N32" s="273">
        <v>1512</v>
      </c>
      <c r="O32" s="274">
        <v>3.12</v>
      </c>
      <c r="P32" s="274">
        <v>0</v>
      </c>
      <c r="Q32" s="282">
        <v>5520</v>
      </c>
      <c r="R32" s="283">
        <f t="shared" si="6"/>
        <v>174653</v>
      </c>
      <c r="S32" s="284">
        <f t="shared" si="7"/>
        <v>3120</v>
      </c>
      <c r="T32" s="285" t="s">
        <v>68</v>
      </c>
      <c r="U32" s="302" t="s">
        <v>69</v>
      </c>
      <c r="V32" s="56">
        <f>O36</f>
        <v>79.54</v>
      </c>
      <c r="W32" s="56"/>
      <c r="X32" s="56"/>
      <c r="Y32" s="256"/>
      <c r="Z32" s="256"/>
      <c r="AA32" s="254">
        <f t="shared" si="8"/>
        <v>35865.8779311656</v>
      </c>
      <c r="AB32" s="314">
        <f t="shared" si="9"/>
        <v>149.62</v>
      </c>
      <c r="AD32" s="254">
        <f t="shared" si="0"/>
        <v>0.00200076723560431</v>
      </c>
      <c r="AE32" s="254">
        <f>$W$5*H32/1000/R32</f>
        <v>0.0240476831202441</v>
      </c>
      <c r="AF32" s="254">
        <f t="shared" si="1"/>
        <v>0</v>
      </c>
      <c r="AG32" s="254">
        <f t="shared" si="2"/>
        <v>0.0123663492754204</v>
      </c>
      <c r="AH32" s="254">
        <f t="shared" si="3"/>
        <v>0.049977818875141</v>
      </c>
      <c r="AI32" s="254">
        <f t="shared" si="4"/>
        <v>0.0883926185064098</v>
      </c>
      <c r="AJ32" s="254">
        <f t="shared" si="10"/>
        <v>15438.036</v>
      </c>
      <c r="AK32" s="254">
        <f>AB32*(100-进出水!T34)/100</f>
        <v>32.01868</v>
      </c>
      <c r="AL32" s="254">
        <f t="shared" si="5"/>
        <v>4.68476526827464</v>
      </c>
    </row>
    <row r="33" ht="18.6" customHeight="1" spans="1:38">
      <c r="A33" s="6">
        <v>29</v>
      </c>
      <c r="B33" s="262">
        <v>22.1</v>
      </c>
      <c r="C33" s="63" t="s">
        <v>41</v>
      </c>
      <c r="D33" s="263">
        <v>168422</v>
      </c>
      <c r="E33" s="264">
        <v>0</v>
      </c>
      <c r="F33" s="264">
        <v>224</v>
      </c>
      <c r="G33" s="264">
        <v>0</v>
      </c>
      <c r="H33" s="265">
        <v>175</v>
      </c>
      <c r="I33" s="6">
        <v>4780</v>
      </c>
      <c r="J33" s="63">
        <v>53200</v>
      </c>
      <c r="K33" s="272">
        <v>0</v>
      </c>
      <c r="L33" s="272">
        <v>0</v>
      </c>
      <c r="M33" s="273">
        <v>3763</v>
      </c>
      <c r="N33" s="273">
        <v>1200</v>
      </c>
      <c r="O33" s="274">
        <v>4.44</v>
      </c>
      <c r="P33" s="274">
        <v>0</v>
      </c>
      <c r="Q33" s="282">
        <v>5534</v>
      </c>
      <c r="R33" s="283">
        <f t="shared" si="6"/>
        <v>162888</v>
      </c>
      <c r="S33" s="284">
        <f t="shared" si="7"/>
        <v>4440</v>
      </c>
      <c r="T33" s="285"/>
      <c r="U33" s="302" t="s">
        <v>67</v>
      </c>
      <c r="V33" s="301">
        <f>ROUND(V32/R36*1000000,2)</f>
        <v>14.2</v>
      </c>
      <c r="W33" s="56"/>
      <c r="X33" s="56"/>
      <c r="AA33" s="254">
        <f t="shared" si="8"/>
        <v>34133.5367788553</v>
      </c>
      <c r="AB33" s="314">
        <f t="shared" si="9"/>
        <v>224</v>
      </c>
      <c r="AD33" s="254">
        <f t="shared" si="0"/>
        <v>0</v>
      </c>
      <c r="AE33" s="254">
        <f>$W$5*H33/1000/R33</f>
        <v>0.0300820195471735</v>
      </c>
      <c r="AF33" s="254">
        <f t="shared" si="1"/>
        <v>0</v>
      </c>
      <c r="AG33" s="254">
        <f t="shared" si="2"/>
        <v>0.0108116251657581</v>
      </c>
      <c r="AH33" s="254">
        <f t="shared" si="3"/>
        <v>0.0425298364520407</v>
      </c>
      <c r="AI33" s="254">
        <f t="shared" si="4"/>
        <v>0.0834234811649723</v>
      </c>
      <c r="AJ33" s="254">
        <f t="shared" si="10"/>
        <v>13588.684</v>
      </c>
      <c r="AK33" s="254">
        <f>AB33*(100-进出水!T35)/100</f>
        <v>48.832</v>
      </c>
      <c r="AL33" s="254">
        <f t="shared" si="5"/>
        <v>3.58371559633028</v>
      </c>
    </row>
    <row r="34" ht="18.6" customHeight="1" spans="1:38">
      <c r="A34" s="6">
        <v>30</v>
      </c>
      <c r="B34" s="262">
        <v>21.7</v>
      </c>
      <c r="C34" s="63" t="s">
        <v>41</v>
      </c>
      <c r="D34" s="263">
        <v>191205</v>
      </c>
      <c r="E34" s="264">
        <v>0</v>
      </c>
      <c r="F34" s="264">
        <v>97.66</v>
      </c>
      <c r="G34" s="264">
        <v>0</v>
      </c>
      <c r="H34" s="265">
        <v>150</v>
      </c>
      <c r="I34" s="6">
        <v>3912</v>
      </c>
      <c r="J34" s="63">
        <v>55800</v>
      </c>
      <c r="K34" s="272">
        <v>0</v>
      </c>
      <c r="L34" s="272">
        <v>0</v>
      </c>
      <c r="M34" s="273">
        <v>3195</v>
      </c>
      <c r="N34" s="273">
        <v>960</v>
      </c>
      <c r="O34" s="274">
        <v>4.44</v>
      </c>
      <c r="P34" s="274">
        <v>0</v>
      </c>
      <c r="Q34" s="282">
        <v>5629</v>
      </c>
      <c r="R34" s="283">
        <f t="shared" si="6"/>
        <v>185576</v>
      </c>
      <c r="S34" s="284">
        <f t="shared" si="7"/>
        <v>4440</v>
      </c>
      <c r="T34" s="285"/>
      <c r="U34" s="302"/>
      <c r="V34" s="56"/>
      <c r="W34" s="56"/>
      <c r="X34" s="56"/>
      <c r="AA34" s="254">
        <f t="shared" si="8"/>
        <v>35801.7171477467</v>
      </c>
      <c r="AB34" s="314">
        <f t="shared" si="9"/>
        <v>97.66</v>
      </c>
      <c r="AD34" s="254">
        <f t="shared" si="0"/>
        <v>0</v>
      </c>
      <c r="AE34" s="254">
        <f>$W$5*H34/1000/R34</f>
        <v>0.0226322369271889</v>
      </c>
      <c r="AF34" s="254">
        <f t="shared" si="1"/>
        <v>0</v>
      </c>
      <c r="AG34" s="254">
        <f t="shared" si="2"/>
        <v>0.00805739966374962</v>
      </c>
      <c r="AH34" s="254">
        <f t="shared" si="3"/>
        <v>0.0298642065784369</v>
      </c>
      <c r="AI34" s="254">
        <f t="shared" si="4"/>
        <v>0.0605538431693754</v>
      </c>
      <c r="AJ34" s="254">
        <f t="shared" si="10"/>
        <v>11237.34</v>
      </c>
      <c r="AK34" s="254">
        <f>AB34*(100-进出水!T36)/100</f>
        <v>20.89924</v>
      </c>
      <c r="AL34" s="254">
        <f t="shared" si="5"/>
        <v>7.1772944853497</v>
      </c>
    </row>
    <row r="35" ht="19" customHeight="1" spans="1:20">
      <c r="A35" s="5" t="s">
        <v>70</v>
      </c>
      <c r="B35" s="60">
        <f>AVERAGE(B5:B34)</f>
        <v>24.0766666666667</v>
      </c>
      <c r="C35" s="8" t="s">
        <v>71</v>
      </c>
      <c r="D35" s="266">
        <f>AVERAGE(D5:D34)</f>
        <v>188017.666666667</v>
      </c>
      <c r="E35" s="172">
        <f>AVERAGE(E5:E34)</f>
        <v>7.55533333333333</v>
      </c>
      <c r="F35" s="172">
        <f>AVERAGE(F5:F34)</f>
        <v>106.673333333333</v>
      </c>
      <c r="G35" s="172">
        <f>AVERAGE(G5:G34)</f>
        <v>3.608</v>
      </c>
      <c r="H35" s="266">
        <f t="shared" ref="H35:Q35" si="11">AVERAGE(H5:H34)</f>
        <v>104.166666666667</v>
      </c>
      <c r="I35" s="266">
        <f t="shared" si="11"/>
        <v>4223.33333333333</v>
      </c>
      <c r="J35" s="266">
        <f t="shared" si="11"/>
        <v>52823.3333333333</v>
      </c>
      <c r="K35" s="277">
        <f t="shared" si="11"/>
        <v>6026.4</v>
      </c>
      <c r="L35" s="277">
        <f t="shared" si="11"/>
        <v>0</v>
      </c>
      <c r="M35" s="266">
        <f t="shared" si="11"/>
        <v>904.066666666667</v>
      </c>
      <c r="N35" s="266">
        <f t="shared" si="11"/>
        <v>288.8</v>
      </c>
      <c r="O35" s="172">
        <f t="shared" si="11"/>
        <v>2.65133333333333</v>
      </c>
      <c r="P35" s="274">
        <v>0</v>
      </c>
      <c r="Q35" s="266">
        <f t="shared" si="11"/>
        <v>1274.43333333333</v>
      </c>
      <c r="R35" s="305">
        <f t="shared" si="6"/>
        <v>186743.233333333</v>
      </c>
      <c r="S35" s="306"/>
      <c r="T35" s="307"/>
    </row>
    <row r="36" ht="17" customHeight="1" spans="1:35">
      <c r="A36" s="5" t="s">
        <v>27</v>
      </c>
      <c r="B36" s="6" t="s">
        <v>71</v>
      </c>
      <c r="C36" s="6" t="s">
        <v>71</v>
      </c>
      <c r="D36" s="267">
        <f>SUM(D5:D34)</f>
        <v>5640530</v>
      </c>
      <c r="E36" s="268">
        <f>SUM(E5:E34)</f>
        <v>226.66</v>
      </c>
      <c r="F36" s="268">
        <f>SUM(F5:F34)</f>
        <v>3200.2</v>
      </c>
      <c r="G36" s="268">
        <f>SUM(G5:G34)</f>
        <v>108.24</v>
      </c>
      <c r="H36" s="267">
        <f>SUM(H5:H34)</f>
        <v>3125</v>
      </c>
      <c r="I36" s="6" t="s">
        <v>71</v>
      </c>
      <c r="J36" s="266">
        <f t="shared" ref="J36:R36" si="12">SUM(J5:J34)</f>
        <v>1584700</v>
      </c>
      <c r="K36" s="277">
        <f t="shared" si="12"/>
        <v>180792</v>
      </c>
      <c r="L36" s="277">
        <f t="shared" si="12"/>
        <v>0</v>
      </c>
      <c r="M36" s="266">
        <f t="shared" si="12"/>
        <v>27122</v>
      </c>
      <c r="N36" s="266">
        <f t="shared" si="12"/>
        <v>8664</v>
      </c>
      <c r="O36" s="172">
        <f t="shared" si="12"/>
        <v>79.54</v>
      </c>
      <c r="P36" s="172">
        <f t="shared" si="12"/>
        <v>0</v>
      </c>
      <c r="Q36" s="266">
        <f t="shared" si="12"/>
        <v>38233</v>
      </c>
      <c r="R36" s="266">
        <f t="shared" si="12"/>
        <v>5602297</v>
      </c>
      <c r="S36" s="308"/>
      <c r="T36" s="309"/>
      <c r="AB36" s="254">
        <f>SUM(AB5:AB35)</f>
        <v>3535.1</v>
      </c>
      <c r="AI36" s="254">
        <f>AVERAGE(AI5:AI34)</f>
        <v>0.0414904328753376</v>
      </c>
    </row>
    <row r="37" ht="18.6" customHeight="1" spans="1:18">
      <c r="A37" s="269" t="s">
        <v>72</v>
      </c>
      <c r="B37" s="269"/>
      <c r="C37" s="269"/>
      <c r="D37" s="269"/>
      <c r="E37" s="270"/>
      <c r="F37" s="270"/>
      <c r="I37" s="278" t="s">
        <v>73</v>
      </c>
      <c r="Q37" s="310" t="s">
        <v>74</v>
      </c>
      <c r="R37" s="311">
        <v>45264</v>
      </c>
    </row>
    <row r="38" ht="18.6" customHeight="1" spans="13:20">
      <c r="M38" s="254">
        <f>M36*0.31</f>
        <v>8407.82</v>
      </c>
      <c r="T38" s="256">
        <f>L36/R36*1000</f>
        <v>0</v>
      </c>
    </row>
    <row r="39" spans="7:18">
      <c r="G39" s="254"/>
      <c r="H39" s="254"/>
      <c r="J39" s="266">
        <f>J35*30</f>
        <v>1584700</v>
      </c>
      <c r="Q39" s="254" t="s">
        <v>75</v>
      </c>
      <c r="R39" s="254">
        <f>MAX(R5:R34)</f>
        <v>209249</v>
      </c>
    </row>
    <row r="40" spans="7:20">
      <c r="G40" s="254"/>
      <c r="H40" s="254"/>
      <c r="J40" s="266">
        <f>J39*W4</f>
        <v>1016755.93483932</v>
      </c>
      <c r="O40" s="254">
        <f>O36*1000</f>
        <v>79540</v>
      </c>
      <c r="Q40" s="254" t="s">
        <v>76</v>
      </c>
      <c r="R40" s="254">
        <f>MIN(R5:R34)</f>
        <v>161127</v>
      </c>
      <c r="T40" s="256">
        <f>O36*1000</f>
        <v>79540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  <ignoredErrors>
    <ignoredError sqref="P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P12" sqref="P12:P17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6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9" t="s">
        <v>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45231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16">
      <c r="A3" s="201" t="s">
        <v>78</v>
      </c>
      <c r="B3" s="202" t="s">
        <v>79</v>
      </c>
      <c r="C3" s="203">
        <f>处理量!R36</f>
        <v>5602297</v>
      </c>
      <c r="D3" s="204" t="s">
        <v>80</v>
      </c>
      <c r="E3" s="202" t="s">
        <v>81</v>
      </c>
      <c r="F3" s="205">
        <f>处理量!E36+处理量!F36+处理量!G36</f>
        <v>3535.1</v>
      </c>
      <c r="G3" s="201" t="s">
        <v>82</v>
      </c>
      <c r="H3" s="202" t="s">
        <v>83</v>
      </c>
      <c r="I3" s="202"/>
      <c r="J3" s="36">
        <f>处理量!J36</f>
        <v>1584700</v>
      </c>
      <c r="K3" s="204" t="s">
        <v>84</v>
      </c>
      <c r="L3" s="202" t="s">
        <v>85</v>
      </c>
      <c r="M3" s="239">
        <f>J3/C3</f>
        <v>0.282866117237269</v>
      </c>
      <c r="P3" s="195" t="s">
        <v>86</v>
      </c>
    </row>
    <row r="4" s="195" customFormat="1" ht="24" customHeight="1" spans="1:16">
      <c r="A4" s="201"/>
      <c r="B4" s="202" t="s">
        <v>87</v>
      </c>
      <c r="C4" s="206">
        <f>处理量!R35</f>
        <v>186743.233333333</v>
      </c>
      <c r="D4" s="207"/>
      <c r="E4" s="202" t="s">
        <v>88</v>
      </c>
      <c r="F4" s="208">
        <f>处理量!H36</f>
        <v>3125</v>
      </c>
      <c r="G4" s="201"/>
      <c r="H4" s="202" t="s">
        <v>89</v>
      </c>
      <c r="I4" s="202"/>
      <c r="J4" s="208">
        <f>J3/M15</f>
        <v>52823.3333333333</v>
      </c>
      <c r="K4" s="207"/>
      <c r="L4" s="202" t="s">
        <v>90</v>
      </c>
      <c r="M4" s="240">
        <f>J3/I12</f>
        <v>1.53898866832029</v>
      </c>
      <c r="P4" s="195" t="s">
        <v>91</v>
      </c>
    </row>
    <row r="5" s="195" customFormat="1" ht="24" customHeight="1" spans="1:13">
      <c r="A5" s="201"/>
      <c r="B5" s="202"/>
      <c r="C5" s="209"/>
      <c r="D5" s="207"/>
      <c r="E5" s="202" t="s">
        <v>92</v>
      </c>
      <c r="F5" s="210">
        <f>进出水!T37</f>
        <v>78.44</v>
      </c>
      <c r="G5" s="201"/>
      <c r="H5" s="202" t="s">
        <v>93</v>
      </c>
      <c r="I5" s="202"/>
      <c r="J5" s="241">
        <v>4331</v>
      </c>
      <c r="K5" s="207"/>
      <c r="L5" s="202"/>
      <c r="M5" s="242"/>
    </row>
    <row r="6" s="195" customFormat="1" ht="24" customHeight="1" spans="1:13">
      <c r="A6" s="201"/>
      <c r="B6" s="202" t="s">
        <v>94</v>
      </c>
      <c r="C6" s="211">
        <f>处理量!R39</f>
        <v>209249</v>
      </c>
      <c r="D6" s="207"/>
      <c r="E6" s="201" t="s">
        <v>95</v>
      </c>
      <c r="F6" s="205">
        <f>F4/(F3*(100-F5)/100)</f>
        <v>4.10014826660951</v>
      </c>
      <c r="G6" s="204" t="s">
        <v>96</v>
      </c>
      <c r="H6" s="202" t="s">
        <v>97</v>
      </c>
      <c r="I6" s="202"/>
      <c r="J6" s="214">
        <f>处理量!M36/1000</f>
        <v>27.122</v>
      </c>
      <c r="K6" s="207"/>
      <c r="L6" s="202" t="s">
        <v>98</v>
      </c>
      <c r="M6" s="214">
        <f>J3/I13</f>
        <v>2.84573558588802</v>
      </c>
    </row>
    <row r="7" s="195" customFormat="1" ht="24" customHeight="1" spans="1:13">
      <c r="A7" s="201"/>
      <c r="B7" s="202" t="s">
        <v>99</v>
      </c>
      <c r="C7" s="36">
        <f>处理量!R40</f>
        <v>161127</v>
      </c>
      <c r="D7" s="212"/>
      <c r="E7" s="201" t="s">
        <v>100</v>
      </c>
      <c r="F7" s="213">
        <f>F3*(100-F5)/100*1000/(C3/1000)</f>
        <v>136.045547031869</v>
      </c>
      <c r="G7" s="207"/>
      <c r="H7" s="202" t="s">
        <v>101</v>
      </c>
      <c r="I7" s="202"/>
      <c r="J7" s="228">
        <f>J6*1000/(C3/1000)</f>
        <v>4.84122851751701</v>
      </c>
      <c r="K7" s="207"/>
      <c r="L7" s="243" t="s">
        <v>102</v>
      </c>
      <c r="M7" s="214">
        <f>J3/I14</f>
        <v>3.46649653477045</v>
      </c>
    </row>
    <row r="8" s="195" customFormat="1" ht="24" customHeight="1" spans="1:13">
      <c r="A8" s="201"/>
      <c r="B8" s="202" t="s">
        <v>103</v>
      </c>
      <c r="C8" s="214">
        <f>C4/200000*100</f>
        <v>93.3716166666667</v>
      </c>
      <c r="D8" s="201" t="s">
        <v>104</v>
      </c>
      <c r="E8" s="202" t="s">
        <v>105</v>
      </c>
      <c r="F8" s="214">
        <f>处理量!K36/1000</f>
        <v>180.792</v>
      </c>
      <c r="G8" s="207"/>
      <c r="H8" s="202" t="s">
        <v>106</v>
      </c>
      <c r="I8" s="202"/>
      <c r="J8" s="214">
        <f>处理量!N36/1000</f>
        <v>8.664</v>
      </c>
      <c r="K8" s="244" t="s">
        <v>107</v>
      </c>
      <c r="L8" s="223" t="s">
        <v>108</v>
      </c>
      <c r="M8" s="245">
        <f>处理量!O36</f>
        <v>79.54</v>
      </c>
    </row>
    <row r="9" s="195" customFormat="1" ht="24" customHeight="1" spans="1:13">
      <c r="A9" s="201"/>
      <c r="B9" s="215" t="s">
        <v>109</v>
      </c>
      <c r="C9" s="216">
        <f>处理量!B35</f>
        <v>24.0766666666667</v>
      </c>
      <c r="D9" s="201"/>
      <c r="E9" s="202" t="s">
        <v>101</v>
      </c>
      <c r="F9" s="214">
        <f>F8*1000/(C3/1000)</f>
        <v>32.2710488215816</v>
      </c>
      <c r="G9" s="212"/>
      <c r="H9" s="202" t="s">
        <v>101</v>
      </c>
      <c r="I9" s="202"/>
      <c r="J9" s="205">
        <f>J8*1000/(C3/1000)</f>
        <v>1.5465085124905</v>
      </c>
      <c r="K9" s="220"/>
      <c r="L9" s="36" t="s">
        <v>101</v>
      </c>
      <c r="M9" s="245">
        <f>M8*1000000/C3</f>
        <v>14.1977478166545</v>
      </c>
    </row>
    <row r="10" s="195" customFormat="1" ht="24" customHeight="1" spans="1:13">
      <c r="A10" s="201" t="s">
        <v>110</v>
      </c>
      <c r="B10" s="217" t="s">
        <v>111</v>
      </c>
      <c r="C10" s="218" t="s">
        <v>112</v>
      </c>
      <c r="D10" s="219"/>
      <c r="E10" s="218" t="s">
        <v>113</v>
      </c>
      <c r="F10" s="219"/>
      <c r="G10" s="218" t="s">
        <v>114</v>
      </c>
      <c r="H10" s="219"/>
      <c r="I10" s="218" t="s">
        <v>115</v>
      </c>
      <c r="J10" s="219"/>
      <c r="K10" s="204" t="s">
        <v>116</v>
      </c>
      <c r="L10" s="223" t="s">
        <v>108</v>
      </c>
      <c r="M10" s="36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6" t="s">
        <v>101</v>
      </c>
      <c r="M11" s="36">
        <v>0</v>
      </c>
    </row>
    <row r="12" s="195" customFormat="1" ht="24" customHeight="1" spans="1:19">
      <c r="A12" s="201"/>
      <c r="B12" s="223" t="s">
        <v>117</v>
      </c>
      <c r="C12" s="208">
        <f>进出水!B37</f>
        <v>209</v>
      </c>
      <c r="D12" s="208"/>
      <c r="E12" s="224">
        <f>进出水!N37</f>
        <v>25.2</v>
      </c>
      <c r="F12" s="225"/>
      <c r="G12" s="224">
        <f t="shared" ref="G12:G17" si="0">(C12-E12)/C12*100</f>
        <v>87.9425837320574</v>
      </c>
      <c r="H12" s="225"/>
      <c r="I12" s="208">
        <f>$C$3*(C12-E12)/1000</f>
        <v>1029702.1886</v>
      </c>
      <c r="J12" s="208"/>
      <c r="K12" s="201" t="s">
        <v>118</v>
      </c>
      <c r="L12" s="202" t="s">
        <v>31</v>
      </c>
      <c r="M12" s="246">
        <f>处理量!V16</f>
        <v>226.66</v>
      </c>
      <c r="P12" s="247">
        <f t="shared" ref="P12:P17" si="1">ROUND(E12,2)</f>
        <v>25.2</v>
      </c>
      <c r="Q12" s="253">
        <f>C3</f>
        <v>5602297</v>
      </c>
      <c r="R12" s="247">
        <f t="shared" ref="R12:R17" si="2">P12*Q12/1000000</f>
        <v>141.1778844</v>
      </c>
      <c r="S12" s="223" t="s">
        <v>117</v>
      </c>
    </row>
    <row r="13" s="195" customFormat="1" ht="24" customHeight="1" spans="1:19">
      <c r="A13" s="201"/>
      <c r="B13" s="223" t="s">
        <v>119</v>
      </c>
      <c r="C13" s="208">
        <f>进出水!C37</f>
        <v>102</v>
      </c>
      <c r="D13" s="208"/>
      <c r="E13" s="226">
        <f>进出水!O37</f>
        <v>2.6</v>
      </c>
      <c r="F13" s="227"/>
      <c r="G13" s="224">
        <f t="shared" si="0"/>
        <v>97.4509803921569</v>
      </c>
      <c r="H13" s="225"/>
      <c r="I13" s="208">
        <f>$C$3*(C13-E13)/1000</f>
        <v>556868.3218</v>
      </c>
      <c r="J13" s="208"/>
      <c r="K13" s="201"/>
      <c r="L13" s="33" t="s">
        <v>32</v>
      </c>
      <c r="M13" s="246">
        <f>处理量!U16</f>
        <v>3200.2</v>
      </c>
      <c r="P13" s="247">
        <f t="shared" si="1"/>
        <v>2.6</v>
      </c>
      <c r="Q13" s="253">
        <f t="shared" ref="Q13:Q17" si="3">Q12</f>
        <v>5602297</v>
      </c>
      <c r="R13" s="247">
        <f t="shared" si="2"/>
        <v>14.5659722</v>
      </c>
      <c r="S13" s="223" t="s">
        <v>119</v>
      </c>
    </row>
    <row r="14" s="195" customFormat="1" ht="24" customHeight="1" spans="1:19">
      <c r="A14" s="201"/>
      <c r="B14" s="223" t="s">
        <v>120</v>
      </c>
      <c r="C14" s="208">
        <f>进出水!D37</f>
        <v>87</v>
      </c>
      <c r="D14" s="208"/>
      <c r="E14" s="226">
        <f>进出水!P37</f>
        <v>5.4</v>
      </c>
      <c r="F14" s="227"/>
      <c r="G14" s="224">
        <f t="shared" si="0"/>
        <v>93.7931034482759</v>
      </c>
      <c r="H14" s="225"/>
      <c r="I14" s="208">
        <f>$C$3*(C14-E14)/1000</f>
        <v>457147.4352</v>
      </c>
      <c r="J14" s="208"/>
      <c r="K14" s="201"/>
      <c r="L14" s="33" t="s">
        <v>121</v>
      </c>
      <c r="M14" s="246">
        <f>处理量!W16</f>
        <v>108.24</v>
      </c>
      <c r="P14" s="247">
        <f t="shared" si="1"/>
        <v>5.4</v>
      </c>
      <c r="Q14" s="253">
        <f t="shared" si="3"/>
        <v>5602297</v>
      </c>
      <c r="R14" s="247">
        <f t="shared" si="2"/>
        <v>30.2524038</v>
      </c>
      <c r="S14" s="223" t="s">
        <v>120</v>
      </c>
    </row>
    <row r="15" s="195" customFormat="1" ht="24" customHeight="1" spans="1:19">
      <c r="A15" s="201"/>
      <c r="B15" s="223" t="s">
        <v>122</v>
      </c>
      <c r="C15" s="205">
        <f>进出水!E37</f>
        <v>2.92</v>
      </c>
      <c r="D15" s="205"/>
      <c r="E15" s="226">
        <f>进出水!Q37</f>
        <v>0.17</v>
      </c>
      <c r="F15" s="227"/>
      <c r="G15" s="224">
        <f t="shared" si="0"/>
        <v>94.1780821917808</v>
      </c>
      <c r="H15" s="225"/>
      <c r="I15" s="208">
        <f>$C$3*(C15-E15)/1000</f>
        <v>15406.31675</v>
      </c>
      <c r="J15" s="208"/>
      <c r="K15" s="204" t="s">
        <v>123</v>
      </c>
      <c r="L15" s="248" t="s">
        <v>124</v>
      </c>
      <c r="M15" s="35">
        <v>30</v>
      </c>
      <c r="P15" s="247">
        <f t="shared" si="1"/>
        <v>0.17</v>
      </c>
      <c r="Q15" s="253">
        <f t="shared" si="3"/>
        <v>5602297</v>
      </c>
      <c r="R15" s="247">
        <f t="shared" si="2"/>
        <v>0.95239049</v>
      </c>
      <c r="S15" s="223" t="s">
        <v>122</v>
      </c>
    </row>
    <row r="16" s="195" customFormat="1" ht="24" customHeight="1" spans="1:19">
      <c r="A16" s="201"/>
      <c r="B16" s="223" t="s">
        <v>125</v>
      </c>
      <c r="C16" s="228">
        <f>进出水!G37</f>
        <v>30.4</v>
      </c>
      <c r="D16" s="228"/>
      <c r="E16" s="226">
        <f>进出水!S37</f>
        <v>7.96</v>
      </c>
      <c r="F16" s="227"/>
      <c r="G16" s="224">
        <f t="shared" si="0"/>
        <v>73.8157894736842</v>
      </c>
      <c r="H16" s="225"/>
      <c r="I16" s="208">
        <f>$C$3*(C16-E16)/1000</f>
        <v>125715.54468</v>
      </c>
      <c r="J16" s="208"/>
      <c r="K16" s="207"/>
      <c r="L16" s="249" t="s">
        <v>126</v>
      </c>
      <c r="M16" s="36">
        <v>30</v>
      </c>
      <c r="P16" s="247">
        <f t="shared" si="1"/>
        <v>7.96</v>
      </c>
      <c r="Q16" s="253">
        <f t="shared" si="3"/>
        <v>5602297</v>
      </c>
      <c r="R16" s="247">
        <f t="shared" si="2"/>
        <v>44.59428412</v>
      </c>
      <c r="S16" s="223" t="s">
        <v>125</v>
      </c>
    </row>
    <row r="17" s="195" customFormat="1" ht="24" customHeight="1" spans="1:19">
      <c r="A17" s="201"/>
      <c r="B17" s="223" t="s">
        <v>127</v>
      </c>
      <c r="C17" s="228">
        <f>进出水!F37</f>
        <v>24.3</v>
      </c>
      <c r="D17" s="228"/>
      <c r="E17" s="226">
        <f>进出水!R37</f>
        <v>0.34</v>
      </c>
      <c r="F17" s="227"/>
      <c r="G17" s="224">
        <f t="shared" si="0"/>
        <v>98.6008230452675</v>
      </c>
      <c r="H17" s="225"/>
      <c r="I17" s="208">
        <f>$C$3*(C17-E17)/1000</f>
        <v>134231.03612</v>
      </c>
      <c r="J17" s="208"/>
      <c r="K17" s="207"/>
      <c r="L17" s="249" t="s">
        <v>128</v>
      </c>
      <c r="M17" s="35">
        <v>30</v>
      </c>
      <c r="P17" s="247">
        <f t="shared" si="1"/>
        <v>0.34</v>
      </c>
      <c r="Q17" s="253">
        <f t="shared" si="3"/>
        <v>5602297</v>
      </c>
      <c r="R17" s="247">
        <f t="shared" si="2"/>
        <v>1.90478098</v>
      </c>
      <c r="S17" s="223" t="s">
        <v>127</v>
      </c>
    </row>
    <row r="18" s="195" customFormat="1" ht="24" customHeight="1" spans="1:13">
      <c r="A18" s="201"/>
      <c r="B18" s="215" t="s">
        <v>129</v>
      </c>
      <c r="C18" s="229"/>
      <c r="D18" s="230"/>
      <c r="E18" s="231" t="s">
        <v>130</v>
      </c>
      <c r="F18" s="232"/>
      <c r="G18" s="229"/>
      <c r="H18" s="230"/>
      <c r="I18" s="229"/>
      <c r="J18" s="230"/>
      <c r="K18" s="212"/>
      <c r="L18" s="243" t="s">
        <v>131</v>
      </c>
      <c r="M18" s="36">
        <v>100</v>
      </c>
    </row>
    <row r="19" s="195" customFormat="1" ht="20.1" customHeight="1" spans="1:13">
      <c r="A19" s="201" t="s">
        <v>132</v>
      </c>
      <c r="B19" s="233" t="s">
        <v>133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134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6" workbookViewId="0">
      <selection activeCell="N7" sqref="N7:O36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2" customWidth="1"/>
    <col min="9" max="9" width="5.5" style="93" customWidth="1"/>
    <col min="10" max="10" width="6.25" style="93" customWidth="1"/>
    <col min="11" max="11" width="7" style="92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4" customWidth="1"/>
    <col min="21" max="21" width="8.75" customWidth="1"/>
    <col min="23" max="24" width="12.625"/>
  </cols>
  <sheetData>
    <row r="1" ht="21.75" customHeight="1" spans="1:21">
      <c r="A1" s="95" t="s">
        <v>135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hidden="1" spans="1:21">
      <c r="A2" s="96"/>
      <c r="B2" s="96"/>
      <c r="C2" s="96"/>
      <c r="D2" s="96"/>
      <c r="E2" s="96"/>
      <c r="F2" s="96"/>
      <c r="G2" s="96"/>
      <c r="H2" s="97"/>
      <c r="I2" s="164"/>
      <c r="J2" s="164"/>
      <c r="K2" s="97"/>
      <c r="L2" s="96"/>
      <c r="M2" s="96"/>
      <c r="N2" s="96"/>
      <c r="O2" s="96"/>
      <c r="P2" s="96"/>
      <c r="Q2" s="96"/>
      <c r="R2" s="96"/>
      <c r="S2" s="96"/>
      <c r="T2" s="96"/>
      <c r="U2" s="26"/>
    </row>
    <row r="3" spans="1:21">
      <c r="A3" s="32" t="s">
        <v>136</v>
      </c>
      <c r="B3" s="32"/>
      <c r="C3" s="32"/>
      <c r="D3" s="32"/>
      <c r="E3" s="32"/>
      <c r="F3" s="32"/>
      <c r="G3" s="32"/>
      <c r="H3" s="98"/>
      <c r="I3" s="165"/>
      <c r="J3" s="166">
        <v>45231</v>
      </c>
      <c r="K3" s="167"/>
      <c r="L3" s="32"/>
      <c r="M3" s="32"/>
      <c r="N3" s="32"/>
      <c r="O3" s="32"/>
      <c r="P3" s="32"/>
      <c r="Q3" s="32"/>
      <c r="R3" s="32"/>
      <c r="S3" s="32"/>
      <c r="T3" s="189"/>
      <c r="U3" s="26"/>
    </row>
    <row r="4" ht="12.75" customHeight="1" spans="1:21">
      <c r="A4" s="99" t="s">
        <v>137</v>
      </c>
      <c r="B4" s="100" t="s">
        <v>112</v>
      </c>
      <c r="C4" s="101"/>
      <c r="D4" s="101"/>
      <c r="E4" s="101"/>
      <c r="F4" s="101"/>
      <c r="G4" s="102"/>
      <c r="H4" s="103" t="s">
        <v>138</v>
      </c>
      <c r="I4" s="103"/>
      <c r="J4" s="103"/>
      <c r="K4" s="103"/>
      <c r="L4" s="103"/>
      <c r="M4" s="103"/>
      <c r="N4" s="168" t="s">
        <v>139</v>
      </c>
      <c r="O4" s="168"/>
      <c r="P4" s="168"/>
      <c r="Q4" s="168"/>
      <c r="R4" s="168"/>
      <c r="S4" s="168"/>
      <c r="T4" s="190" t="s">
        <v>140</v>
      </c>
      <c r="U4" s="190" t="s">
        <v>141</v>
      </c>
    </row>
    <row r="5" ht="15" customHeight="1" spans="1:21">
      <c r="A5" s="104"/>
      <c r="B5" s="105" t="s">
        <v>142</v>
      </c>
      <c r="C5" s="105" t="s">
        <v>119</v>
      </c>
      <c r="D5" s="105" t="s">
        <v>120</v>
      </c>
      <c r="E5" s="105" t="s">
        <v>122</v>
      </c>
      <c r="F5" s="105" t="s">
        <v>127</v>
      </c>
      <c r="G5" s="105" t="s">
        <v>125</v>
      </c>
      <c r="H5" s="106" t="s">
        <v>142</v>
      </c>
      <c r="I5" s="106" t="s">
        <v>119</v>
      </c>
      <c r="J5" s="106" t="s">
        <v>120</v>
      </c>
      <c r="K5" s="106" t="s">
        <v>122</v>
      </c>
      <c r="L5" s="105" t="s">
        <v>127</v>
      </c>
      <c r="M5" s="105" t="s">
        <v>125</v>
      </c>
      <c r="N5" s="99" t="s">
        <v>143</v>
      </c>
      <c r="O5" s="99" t="s">
        <v>144</v>
      </c>
      <c r="P5" s="99" t="s">
        <v>120</v>
      </c>
      <c r="Q5" s="99" t="s">
        <v>122</v>
      </c>
      <c r="R5" s="99" t="s">
        <v>145</v>
      </c>
      <c r="S5" s="99" t="s">
        <v>125</v>
      </c>
      <c r="T5" s="191"/>
      <c r="U5" s="191"/>
    </row>
    <row r="6" ht="22.5" customHeight="1" spans="1:21">
      <c r="A6" s="107"/>
      <c r="B6" s="108" t="s">
        <v>146</v>
      </c>
      <c r="C6" s="108" t="s">
        <v>146</v>
      </c>
      <c r="D6" s="108" t="s">
        <v>146</v>
      </c>
      <c r="E6" s="108" t="s">
        <v>146</v>
      </c>
      <c r="F6" s="108" t="s">
        <v>146</v>
      </c>
      <c r="G6" s="108" t="s">
        <v>146</v>
      </c>
      <c r="H6" s="109" t="s">
        <v>146</v>
      </c>
      <c r="I6" s="109" t="s">
        <v>146</v>
      </c>
      <c r="J6" s="109" t="s">
        <v>146</v>
      </c>
      <c r="K6" s="109" t="s">
        <v>146</v>
      </c>
      <c r="L6" s="108" t="s">
        <v>146</v>
      </c>
      <c r="M6" s="108" t="s">
        <v>146</v>
      </c>
      <c r="N6" s="108" t="s">
        <v>146</v>
      </c>
      <c r="O6" s="108" t="s">
        <v>146</v>
      </c>
      <c r="P6" s="108" t="s">
        <v>146</v>
      </c>
      <c r="Q6" s="108" t="s">
        <v>146</v>
      </c>
      <c r="R6" s="108" t="s">
        <v>146</v>
      </c>
      <c r="S6" s="108" t="s">
        <v>146</v>
      </c>
      <c r="T6" s="107" t="s">
        <v>147</v>
      </c>
      <c r="U6" s="107" t="s">
        <v>148</v>
      </c>
    </row>
    <row r="7" ht="12.95" customHeight="1" spans="1:23">
      <c r="A7" s="110">
        <v>1</v>
      </c>
      <c r="B7" s="111">
        <v>161</v>
      </c>
      <c r="C7" s="112">
        <v>74.1</v>
      </c>
      <c r="D7" s="113">
        <v>84</v>
      </c>
      <c r="E7" s="114">
        <v>1.99</v>
      </c>
      <c r="F7" s="115">
        <v>24.2</v>
      </c>
      <c r="G7" s="116">
        <v>30.6</v>
      </c>
      <c r="H7" s="117">
        <v>34</v>
      </c>
      <c r="I7" s="114">
        <v>3.42</v>
      </c>
      <c r="J7" s="117">
        <v>14</v>
      </c>
      <c r="K7" s="114">
        <v>0.54</v>
      </c>
      <c r="L7" s="169">
        <v>0.36</v>
      </c>
      <c r="M7" s="169">
        <v>6.44</v>
      </c>
      <c r="N7" s="113">
        <v>26</v>
      </c>
      <c r="O7" s="170">
        <v>2.61</v>
      </c>
      <c r="P7" s="113">
        <v>5</v>
      </c>
      <c r="Q7" s="169">
        <v>0.13</v>
      </c>
      <c r="R7" s="118">
        <v>0.25</v>
      </c>
      <c r="S7" s="169">
        <v>5.88</v>
      </c>
      <c r="T7" s="120">
        <v>78.5</v>
      </c>
      <c r="U7" s="123" t="s">
        <v>130</v>
      </c>
      <c r="V7" s="192"/>
      <c r="W7" s="193">
        <f>1-S7/G7</f>
        <v>0.807843137254902</v>
      </c>
    </row>
    <row r="8" ht="12.95" customHeight="1" spans="1:23">
      <c r="A8" s="110">
        <v>2</v>
      </c>
      <c r="B8" s="111">
        <v>158</v>
      </c>
      <c r="C8" s="112">
        <v>68</v>
      </c>
      <c r="D8" s="113">
        <v>90</v>
      </c>
      <c r="E8" s="118">
        <v>2.15</v>
      </c>
      <c r="F8" s="116">
        <v>21.6</v>
      </c>
      <c r="G8" s="116">
        <v>27.6</v>
      </c>
      <c r="H8" s="117">
        <v>32</v>
      </c>
      <c r="I8" s="114">
        <v>3.22</v>
      </c>
      <c r="J8" s="117">
        <v>16</v>
      </c>
      <c r="K8" s="114">
        <v>0.53</v>
      </c>
      <c r="L8" s="169">
        <v>0.4</v>
      </c>
      <c r="M8" s="169">
        <v>7.76</v>
      </c>
      <c r="N8" s="113">
        <v>25</v>
      </c>
      <c r="O8" s="170">
        <v>2.5</v>
      </c>
      <c r="P8" s="113">
        <v>5</v>
      </c>
      <c r="Q8" s="169">
        <v>0.16</v>
      </c>
      <c r="R8" s="118">
        <v>0.34</v>
      </c>
      <c r="S8" s="169">
        <v>7.44</v>
      </c>
      <c r="T8" s="120">
        <v>78.3</v>
      </c>
      <c r="U8" s="123" t="s">
        <v>130</v>
      </c>
      <c r="V8" s="192"/>
      <c r="W8" s="193">
        <f t="shared" ref="W8:W37" si="0">1-S8/G8</f>
        <v>0.730434782608696</v>
      </c>
    </row>
    <row r="9" ht="12.95" customHeight="1" spans="1:23">
      <c r="A9" s="110">
        <v>3</v>
      </c>
      <c r="B9" s="111">
        <v>226</v>
      </c>
      <c r="C9" s="112">
        <v>106</v>
      </c>
      <c r="D9" s="113">
        <v>94</v>
      </c>
      <c r="E9" s="114">
        <v>2.15</v>
      </c>
      <c r="F9" s="116">
        <v>21.4</v>
      </c>
      <c r="G9" s="116">
        <v>29.2</v>
      </c>
      <c r="H9" s="117">
        <v>35</v>
      </c>
      <c r="I9" s="114">
        <v>3.5</v>
      </c>
      <c r="J9" s="117">
        <v>18</v>
      </c>
      <c r="K9" s="114">
        <v>0.51</v>
      </c>
      <c r="L9" s="169">
        <v>0.3</v>
      </c>
      <c r="M9" s="169">
        <v>6.73</v>
      </c>
      <c r="N9" s="113">
        <v>30</v>
      </c>
      <c r="O9" s="170">
        <v>2.94</v>
      </c>
      <c r="P9" s="113">
        <v>5</v>
      </c>
      <c r="Q9" s="169">
        <v>0.13</v>
      </c>
      <c r="R9" s="118">
        <v>0.14</v>
      </c>
      <c r="S9" s="169">
        <v>6.02</v>
      </c>
      <c r="T9" s="120">
        <v>78.4</v>
      </c>
      <c r="U9" s="123">
        <v>20</v>
      </c>
      <c r="V9" s="192"/>
      <c r="W9" s="193">
        <f t="shared" si="0"/>
        <v>0.793835616438356</v>
      </c>
    </row>
    <row r="10" ht="12.95" customHeight="1" spans="1:23">
      <c r="A10" s="110">
        <v>4</v>
      </c>
      <c r="B10" s="111">
        <v>239</v>
      </c>
      <c r="C10" s="112">
        <v>103</v>
      </c>
      <c r="D10" s="113">
        <v>100</v>
      </c>
      <c r="E10" s="114">
        <v>2.2</v>
      </c>
      <c r="F10" s="116">
        <v>20.6</v>
      </c>
      <c r="G10" s="116">
        <v>26.7</v>
      </c>
      <c r="H10" s="117">
        <v>40</v>
      </c>
      <c r="I10" s="114">
        <v>3.98</v>
      </c>
      <c r="J10" s="117">
        <v>17</v>
      </c>
      <c r="K10" s="114">
        <v>0.54</v>
      </c>
      <c r="L10" s="169">
        <v>0.37</v>
      </c>
      <c r="M10" s="169">
        <v>8.49</v>
      </c>
      <c r="N10" s="113">
        <v>24</v>
      </c>
      <c r="O10" s="170">
        <v>2.44</v>
      </c>
      <c r="P10" s="113">
        <v>6</v>
      </c>
      <c r="Q10" s="169">
        <v>0.26</v>
      </c>
      <c r="R10" s="118">
        <v>0.36</v>
      </c>
      <c r="S10" s="169">
        <v>7</v>
      </c>
      <c r="T10" s="120">
        <v>78.3</v>
      </c>
      <c r="U10" s="123">
        <v>40</v>
      </c>
      <c r="V10" s="192"/>
      <c r="W10" s="193">
        <f t="shared" si="0"/>
        <v>0.737827715355805</v>
      </c>
    </row>
    <row r="11" ht="12.95" customHeight="1" spans="1:23">
      <c r="A11" s="110">
        <v>5</v>
      </c>
      <c r="B11" s="111">
        <v>174</v>
      </c>
      <c r="C11" s="112">
        <v>78.3</v>
      </c>
      <c r="D11" s="113">
        <v>90</v>
      </c>
      <c r="E11" s="114">
        <v>2.44</v>
      </c>
      <c r="F11" s="119">
        <v>21.2</v>
      </c>
      <c r="G11" s="116">
        <v>30.7</v>
      </c>
      <c r="H11" s="117">
        <v>33</v>
      </c>
      <c r="I11" s="114">
        <v>3.31</v>
      </c>
      <c r="J11" s="117">
        <v>16</v>
      </c>
      <c r="K11" s="114">
        <v>0.5</v>
      </c>
      <c r="L11" s="169">
        <v>0.45</v>
      </c>
      <c r="M11" s="169">
        <v>7.96</v>
      </c>
      <c r="N11" s="113">
        <v>23</v>
      </c>
      <c r="O11" s="170">
        <v>2.53</v>
      </c>
      <c r="P11" s="113">
        <v>5</v>
      </c>
      <c r="Q11" s="169">
        <v>0.09</v>
      </c>
      <c r="R11" s="118">
        <v>0.41</v>
      </c>
      <c r="S11" s="169">
        <v>7.5</v>
      </c>
      <c r="T11" s="120">
        <v>78.6</v>
      </c>
      <c r="U11" s="123">
        <v>20</v>
      </c>
      <c r="V11" s="192"/>
      <c r="W11" s="193">
        <f t="shared" si="0"/>
        <v>0.755700325732899</v>
      </c>
    </row>
    <row r="12" ht="12.95" customHeight="1" spans="1:23">
      <c r="A12" s="110">
        <v>6</v>
      </c>
      <c r="B12" s="111">
        <v>170</v>
      </c>
      <c r="C12" s="112">
        <v>81.6</v>
      </c>
      <c r="D12" s="113">
        <v>78</v>
      </c>
      <c r="E12" s="114">
        <v>2.36</v>
      </c>
      <c r="F12" s="115">
        <v>21.7</v>
      </c>
      <c r="G12" s="116">
        <v>30.4</v>
      </c>
      <c r="H12" s="117">
        <v>37</v>
      </c>
      <c r="I12" s="114">
        <v>3.67</v>
      </c>
      <c r="J12" s="117">
        <v>16</v>
      </c>
      <c r="K12" s="114">
        <v>0.52</v>
      </c>
      <c r="L12" s="169">
        <v>0.75</v>
      </c>
      <c r="M12" s="169">
        <v>9.13</v>
      </c>
      <c r="N12" s="113">
        <v>26</v>
      </c>
      <c r="O12" s="170">
        <v>2.66</v>
      </c>
      <c r="P12" s="113">
        <v>6</v>
      </c>
      <c r="Q12" s="169">
        <v>0.11</v>
      </c>
      <c r="R12" s="118">
        <v>0.68</v>
      </c>
      <c r="S12" s="169">
        <v>8.08</v>
      </c>
      <c r="T12" s="120">
        <v>78.9</v>
      </c>
      <c r="U12" s="123" t="s">
        <v>130</v>
      </c>
      <c r="V12" s="192"/>
      <c r="W12" s="193">
        <f t="shared" si="0"/>
        <v>0.734210526315789</v>
      </c>
    </row>
    <row r="13" ht="12.95" customHeight="1" spans="1:23">
      <c r="A13" s="110">
        <v>7</v>
      </c>
      <c r="B13" s="111">
        <v>192</v>
      </c>
      <c r="C13" s="112">
        <v>82.4</v>
      </c>
      <c r="D13" s="113">
        <v>82</v>
      </c>
      <c r="E13" s="114">
        <v>3.52</v>
      </c>
      <c r="F13" s="115">
        <v>26.3</v>
      </c>
      <c r="G13" s="116">
        <v>32</v>
      </c>
      <c r="H13" s="117">
        <v>37</v>
      </c>
      <c r="I13" s="114">
        <v>3.7</v>
      </c>
      <c r="J13" s="117">
        <v>16</v>
      </c>
      <c r="K13" s="114">
        <v>0.52</v>
      </c>
      <c r="L13" s="169">
        <v>0.37</v>
      </c>
      <c r="M13" s="115">
        <v>10.8</v>
      </c>
      <c r="N13" s="113">
        <v>24</v>
      </c>
      <c r="O13" s="170">
        <v>2.48</v>
      </c>
      <c r="P13" s="113">
        <v>6</v>
      </c>
      <c r="Q13" s="169">
        <v>0.11</v>
      </c>
      <c r="R13" s="118">
        <v>0.28</v>
      </c>
      <c r="S13" s="115">
        <v>10.5</v>
      </c>
      <c r="T13" s="120">
        <v>78.8</v>
      </c>
      <c r="U13" s="123" t="s">
        <v>130</v>
      </c>
      <c r="V13" s="192"/>
      <c r="W13" s="193">
        <f t="shared" si="0"/>
        <v>0.671875</v>
      </c>
    </row>
    <row r="14" ht="12.95" customHeight="1" spans="1:23">
      <c r="A14" s="110">
        <v>8</v>
      </c>
      <c r="B14" s="111">
        <v>173</v>
      </c>
      <c r="C14" s="112">
        <v>96.8</v>
      </c>
      <c r="D14" s="113">
        <v>76</v>
      </c>
      <c r="E14" s="114">
        <v>4</v>
      </c>
      <c r="F14" s="120">
        <v>25.8</v>
      </c>
      <c r="G14" s="116">
        <v>31.1</v>
      </c>
      <c r="H14" s="117">
        <v>36</v>
      </c>
      <c r="I14" s="114">
        <v>3.36</v>
      </c>
      <c r="J14" s="117">
        <v>12</v>
      </c>
      <c r="K14" s="114">
        <v>0.51</v>
      </c>
      <c r="L14" s="169">
        <v>0.43</v>
      </c>
      <c r="M14" s="169">
        <v>7.81</v>
      </c>
      <c r="N14" s="113">
        <v>23</v>
      </c>
      <c r="O14" s="170">
        <v>2.65</v>
      </c>
      <c r="P14" s="113">
        <v>5</v>
      </c>
      <c r="Q14" s="169">
        <v>0.14</v>
      </c>
      <c r="R14" s="118">
        <v>0.33</v>
      </c>
      <c r="S14" s="169">
        <v>7.4</v>
      </c>
      <c r="T14" s="120">
        <v>78.5</v>
      </c>
      <c r="U14" s="123" t="s">
        <v>130</v>
      </c>
      <c r="V14" s="192"/>
      <c r="W14" s="193">
        <f t="shared" si="0"/>
        <v>0.762057877813505</v>
      </c>
    </row>
    <row r="15" ht="12.95" customHeight="1" spans="1:23">
      <c r="A15" s="110">
        <v>9</v>
      </c>
      <c r="B15" s="111">
        <v>156</v>
      </c>
      <c r="C15" s="112">
        <v>82.6</v>
      </c>
      <c r="D15" s="113">
        <v>70</v>
      </c>
      <c r="E15" s="114">
        <v>3.93</v>
      </c>
      <c r="F15" s="116">
        <v>24.9</v>
      </c>
      <c r="G15" s="116">
        <v>29.1</v>
      </c>
      <c r="H15" s="117">
        <v>29</v>
      </c>
      <c r="I15" s="114">
        <v>2.9</v>
      </c>
      <c r="J15" s="117">
        <v>11</v>
      </c>
      <c r="K15" s="114">
        <v>0.52</v>
      </c>
      <c r="L15" s="169">
        <v>0.56</v>
      </c>
      <c r="M15" s="169">
        <v>8.25</v>
      </c>
      <c r="N15" s="113">
        <v>23</v>
      </c>
      <c r="O15" s="170">
        <v>2.36</v>
      </c>
      <c r="P15" s="113">
        <v>5</v>
      </c>
      <c r="Q15" s="169">
        <v>0.28</v>
      </c>
      <c r="R15" s="118">
        <v>0.34</v>
      </c>
      <c r="S15" s="169">
        <v>7.5</v>
      </c>
      <c r="T15" s="120">
        <v>78.6</v>
      </c>
      <c r="U15" s="123" t="s">
        <v>130</v>
      </c>
      <c r="V15" s="192"/>
      <c r="W15" s="193">
        <f t="shared" si="0"/>
        <v>0.742268041237113</v>
      </c>
    </row>
    <row r="16" ht="12.95" customHeight="1" spans="1:23">
      <c r="A16" s="110">
        <v>10</v>
      </c>
      <c r="B16" s="111">
        <v>171</v>
      </c>
      <c r="C16" s="121">
        <v>97.4</v>
      </c>
      <c r="D16" s="113">
        <v>72</v>
      </c>
      <c r="E16" s="114">
        <v>3.33</v>
      </c>
      <c r="F16" s="116">
        <v>27.9</v>
      </c>
      <c r="G16" s="116">
        <v>31.2</v>
      </c>
      <c r="H16" s="117">
        <v>29</v>
      </c>
      <c r="I16" s="171">
        <v>2.96</v>
      </c>
      <c r="J16" s="117">
        <v>14</v>
      </c>
      <c r="K16" s="114">
        <v>0.5</v>
      </c>
      <c r="L16" s="169">
        <v>0.47</v>
      </c>
      <c r="M16" s="169">
        <v>8.05</v>
      </c>
      <c r="N16" s="113">
        <v>25</v>
      </c>
      <c r="O16" s="170">
        <v>2.55</v>
      </c>
      <c r="P16" s="113">
        <v>6</v>
      </c>
      <c r="Q16" s="169">
        <v>0.2</v>
      </c>
      <c r="R16" s="118">
        <v>0.24</v>
      </c>
      <c r="S16" s="169">
        <v>7.64</v>
      </c>
      <c r="T16" s="120">
        <v>78.9</v>
      </c>
      <c r="U16" s="123">
        <v>20</v>
      </c>
      <c r="V16" s="192"/>
      <c r="W16" s="193">
        <f t="shared" si="0"/>
        <v>0.755128205128205</v>
      </c>
    </row>
    <row r="17" ht="12.95" customHeight="1" spans="1:23">
      <c r="A17" s="110">
        <v>11</v>
      </c>
      <c r="B17" s="111">
        <v>236</v>
      </c>
      <c r="C17" s="112">
        <v>125</v>
      </c>
      <c r="D17" s="113">
        <v>66</v>
      </c>
      <c r="E17" s="114">
        <v>2.23</v>
      </c>
      <c r="F17" s="115">
        <v>22.2</v>
      </c>
      <c r="G17" s="116">
        <v>29.1</v>
      </c>
      <c r="H17" s="117">
        <v>33</v>
      </c>
      <c r="I17" s="114">
        <v>3.31</v>
      </c>
      <c r="J17" s="117">
        <v>16</v>
      </c>
      <c r="K17" s="114">
        <v>0.53</v>
      </c>
      <c r="L17" s="169">
        <v>0.32</v>
      </c>
      <c r="M17" s="169">
        <v>8.32</v>
      </c>
      <c r="N17" s="113">
        <v>27</v>
      </c>
      <c r="O17" s="170">
        <v>2.7</v>
      </c>
      <c r="P17" s="113">
        <v>6</v>
      </c>
      <c r="Q17" s="169">
        <v>0.16</v>
      </c>
      <c r="R17" s="118">
        <v>0.27</v>
      </c>
      <c r="S17" s="169">
        <v>8.1</v>
      </c>
      <c r="T17" s="120">
        <v>78.6</v>
      </c>
      <c r="U17" s="123">
        <v>20</v>
      </c>
      <c r="V17" s="192"/>
      <c r="W17" s="193">
        <f t="shared" si="0"/>
        <v>0.721649484536083</v>
      </c>
    </row>
    <row r="18" ht="12.95" customHeight="1" spans="1:23">
      <c r="A18" s="110">
        <v>12</v>
      </c>
      <c r="B18" s="113">
        <v>170</v>
      </c>
      <c r="C18" s="112">
        <v>91.7</v>
      </c>
      <c r="D18" s="122">
        <v>74</v>
      </c>
      <c r="E18" s="114">
        <v>2.6</v>
      </c>
      <c r="F18" s="116">
        <v>22.1</v>
      </c>
      <c r="G18" s="116">
        <v>28.9</v>
      </c>
      <c r="H18" s="117">
        <v>36</v>
      </c>
      <c r="I18" s="114">
        <v>3.36</v>
      </c>
      <c r="J18" s="60">
        <v>18</v>
      </c>
      <c r="K18" s="114">
        <v>0.52</v>
      </c>
      <c r="L18" s="169">
        <v>0.52</v>
      </c>
      <c r="M18" s="169">
        <v>8.42</v>
      </c>
      <c r="N18" s="113">
        <v>26</v>
      </c>
      <c r="O18" s="170">
        <v>2.62</v>
      </c>
      <c r="P18" s="113">
        <v>6</v>
      </c>
      <c r="Q18" s="169">
        <v>0.16</v>
      </c>
      <c r="R18" s="118">
        <v>0.43</v>
      </c>
      <c r="S18" s="172">
        <v>8.1</v>
      </c>
      <c r="T18" s="120">
        <v>78.8</v>
      </c>
      <c r="U18" s="123">
        <v>40</v>
      </c>
      <c r="V18" s="192"/>
      <c r="W18" s="193">
        <f t="shared" si="0"/>
        <v>0.719723183391003</v>
      </c>
    </row>
    <row r="19" ht="12.95" customHeight="1" spans="1:23">
      <c r="A19" s="110">
        <v>13</v>
      </c>
      <c r="B19" s="111">
        <v>265</v>
      </c>
      <c r="C19" s="112">
        <v>154</v>
      </c>
      <c r="D19" s="122">
        <v>104</v>
      </c>
      <c r="E19" s="114">
        <v>5.14</v>
      </c>
      <c r="F19" s="116">
        <v>26.8</v>
      </c>
      <c r="G19" s="116">
        <v>31</v>
      </c>
      <c r="H19" s="117">
        <v>35</v>
      </c>
      <c r="I19" s="114">
        <v>3.6</v>
      </c>
      <c r="J19" s="60">
        <v>16</v>
      </c>
      <c r="K19" s="114">
        <v>0.51</v>
      </c>
      <c r="L19" s="169">
        <v>0.38</v>
      </c>
      <c r="M19" s="115">
        <v>10.5</v>
      </c>
      <c r="N19" s="113">
        <v>26</v>
      </c>
      <c r="O19" s="170">
        <v>2.62</v>
      </c>
      <c r="P19" s="113">
        <v>5</v>
      </c>
      <c r="Q19" s="169">
        <v>0.28</v>
      </c>
      <c r="R19" s="118">
        <v>0.27</v>
      </c>
      <c r="S19" s="169">
        <v>9.52</v>
      </c>
      <c r="T19" s="120">
        <v>78.2</v>
      </c>
      <c r="U19" s="123">
        <v>50</v>
      </c>
      <c r="V19" s="192"/>
      <c r="W19" s="193">
        <f t="shared" si="0"/>
        <v>0.692903225806452</v>
      </c>
    </row>
    <row r="20" ht="12.95" customHeight="1" spans="1:23">
      <c r="A20" s="110">
        <v>14</v>
      </c>
      <c r="B20" s="111">
        <v>192</v>
      </c>
      <c r="C20" s="121">
        <v>106</v>
      </c>
      <c r="D20" s="113">
        <v>110</v>
      </c>
      <c r="E20" s="114">
        <v>4.07</v>
      </c>
      <c r="F20" s="120">
        <v>25.9</v>
      </c>
      <c r="G20" s="116">
        <v>32.2</v>
      </c>
      <c r="H20" s="117">
        <v>32</v>
      </c>
      <c r="I20" s="171">
        <v>3.22</v>
      </c>
      <c r="J20" s="117">
        <v>15</v>
      </c>
      <c r="K20" s="114">
        <v>0.52</v>
      </c>
      <c r="L20" s="169">
        <v>0.37</v>
      </c>
      <c r="M20" s="169">
        <v>9.98</v>
      </c>
      <c r="N20" s="113">
        <v>29</v>
      </c>
      <c r="O20" s="170">
        <v>2.8</v>
      </c>
      <c r="P20" s="113">
        <v>5</v>
      </c>
      <c r="Q20" s="169">
        <v>0.22</v>
      </c>
      <c r="R20" s="118">
        <v>0.31</v>
      </c>
      <c r="S20" s="169">
        <v>8.54</v>
      </c>
      <c r="T20" s="120">
        <v>78.4</v>
      </c>
      <c r="U20" s="123" t="s">
        <v>130</v>
      </c>
      <c r="V20" s="192"/>
      <c r="W20" s="193">
        <f t="shared" si="0"/>
        <v>0.734782608695652</v>
      </c>
    </row>
    <row r="21" ht="12.95" customHeight="1" spans="1:23">
      <c r="A21" s="110">
        <v>15</v>
      </c>
      <c r="B21" s="111">
        <v>195</v>
      </c>
      <c r="C21" s="112">
        <v>109</v>
      </c>
      <c r="D21" s="113">
        <v>78</v>
      </c>
      <c r="E21" s="114">
        <v>2.53</v>
      </c>
      <c r="F21" s="115">
        <v>28.5</v>
      </c>
      <c r="G21" s="116">
        <v>35.6</v>
      </c>
      <c r="H21" s="117">
        <v>35</v>
      </c>
      <c r="I21" s="114">
        <v>3.68</v>
      </c>
      <c r="J21" s="117">
        <v>14</v>
      </c>
      <c r="K21" s="114">
        <v>0.52</v>
      </c>
      <c r="L21" s="169">
        <v>0.33</v>
      </c>
      <c r="M21" s="169">
        <v>9.1</v>
      </c>
      <c r="N21" s="113">
        <v>29</v>
      </c>
      <c r="O21" s="170">
        <v>2.9</v>
      </c>
      <c r="P21" s="113">
        <v>5</v>
      </c>
      <c r="Q21" s="169">
        <v>0.16</v>
      </c>
      <c r="R21" s="118">
        <v>0.32</v>
      </c>
      <c r="S21" s="169">
        <v>7.81</v>
      </c>
      <c r="T21" s="120">
        <v>78.5</v>
      </c>
      <c r="U21" s="123" t="s">
        <v>130</v>
      </c>
      <c r="V21" s="192"/>
      <c r="W21" s="193">
        <f t="shared" si="0"/>
        <v>0.78061797752809</v>
      </c>
    </row>
    <row r="22" ht="12" customHeight="1" spans="1:23">
      <c r="A22" s="110">
        <v>16</v>
      </c>
      <c r="B22" s="111">
        <v>211</v>
      </c>
      <c r="C22" s="112">
        <v>112</v>
      </c>
      <c r="D22" s="113">
        <v>96</v>
      </c>
      <c r="E22" s="114">
        <v>4.25</v>
      </c>
      <c r="F22" s="115">
        <v>30.1</v>
      </c>
      <c r="G22" s="116">
        <v>35.6</v>
      </c>
      <c r="H22" s="117">
        <v>38</v>
      </c>
      <c r="I22" s="114">
        <v>3.68</v>
      </c>
      <c r="J22" s="117">
        <v>16</v>
      </c>
      <c r="K22" s="114">
        <v>0.54</v>
      </c>
      <c r="L22" s="169">
        <v>0.45</v>
      </c>
      <c r="M22" s="169">
        <v>8.83</v>
      </c>
      <c r="N22" s="113">
        <v>25</v>
      </c>
      <c r="O22" s="170">
        <v>2.58</v>
      </c>
      <c r="P22" s="113">
        <v>5</v>
      </c>
      <c r="Q22" s="169">
        <v>0.23</v>
      </c>
      <c r="R22" s="118">
        <v>0.38</v>
      </c>
      <c r="S22" s="169">
        <v>8.28</v>
      </c>
      <c r="T22" s="120">
        <v>78.8</v>
      </c>
      <c r="U22" s="123">
        <v>20</v>
      </c>
      <c r="V22" s="192"/>
      <c r="W22" s="193">
        <f t="shared" si="0"/>
        <v>0.767415730337079</v>
      </c>
    </row>
    <row r="23" ht="12.95" customHeight="1" spans="1:23">
      <c r="A23" s="110">
        <v>17</v>
      </c>
      <c r="B23" s="111">
        <v>210</v>
      </c>
      <c r="C23" s="112">
        <v>116</v>
      </c>
      <c r="D23" s="113">
        <v>92</v>
      </c>
      <c r="E23" s="114">
        <v>2.19</v>
      </c>
      <c r="F23" s="115">
        <v>22.5</v>
      </c>
      <c r="G23" s="116">
        <v>27.1</v>
      </c>
      <c r="H23" s="117">
        <v>38</v>
      </c>
      <c r="I23" s="114">
        <v>3.38</v>
      </c>
      <c r="J23" s="117">
        <v>17</v>
      </c>
      <c r="K23" s="114">
        <v>0.53</v>
      </c>
      <c r="L23" s="169">
        <v>0.39</v>
      </c>
      <c r="M23" s="169">
        <v>8.04</v>
      </c>
      <c r="N23" s="113">
        <v>26</v>
      </c>
      <c r="O23" s="170">
        <v>2.6</v>
      </c>
      <c r="P23" s="113">
        <v>5</v>
      </c>
      <c r="Q23" s="169">
        <v>0.21</v>
      </c>
      <c r="R23" s="118">
        <v>0.36</v>
      </c>
      <c r="S23" s="169">
        <v>7.01</v>
      </c>
      <c r="T23" s="120">
        <v>78.5</v>
      </c>
      <c r="U23" s="123">
        <v>40</v>
      </c>
      <c r="V23" s="192"/>
      <c r="W23" s="193">
        <f t="shared" si="0"/>
        <v>0.741328413284133</v>
      </c>
    </row>
    <row r="24" ht="12.95" customHeight="1" spans="1:23">
      <c r="A24" s="110">
        <v>18</v>
      </c>
      <c r="B24" s="123">
        <v>204</v>
      </c>
      <c r="C24" s="112">
        <v>114</v>
      </c>
      <c r="D24" s="113">
        <v>74</v>
      </c>
      <c r="E24" s="114">
        <v>2.22</v>
      </c>
      <c r="F24" s="115">
        <v>21.7</v>
      </c>
      <c r="G24" s="116">
        <v>27.8</v>
      </c>
      <c r="H24" s="117">
        <v>39</v>
      </c>
      <c r="I24" s="114">
        <v>3.64</v>
      </c>
      <c r="J24" s="117">
        <v>16</v>
      </c>
      <c r="K24" s="114">
        <v>0.52</v>
      </c>
      <c r="L24" s="169">
        <v>0.31</v>
      </c>
      <c r="M24" s="169">
        <v>8.88</v>
      </c>
      <c r="N24" s="113">
        <v>23</v>
      </c>
      <c r="O24" s="170">
        <v>2.74</v>
      </c>
      <c r="P24" s="113">
        <v>5</v>
      </c>
      <c r="Q24" s="169">
        <v>0.16</v>
      </c>
      <c r="R24" s="118">
        <v>0.22</v>
      </c>
      <c r="S24" s="169">
        <v>7.54</v>
      </c>
      <c r="T24" s="120">
        <v>78.3</v>
      </c>
      <c r="U24" s="123">
        <v>50</v>
      </c>
      <c r="V24" s="192"/>
      <c r="W24" s="193">
        <f t="shared" si="0"/>
        <v>0.728776978417266</v>
      </c>
    </row>
    <row r="25" ht="12.95" customHeight="1" spans="1:23">
      <c r="A25" s="110">
        <v>19</v>
      </c>
      <c r="B25" s="123">
        <v>297</v>
      </c>
      <c r="C25" s="121">
        <v>136</v>
      </c>
      <c r="D25" s="113">
        <v>86</v>
      </c>
      <c r="E25" s="114">
        <v>2.49</v>
      </c>
      <c r="F25" s="116">
        <v>22.8</v>
      </c>
      <c r="G25" s="116">
        <v>28.8</v>
      </c>
      <c r="H25" s="117">
        <v>41</v>
      </c>
      <c r="I25" s="171">
        <v>3.88</v>
      </c>
      <c r="J25" s="117">
        <v>17</v>
      </c>
      <c r="K25" s="114">
        <v>0.53</v>
      </c>
      <c r="L25" s="169">
        <v>0.39</v>
      </c>
      <c r="M25" s="169">
        <v>8.88</v>
      </c>
      <c r="N25" s="113">
        <v>24</v>
      </c>
      <c r="O25" s="170">
        <v>2.46</v>
      </c>
      <c r="P25" s="113">
        <v>6</v>
      </c>
      <c r="Q25" s="169">
        <v>0.13</v>
      </c>
      <c r="R25" s="118">
        <v>0.28</v>
      </c>
      <c r="S25" s="169">
        <v>7.06</v>
      </c>
      <c r="T25" s="120">
        <v>78.2</v>
      </c>
      <c r="U25" s="123">
        <v>40</v>
      </c>
      <c r="V25" s="192"/>
      <c r="W25" s="193">
        <f t="shared" si="0"/>
        <v>0.754861111111111</v>
      </c>
    </row>
    <row r="26" ht="12.95" customHeight="1" spans="1:23">
      <c r="A26" s="110">
        <v>20</v>
      </c>
      <c r="B26" s="123">
        <v>209</v>
      </c>
      <c r="C26" s="112">
        <v>96.1</v>
      </c>
      <c r="D26" s="113">
        <v>108</v>
      </c>
      <c r="E26" s="114">
        <v>2.5</v>
      </c>
      <c r="F26" s="116">
        <v>29.1</v>
      </c>
      <c r="G26" s="116">
        <v>34.9</v>
      </c>
      <c r="H26" s="117">
        <v>47</v>
      </c>
      <c r="I26" s="114">
        <v>3.74</v>
      </c>
      <c r="J26" s="117">
        <v>16</v>
      </c>
      <c r="K26" s="114">
        <v>0.54</v>
      </c>
      <c r="L26" s="169">
        <v>0.47</v>
      </c>
      <c r="M26" s="169">
        <v>8.94</v>
      </c>
      <c r="N26" s="113">
        <v>25</v>
      </c>
      <c r="O26" s="170">
        <v>2.52</v>
      </c>
      <c r="P26" s="113">
        <v>5</v>
      </c>
      <c r="Q26" s="169">
        <v>0.2</v>
      </c>
      <c r="R26" s="118">
        <v>0.34</v>
      </c>
      <c r="S26" s="169">
        <v>8.07</v>
      </c>
      <c r="T26" s="120">
        <v>78</v>
      </c>
      <c r="U26" s="123" t="s">
        <v>130</v>
      </c>
      <c r="V26" s="192"/>
      <c r="W26" s="193">
        <f t="shared" si="0"/>
        <v>0.768767908309456</v>
      </c>
    </row>
    <row r="27" ht="12.95" customHeight="1" spans="1:23">
      <c r="A27" s="110">
        <v>21</v>
      </c>
      <c r="B27" s="123">
        <v>225</v>
      </c>
      <c r="C27" s="112">
        <v>99</v>
      </c>
      <c r="D27" s="113">
        <v>100</v>
      </c>
      <c r="E27" s="114">
        <v>1.75</v>
      </c>
      <c r="F27" s="120">
        <v>20.7</v>
      </c>
      <c r="G27" s="116">
        <v>26.5</v>
      </c>
      <c r="H27" s="117">
        <v>36</v>
      </c>
      <c r="I27" s="114">
        <v>3.6</v>
      </c>
      <c r="J27" s="117">
        <v>16</v>
      </c>
      <c r="K27" s="114">
        <v>0.52</v>
      </c>
      <c r="L27" s="169">
        <v>0.35</v>
      </c>
      <c r="M27" s="169">
        <v>9.86</v>
      </c>
      <c r="N27" s="113">
        <v>23</v>
      </c>
      <c r="O27" s="170">
        <v>2.43</v>
      </c>
      <c r="P27" s="113">
        <v>6</v>
      </c>
      <c r="Q27" s="169">
        <v>0.2</v>
      </c>
      <c r="R27" s="118">
        <v>0.28</v>
      </c>
      <c r="S27" s="169">
        <v>9.36</v>
      </c>
      <c r="T27" s="120">
        <v>78.2</v>
      </c>
      <c r="U27" s="123" t="s">
        <v>130</v>
      </c>
      <c r="V27" s="192"/>
      <c r="W27" s="193">
        <f t="shared" si="0"/>
        <v>0.646792452830189</v>
      </c>
    </row>
    <row r="28" ht="12.95" customHeight="1" spans="1:23">
      <c r="A28" s="110">
        <v>22</v>
      </c>
      <c r="B28" s="123">
        <v>174</v>
      </c>
      <c r="C28" s="112">
        <v>81.6</v>
      </c>
      <c r="D28" s="113">
        <v>66</v>
      </c>
      <c r="E28" s="114">
        <v>2.78</v>
      </c>
      <c r="F28" s="120">
        <v>26.5</v>
      </c>
      <c r="G28" s="116">
        <v>31.5</v>
      </c>
      <c r="H28" s="117">
        <v>35</v>
      </c>
      <c r="I28" s="114">
        <v>3.5</v>
      </c>
      <c r="J28" s="117">
        <v>18</v>
      </c>
      <c r="K28" s="114">
        <v>0.54</v>
      </c>
      <c r="L28" s="169">
        <v>0.42</v>
      </c>
      <c r="M28" s="169">
        <v>8.86</v>
      </c>
      <c r="N28" s="113">
        <v>23</v>
      </c>
      <c r="O28" s="170">
        <v>2.38</v>
      </c>
      <c r="P28" s="113">
        <v>6</v>
      </c>
      <c r="Q28" s="169">
        <v>0.19</v>
      </c>
      <c r="R28" s="118">
        <v>0.3</v>
      </c>
      <c r="S28" s="169">
        <v>7.84</v>
      </c>
      <c r="T28" s="120">
        <v>78.3</v>
      </c>
      <c r="U28" s="123">
        <v>20</v>
      </c>
      <c r="V28" s="192"/>
      <c r="W28" s="193">
        <f t="shared" si="0"/>
        <v>0.751111111111111</v>
      </c>
    </row>
    <row r="29" ht="12.95" customHeight="1" spans="1:23">
      <c r="A29" s="110">
        <v>23</v>
      </c>
      <c r="B29" s="123">
        <v>234</v>
      </c>
      <c r="C29" s="121">
        <v>105</v>
      </c>
      <c r="D29" s="113">
        <v>96</v>
      </c>
      <c r="E29" s="114">
        <v>2.56</v>
      </c>
      <c r="F29" s="120">
        <v>27.6</v>
      </c>
      <c r="G29" s="116">
        <v>32.3</v>
      </c>
      <c r="H29" s="117">
        <v>31</v>
      </c>
      <c r="I29" s="171">
        <v>3.1</v>
      </c>
      <c r="J29" s="117">
        <v>15</v>
      </c>
      <c r="K29" s="114">
        <v>0.52</v>
      </c>
      <c r="L29" s="169">
        <v>0.42</v>
      </c>
      <c r="M29" s="169">
        <v>8.49</v>
      </c>
      <c r="N29" s="113">
        <v>24</v>
      </c>
      <c r="O29" s="170">
        <v>2.42</v>
      </c>
      <c r="P29" s="113">
        <v>5</v>
      </c>
      <c r="Q29" s="169">
        <v>0.15</v>
      </c>
      <c r="R29" s="118">
        <v>0.35</v>
      </c>
      <c r="S29" s="169">
        <v>8.2</v>
      </c>
      <c r="T29" s="120">
        <v>78.2</v>
      </c>
      <c r="U29" s="123" t="s">
        <v>130</v>
      </c>
      <c r="V29" s="192"/>
      <c r="W29" s="193">
        <f t="shared" si="0"/>
        <v>0.746130030959752</v>
      </c>
    </row>
    <row r="30" ht="12.95" customHeight="1" spans="1:23">
      <c r="A30" s="110">
        <v>24</v>
      </c>
      <c r="B30" s="123">
        <v>367</v>
      </c>
      <c r="C30" s="112">
        <v>158</v>
      </c>
      <c r="D30" s="113">
        <v>144</v>
      </c>
      <c r="E30" s="114">
        <v>2.54</v>
      </c>
      <c r="F30" s="124">
        <v>27.5</v>
      </c>
      <c r="G30" s="125">
        <v>36.9</v>
      </c>
      <c r="H30" s="117">
        <v>46</v>
      </c>
      <c r="I30" s="114">
        <v>3.94</v>
      </c>
      <c r="J30" s="117">
        <v>17</v>
      </c>
      <c r="K30" s="114">
        <v>0.53</v>
      </c>
      <c r="L30" s="169">
        <v>0.47</v>
      </c>
      <c r="M30" s="169">
        <v>9.02</v>
      </c>
      <c r="N30" s="113">
        <v>28</v>
      </c>
      <c r="O30" s="170">
        <v>2.78</v>
      </c>
      <c r="P30" s="113">
        <v>6</v>
      </c>
      <c r="Q30" s="169">
        <v>0.2</v>
      </c>
      <c r="R30" s="169">
        <v>0.32</v>
      </c>
      <c r="S30" s="169">
        <v>8.14</v>
      </c>
      <c r="T30" s="120">
        <v>78</v>
      </c>
      <c r="U30" s="123">
        <v>40</v>
      </c>
      <c r="V30" s="192"/>
      <c r="W30" s="193">
        <f t="shared" si="0"/>
        <v>0.77940379403794</v>
      </c>
    </row>
    <row r="31" ht="12.95" customHeight="1" spans="1:23">
      <c r="A31" s="110">
        <v>25</v>
      </c>
      <c r="B31" s="123">
        <v>124</v>
      </c>
      <c r="C31" s="112">
        <v>70.6</v>
      </c>
      <c r="D31" s="113">
        <v>48</v>
      </c>
      <c r="E31" s="114">
        <v>2.12</v>
      </c>
      <c r="F31" s="116">
        <v>16.1</v>
      </c>
      <c r="G31" s="125">
        <v>21.9</v>
      </c>
      <c r="H31" s="117">
        <v>51</v>
      </c>
      <c r="I31" s="114">
        <v>4.06</v>
      </c>
      <c r="J31" s="117">
        <v>16</v>
      </c>
      <c r="K31" s="114">
        <v>0.53</v>
      </c>
      <c r="L31" s="169">
        <v>0.37</v>
      </c>
      <c r="M31" s="172">
        <v>8.33</v>
      </c>
      <c r="N31" s="113">
        <v>26</v>
      </c>
      <c r="O31" s="170">
        <v>2.66</v>
      </c>
      <c r="P31" s="113">
        <v>5</v>
      </c>
      <c r="Q31" s="169">
        <v>0.15</v>
      </c>
      <c r="R31" s="169">
        <v>0.32</v>
      </c>
      <c r="S31" s="172">
        <v>7.56</v>
      </c>
      <c r="T31" s="120">
        <v>78.1</v>
      </c>
      <c r="U31" s="123">
        <v>70</v>
      </c>
      <c r="V31" s="192"/>
      <c r="W31" s="193">
        <f t="shared" si="0"/>
        <v>0.654794520547945</v>
      </c>
    </row>
    <row r="32" ht="12.95" customHeight="1" spans="1:23">
      <c r="A32" s="110">
        <v>26</v>
      </c>
      <c r="B32" s="123">
        <v>179</v>
      </c>
      <c r="C32" s="112">
        <v>85.9</v>
      </c>
      <c r="D32" s="113">
        <v>94</v>
      </c>
      <c r="E32" s="114">
        <v>2.56</v>
      </c>
      <c r="F32" s="115">
        <v>20.9</v>
      </c>
      <c r="G32" s="116">
        <v>26.4</v>
      </c>
      <c r="H32" s="117">
        <v>38</v>
      </c>
      <c r="I32" s="114">
        <v>3.68</v>
      </c>
      <c r="J32" s="117">
        <v>14</v>
      </c>
      <c r="K32" s="114">
        <v>0.54</v>
      </c>
      <c r="L32" s="169">
        <v>0.58</v>
      </c>
      <c r="M32" s="169">
        <v>8.17</v>
      </c>
      <c r="N32" s="113">
        <v>24</v>
      </c>
      <c r="O32" s="170">
        <v>2.47</v>
      </c>
      <c r="P32" s="113">
        <v>5</v>
      </c>
      <c r="Q32" s="169">
        <v>0.12</v>
      </c>
      <c r="R32" s="169">
        <v>0.55</v>
      </c>
      <c r="S32" s="169">
        <v>7.94</v>
      </c>
      <c r="T32" s="120">
        <v>78.4</v>
      </c>
      <c r="U32" s="123">
        <v>20</v>
      </c>
      <c r="V32" s="192"/>
      <c r="W32" s="193">
        <f t="shared" si="0"/>
        <v>0.699242424242424</v>
      </c>
    </row>
    <row r="33" ht="12.95" customHeight="1" spans="1:23">
      <c r="A33" s="110">
        <v>27</v>
      </c>
      <c r="B33" s="123">
        <v>262</v>
      </c>
      <c r="C33" s="112">
        <v>110</v>
      </c>
      <c r="D33" s="113">
        <v>98</v>
      </c>
      <c r="E33" s="114">
        <v>3.08</v>
      </c>
      <c r="F33" s="120">
        <v>24</v>
      </c>
      <c r="G33" s="116">
        <v>30.9</v>
      </c>
      <c r="H33" s="117">
        <v>51</v>
      </c>
      <c r="I33" s="114">
        <v>4.26</v>
      </c>
      <c r="J33" s="117">
        <v>18</v>
      </c>
      <c r="K33" s="114">
        <v>0.53</v>
      </c>
      <c r="L33" s="169">
        <v>0.52</v>
      </c>
      <c r="M33" s="169">
        <v>9.91</v>
      </c>
      <c r="N33" s="113">
        <v>25</v>
      </c>
      <c r="O33" s="170">
        <v>2.62</v>
      </c>
      <c r="P33" s="113">
        <v>6</v>
      </c>
      <c r="Q33" s="169">
        <v>0.11</v>
      </c>
      <c r="R33" s="169">
        <v>0.4</v>
      </c>
      <c r="S33" s="169">
        <v>8.88</v>
      </c>
      <c r="T33" s="120">
        <v>78.5</v>
      </c>
      <c r="U33" s="123" t="s">
        <v>130</v>
      </c>
      <c r="V33" s="192"/>
      <c r="W33" s="193">
        <f t="shared" si="0"/>
        <v>0.712621359223301</v>
      </c>
    </row>
    <row r="34" ht="12.95" customHeight="1" spans="1:23">
      <c r="A34" s="110">
        <v>28</v>
      </c>
      <c r="B34" s="123">
        <v>277</v>
      </c>
      <c r="C34" s="112">
        <v>130</v>
      </c>
      <c r="D34" s="113">
        <v>96</v>
      </c>
      <c r="E34" s="114">
        <v>3.45</v>
      </c>
      <c r="F34" s="115">
        <v>25.8</v>
      </c>
      <c r="G34" s="116">
        <v>31.3</v>
      </c>
      <c r="H34" s="117">
        <v>52</v>
      </c>
      <c r="I34" s="114">
        <v>4.84</v>
      </c>
      <c r="J34" s="117">
        <v>16</v>
      </c>
      <c r="K34" s="114">
        <v>0.54</v>
      </c>
      <c r="L34" s="169">
        <v>0.49</v>
      </c>
      <c r="M34" s="169">
        <v>8.86</v>
      </c>
      <c r="N34" s="113">
        <v>22</v>
      </c>
      <c r="O34" s="170">
        <v>2.32</v>
      </c>
      <c r="P34" s="113">
        <v>6</v>
      </c>
      <c r="Q34" s="169">
        <v>0.11</v>
      </c>
      <c r="R34" s="169">
        <v>0.32</v>
      </c>
      <c r="S34" s="169">
        <v>8.56</v>
      </c>
      <c r="T34" s="120">
        <v>78.6</v>
      </c>
      <c r="U34" s="123" t="s">
        <v>130</v>
      </c>
      <c r="V34" s="192"/>
      <c r="W34" s="193">
        <f t="shared" si="0"/>
        <v>0.726517571884984</v>
      </c>
    </row>
    <row r="35" ht="12.95" customHeight="1" spans="1:23">
      <c r="A35" s="110">
        <v>29</v>
      </c>
      <c r="B35" s="123">
        <v>246</v>
      </c>
      <c r="C35" s="112">
        <v>101</v>
      </c>
      <c r="D35" s="113">
        <v>88</v>
      </c>
      <c r="E35" s="114">
        <v>4.89</v>
      </c>
      <c r="F35" s="115">
        <v>25.7</v>
      </c>
      <c r="G35" s="116">
        <v>32.7</v>
      </c>
      <c r="H35" s="117">
        <v>37</v>
      </c>
      <c r="I35" s="114">
        <v>3.7</v>
      </c>
      <c r="J35" s="117">
        <v>14</v>
      </c>
      <c r="K35" s="114">
        <v>0.53</v>
      </c>
      <c r="L35" s="169">
        <v>0.38</v>
      </c>
      <c r="M35" s="169">
        <v>9.39</v>
      </c>
      <c r="N35" s="113">
        <v>24</v>
      </c>
      <c r="O35" s="170">
        <v>2.45</v>
      </c>
      <c r="P35" s="113">
        <v>5</v>
      </c>
      <c r="Q35" s="169">
        <v>0.14</v>
      </c>
      <c r="R35" s="169">
        <v>0.33</v>
      </c>
      <c r="S35" s="169">
        <v>8.83</v>
      </c>
      <c r="T35" s="120">
        <v>78.2</v>
      </c>
      <c r="U35" s="123" t="s">
        <v>130</v>
      </c>
      <c r="V35" s="192"/>
      <c r="W35" s="193">
        <f t="shared" si="0"/>
        <v>0.729969418960245</v>
      </c>
    </row>
    <row r="36" ht="12.95" customHeight="1" spans="1:23">
      <c r="A36" s="110">
        <v>30</v>
      </c>
      <c r="B36" s="123">
        <v>175</v>
      </c>
      <c r="C36" s="112">
        <v>83.6</v>
      </c>
      <c r="D36" s="113">
        <v>68</v>
      </c>
      <c r="E36" s="114">
        <v>3.5</v>
      </c>
      <c r="F36" s="120">
        <v>26.4</v>
      </c>
      <c r="G36" s="116">
        <v>31.1</v>
      </c>
      <c r="H36" s="117">
        <v>36</v>
      </c>
      <c r="I36" s="114">
        <v>3.62</v>
      </c>
      <c r="J36" s="117">
        <v>13</v>
      </c>
      <c r="K36" s="114">
        <v>0.54</v>
      </c>
      <c r="L36" s="169">
        <v>0.47</v>
      </c>
      <c r="M36" s="169">
        <v>8.65</v>
      </c>
      <c r="N36" s="113">
        <v>29</v>
      </c>
      <c r="O36" s="170">
        <v>2.69</v>
      </c>
      <c r="P36" s="113">
        <v>5</v>
      </c>
      <c r="Q36" s="169">
        <v>0.25</v>
      </c>
      <c r="R36" s="169">
        <v>0.34</v>
      </c>
      <c r="S36" s="169">
        <v>8.41</v>
      </c>
      <c r="T36" s="120">
        <v>78.6</v>
      </c>
      <c r="U36" s="123">
        <v>20</v>
      </c>
      <c r="V36" s="192"/>
      <c r="W36" s="193">
        <f t="shared" si="0"/>
        <v>0.729581993569132</v>
      </c>
    </row>
    <row r="37" ht="12.95" customHeight="1" spans="1:21">
      <c r="A37" s="110" t="s">
        <v>70</v>
      </c>
      <c r="B37" s="113">
        <f>ROUND(AVERAGE(B7:B36),0)</f>
        <v>209</v>
      </c>
      <c r="C37" s="113">
        <f>ROUND(AVERAGE(C7:C36),0)</f>
        <v>102</v>
      </c>
      <c r="D37" s="113">
        <f>ROUND(AVERAGE(D7:D36),0)</f>
        <v>87</v>
      </c>
      <c r="E37" s="114">
        <f>ROUND(AVERAGE(E7:E36),2)</f>
        <v>2.92</v>
      </c>
      <c r="F37" s="120">
        <f>ROUND(AVERAGE(F7:F36),1)</f>
        <v>24.3</v>
      </c>
      <c r="G37" s="120">
        <f>ROUND(AVERAGE(G7:G36),1)</f>
        <v>30.4</v>
      </c>
      <c r="H37" s="126">
        <f>ROUND(AVERAGE(H7:H36),1)</f>
        <v>37.6</v>
      </c>
      <c r="I37" s="173">
        <f>ROUND(AVERAGE(I7:I36),2)</f>
        <v>3.59</v>
      </c>
      <c r="J37" s="174">
        <f>ROUND(AVERAGE(J7:J36),2)</f>
        <v>15.6</v>
      </c>
      <c r="K37" s="173">
        <f>ROUND(AVERAGE(K7:K36),2)</f>
        <v>0.53</v>
      </c>
      <c r="L37" s="173">
        <f>ROUND(AVERAGE(L7:L36),2)</f>
        <v>0.43</v>
      </c>
      <c r="M37" s="118">
        <f>ROUND(AVERAGE(M7:M36),1)</f>
        <v>8.7</v>
      </c>
      <c r="N37" s="113">
        <f>ROUND(AVERAGE(N7:N36),1)</f>
        <v>25.2</v>
      </c>
      <c r="O37" s="114">
        <f>ROUND(AVERAGE(O7:O36),1)</f>
        <v>2.6</v>
      </c>
      <c r="P37" s="113">
        <f>ROUND(AVERAGE(P7:P36),2)</f>
        <v>5.4</v>
      </c>
      <c r="Q37" s="169">
        <f>ROUND(AVERAGE(Q7:Q36),2)</f>
        <v>0.17</v>
      </c>
      <c r="R37" s="114">
        <f>ROUND(AVERAGE(R7:R36),2)</f>
        <v>0.34</v>
      </c>
      <c r="S37" s="118">
        <f>ROUND(AVERAGE(S7:S36),2)</f>
        <v>7.96</v>
      </c>
      <c r="T37" s="116">
        <f>ROUND(AVERAGE(T7:T36),2)</f>
        <v>78.44</v>
      </c>
      <c r="U37" s="123" t="s">
        <v>130</v>
      </c>
    </row>
    <row r="38" ht="21" customHeight="1" spans="1:21">
      <c r="A38" s="127" t="s">
        <v>72</v>
      </c>
      <c r="B38" s="128"/>
      <c r="C38" s="128"/>
      <c r="D38" s="129"/>
      <c r="E38" s="130"/>
      <c r="F38" s="131"/>
      <c r="H38"/>
      <c r="I38"/>
      <c r="J38" s="127" t="s">
        <v>73</v>
      </c>
      <c r="K38" s="175"/>
      <c r="L38" s="175"/>
      <c r="M38" s="175"/>
      <c r="N38" s="127"/>
      <c r="O38" s="176"/>
      <c r="P38" s="176"/>
      <c r="Q38" s="194" t="s">
        <v>149</v>
      </c>
      <c r="R38" s="194"/>
      <c r="S38" s="194"/>
      <c r="T38" s="194"/>
      <c r="U38" s="195"/>
    </row>
    <row r="39" ht="21" customHeight="1" spans="1:21">
      <c r="A39" s="132"/>
      <c r="B39" s="133"/>
      <c r="C39" s="134"/>
      <c r="D39" s="135"/>
      <c r="E39" s="136"/>
      <c r="F39" s="137"/>
      <c r="H39"/>
      <c r="I39"/>
      <c r="J39" s="176"/>
      <c r="K39" s="176"/>
      <c r="L39" s="176"/>
      <c r="M39" s="176"/>
      <c r="N39" s="132"/>
      <c r="O39" s="176"/>
      <c r="P39" s="176"/>
      <c r="Q39" s="196"/>
      <c r="R39" s="196"/>
      <c r="S39" s="196"/>
      <c r="T39" s="196"/>
      <c r="U39" s="195"/>
    </row>
    <row r="40" ht="15.75" spans="2:19">
      <c r="B40" s="138" t="s">
        <v>111</v>
      </c>
      <c r="C40" s="138" t="s">
        <v>150</v>
      </c>
      <c r="D40" s="139" t="s">
        <v>151</v>
      </c>
      <c r="E40" s="138" t="s">
        <v>152</v>
      </c>
      <c r="F40" s="138" t="s">
        <v>153</v>
      </c>
      <c r="G40" s="139" t="s">
        <v>151</v>
      </c>
      <c r="H40" s="138" t="s">
        <v>152</v>
      </c>
      <c r="I40" s="139" t="s">
        <v>154</v>
      </c>
      <c r="J40" s="176"/>
      <c r="K40" s="176"/>
      <c r="L40" s="176"/>
      <c r="S40" s="197"/>
    </row>
    <row r="41" ht="30" spans="2:20">
      <c r="B41" s="138"/>
      <c r="C41" s="138"/>
      <c r="D41" s="140" t="s">
        <v>155</v>
      </c>
      <c r="E41" s="138"/>
      <c r="F41" s="138"/>
      <c r="G41" s="140" t="s">
        <v>155</v>
      </c>
      <c r="H41" s="138"/>
      <c r="I41" s="140" t="s">
        <v>156</v>
      </c>
      <c r="J41" s="176"/>
      <c r="K41" s="176"/>
      <c r="L41" s="176"/>
      <c r="M41" s="177"/>
      <c r="N41" s="177"/>
      <c r="O41" s="177"/>
      <c r="P41" s="177"/>
      <c r="Q41" s="177"/>
      <c r="R41" s="177"/>
      <c r="S41" s="198"/>
      <c r="T41" s="198"/>
    </row>
    <row r="42" ht="18" spans="2:18">
      <c r="B42" s="141" t="s">
        <v>157</v>
      </c>
      <c r="C42" s="142">
        <f>B37</f>
        <v>209</v>
      </c>
      <c r="D42" s="143">
        <f>MAX(B7:B36)</f>
        <v>367</v>
      </c>
      <c r="E42" s="143">
        <f>MIN(B7:B36)</f>
        <v>124</v>
      </c>
      <c r="F42" s="144">
        <f>N37</f>
        <v>25.2</v>
      </c>
      <c r="G42" s="145">
        <f>MAX(N7:N36)</f>
        <v>30</v>
      </c>
      <c r="H42" s="143">
        <f>MIN(N7:N36)</f>
        <v>22</v>
      </c>
      <c r="I42" s="178">
        <f t="shared" ref="I42:I47" si="1">1-F42/C42</f>
        <v>0.879425837320574</v>
      </c>
      <c r="J42" s="161"/>
      <c r="K42" s="141" t="s">
        <v>158</v>
      </c>
      <c r="L42" s="179">
        <f>C43/C42</f>
        <v>0.488038277511962</v>
      </c>
      <c r="M42" s="180"/>
      <c r="N42" s="181"/>
      <c r="O42" s="181"/>
      <c r="P42" s="181"/>
      <c r="Q42" s="180"/>
      <c r="R42" s="185"/>
    </row>
    <row r="43" ht="17.25" spans="2:18">
      <c r="B43" s="146" t="s">
        <v>159</v>
      </c>
      <c r="C43" s="147">
        <f>C37</f>
        <v>102</v>
      </c>
      <c r="D43" s="148">
        <f>MAX(C7:C36)</f>
        <v>158</v>
      </c>
      <c r="E43" s="149">
        <f>MIN(C7:C36)</f>
        <v>68</v>
      </c>
      <c r="F43" s="150">
        <f>O37</f>
        <v>2.6</v>
      </c>
      <c r="G43" s="151">
        <f>MAX(O7:O36)</f>
        <v>2.94</v>
      </c>
      <c r="H43" s="149">
        <f>MIN(O7:O36)</f>
        <v>2.32</v>
      </c>
      <c r="I43" s="182">
        <f>1-2/C43</f>
        <v>0.980392156862745</v>
      </c>
      <c r="J43" s="161"/>
      <c r="K43" s="146" t="s">
        <v>160</v>
      </c>
      <c r="L43" s="183">
        <f>C43/C47</f>
        <v>3.35526315789474</v>
      </c>
      <c r="M43" s="180"/>
      <c r="N43" s="181"/>
      <c r="O43" s="181"/>
      <c r="P43" s="181"/>
      <c r="Q43" s="180"/>
      <c r="R43" s="185"/>
    </row>
    <row r="44" ht="17.25" spans="2:18">
      <c r="B44" s="146" t="s">
        <v>120</v>
      </c>
      <c r="C44" s="152">
        <f>D37</f>
        <v>87</v>
      </c>
      <c r="D44" s="149">
        <f>MAX(D7:D36)</f>
        <v>144</v>
      </c>
      <c r="E44" s="153">
        <f>MIN(D7:D36)</f>
        <v>48</v>
      </c>
      <c r="F44" s="154">
        <f>P37</f>
        <v>5.4</v>
      </c>
      <c r="G44" s="155">
        <f>MAX(P7:P36)</f>
        <v>6</v>
      </c>
      <c r="H44" s="155">
        <f>MIN(P7:P36)</f>
        <v>5</v>
      </c>
      <c r="I44" s="182">
        <f t="shared" si="1"/>
        <v>0.937931034482759</v>
      </c>
      <c r="J44" s="161"/>
      <c r="K44" s="146" t="s">
        <v>161</v>
      </c>
      <c r="L44" s="184">
        <f>C43/C45</f>
        <v>34.9315068493151</v>
      </c>
      <c r="M44" s="185"/>
      <c r="N44" s="185"/>
      <c r="O44" s="185"/>
      <c r="P44" s="185"/>
      <c r="Q44" s="185"/>
      <c r="R44" s="185"/>
    </row>
    <row r="45" ht="17.25" spans="2:12">
      <c r="B45" s="146" t="s">
        <v>122</v>
      </c>
      <c r="C45" s="154">
        <f>E37</f>
        <v>2.92</v>
      </c>
      <c r="D45" s="149">
        <f>MAX(E7:E36)</f>
        <v>5.14</v>
      </c>
      <c r="E45" s="149">
        <f>MIN(E7:E36)</f>
        <v>1.75</v>
      </c>
      <c r="F45" s="154">
        <f>Q37</f>
        <v>0.17</v>
      </c>
      <c r="G45" s="155">
        <f>MAX(Q7:Q36)</f>
        <v>0.28</v>
      </c>
      <c r="H45" s="155">
        <f>MIN(Q7:Q36)</f>
        <v>0.09</v>
      </c>
      <c r="I45" s="182">
        <f t="shared" si="1"/>
        <v>0.941780821917808</v>
      </c>
      <c r="J45" s="161"/>
      <c r="K45" s="146"/>
      <c r="L45" s="186"/>
    </row>
    <row r="46" ht="17.25" spans="2:12">
      <c r="B46" s="146" t="s">
        <v>162</v>
      </c>
      <c r="C46" s="147">
        <f>F37</f>
        <v>24.3</v>
      </c>
      <c r="D46" s="149">
        <f>MAX(F7:F36)</f>
        <v>30.1</v>
      </c>
      <c r="E46" s="149">
        <f>MIN(F7:F36)</f>
        <v>16.1</v>
      </c>
      <c r="F46" s="154">
        <f>R37</f>
        <v>0.34</v>
      </c>
      <c r="G46" s="149">
        <f>MAX(R7:R36)</f>
        <v>0.68</v>
      </c>
      <c r="H46" s="155">
        <f>MIN(R7:R36)</f>
        <v>0.14</v>
      </c>
      <c r="I46" s="182">
        <f t="shared" si="1"/>
        <v>0.986008230452675</v>
      </c>
      <c r="J46" s="161"/>
      <c r="K46" s="146"/>
      <c r="L46" s="186"/>
    </row>
    <row r="47" ht="17.25" spans="2:12">
      <c r="B47" s="156" t="s">
        <v>125</v>
      </c>
      <c r="C47" s="157">
        <f>G37</f>
        <v>30.4</v>
      </c>
      <c r="D47" s="158">
        <f>MAX(G7:G36)</f>
        <v>36.9</v>
      </c>
      <c r="E47" s="158">
        <f>MIN(G7:G36)</f>
        <v>21.9</v>
      </c>
      <c r="F47" s="159">
        <f>S37</f>
        <v>7.96</v>
      </c>
      <c r="G47" s="158">
        <f>MAX(S7:S36)</f>
        <v>10.5</v>
      </c>
      <c r="H47" s="158">
        <f>MIN(S7:S36)</f>
        <v>5.88</v>
      </c>
      <c r="I47" s="187">
        <f t="shared" si="1"/>
        <v>0.738157894736842</v>
      </c>
      <c r="J47" s="161"/>
      <c r="K47" s="156"/>
      <c r="L47" s="188"/>
    </row>
    <row r="48" ht="17.25" spans="2:12">
      <c r="B48" s="160"/>
      <c r="C48" s="161"/>
      <c r="D48" s="161"/>
      <c r="E48" s="161"/>
      <c r="F48" s="161"/>
      <c r="G48" s="161"/>
      <c r="H48" s="162"/>
      <c r="I48" s="161"/>
      <c r="J48" s="161"/>
      <c r="K48" s="162"/>
      <c r="L48" s="161"/>
    </row>
    <row r="49" spans="2:2">
      <c r="B49" s="163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abSelected="1" topLeftCell="A283" workbookViewId="0">
      <selection activeCell="I310" sqref="I310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163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45231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59" t="s">
        <v>168</v>
      </c>
      <c r="F3" s="59" t="s">
        <v>169</v>
      </c>
      <c r="G3" s="60" t="s">
        <v>170</v>
      </c>
      <c r="H3" s="61" t="s">
        <v>171</v>
      </c>
      <c r="I3" s="59" t="s">
        <v>172</v>
      </c>
      <c r="J3" s="6" t="s">
        <v>173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174</v>
      </c>
      <c r="E5" s="59" t="s">
        <v>175</v>
      </c>
      <c r="F5" s="59" t="s">
        <v>176</v>
      </c>
      <c r="G5" s="60" t="s">
        <v>176</v>
      </c>
      <c r="H5" s="61" t="s">
        <v>177</v>
      </c>
      <c r="I5" s="59" t="s">
        <v>177</v>
      </c>
      <c r="J5" s="6"/>
    </row>
    <row r="6" customHeight="1" spans="1:10">
      <c r="A6" s="63" t="s">
        <v>178</v>
      </c>
      <c r="B6" s="64" t="s">
        <v>179</v>
      </c>
      <c r="C6" s="64" t="s">
        <v>180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/>
    </row>
    <row r="8" customHeight="1" spans="1:10">
      <c r="A8" s="63"/>
      <c r="B8" s="64" t="s">
        <v>182</v>
      </c>
      <c r="C8" s="64" t="s">
        <v>71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/>
    </row>
    <row r="9" customHeight="1" spans="1:10">
      <c r="A9" s="63"/>
      <c r="B9" s="64" t="s">
        <v>183</v>
      </c>
      <c r="C9" s="64" t="s">
        <v>71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/>
    </row>
    <row r="10" customHeight="1" spans="1:10">
      <c r="A10" s="63"/>
      <c r="B10" s="64" t="s">
        <v>184</v>
      </c>
      <c r="C10" s="64" t="s">
        <v>180</v>
      </c>
      <c r="D10" s="64">
        <v>30</v>
      </c>
      <c r="E10" s="64">
        <v>24</v>
      </c>
      <c r="F10" s="64">
        <v>720</v>
      </c>
      <c r="G10" s="64">
        <v>718</v>
      </c>
      <c r="H10" s="65">
        <v>0.99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297</v>
      </c>
      <c r="H11" s="65">
        <v>0.4125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422</v>
      </c>
      <c r="H12" s="65">
        <v>0.586111111111111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0</v>
      </c>
      <c r="H13" s="65">
        <v>0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718</v>
      </c>
      <c r="H14" s="65">
        <v>0.997222222222222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180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5" t="s">
        <v>186</v>
      </c>
      <c r="D18" s="5">
        <v>30</v>
      </c>
      <c r="E18" s="5">
        <v>2.4</v>
      </c>
      <c r="F18" s="5">
        <v>72</v>
      </c>
      <c r="G18" s="5">
        <v>72</v>
      </c>
      <c r="H18" s="66">
        <v>1</v>
      </c>
      <c r="I18" s="66">
        <v>1</v>
      </c>
      <c r="J18" s="5"/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38.4</v>
      </c>
      <c r="H19" s="65">
        <v>1</v>
      </c>
      <c r="I19" s="65">
        <v>0.53</v>
      </c>
      <c r="J19" s="64"/>
    </row>
    <row r="20" customHeight="1" spans="1:10">
      <c r="A20" s="63"/>
      <c r="B20" s="64"/>
      <c r="C20" s="64" t="s">
        <v>189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182</v>
      </c>
      <c r="C21" s="64" t="s">
        <v>180</v>
      </c>
      <c r="D21" s="64">
        <v>30</v>
      </c>
      <c r="E21" s="64">
        <v>2</v>
      </c>
      <c r="F21" s="64">
        <v>60</v>
      </c>
      <c r="G21" s="64">
        <v>60</v>
      </c>
      <c r="H21" s="65">
        <v>1</v>
      </c>
      <c r="I21" s="65">
        <v>1</v>
      </c>
      <c r="J21" s="64"/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60</v>
      </c>
      <c r="H22" s="65">
        <v>1</v>
      </c>
      <c r="I22" s="65">
        <v>1</v>
      </c>
      <c r="J22" s="64"/>
    </row>
    <row r="23" customHeight="1" spans="1:10">
      <c r="A23" s="63"/>
      <c r="B23" s="64" t="s">
        <v>183</v>
      </c>
      <c r="C23" s="64" t="s">
        <v>180</v>
      </c>
      <c r="D23" s="64">
        <v>30</v>
      </c>
      <c r="E23" s="64">
        <v>2</v>
      </c>
      <c r="F23" s="64">
        <v>60</v>
      </c>
      <c r="G23" s="64">
        <v>60</v>
      </c>
      <c r="H23" s="65">
        <v>1</v>
      </c>
      <c r="I23" s="65">
        <v>1</v>
      </c>
      <c r="J23" s="64"/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0</v>
      </c>
      <c r="H24" s="65">
        <v>0</v>
      </c>
      <c r="I24" s="65">
        <v>1</v>
      </c>
      <c r="J24" s="64"/>
    </row>
    <row r="25" customHeight="1" spans="1:10">
      <c r="A25" s="63"/>
      <c r="B25" s="64" t="s">
        <v>190</v>
      </c>
      <c r="C25" s="64" t="s">
        <v>180</v>
      </c>
      <c r="D25" s="64">
        <v>30</v>
      </c>
      <c r="E25" s="64">
        <v>24</v>
      </c>
      <c r="F25" s="64">
        <v>720</v>
      </c>
      <c r="G25" s="64">
        <v>720</v>
      </c>
      <c r="H25" s="65">
        <v>1</v>
      </c>
      <c r="I25" s="65">
        <v>1</v>
      </c>
      <c r="J25" s="64"/>
    </row>
    <row r="26" customHeight="1" spans="1:10">
      <c r="A26" s="63"/>
      <c r="B26" s="64" t="s">
        <v>191</v>
      </c>
      <c r="C26" s="64" t="s">
        <v>180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190</v>
      </c>
      <c r="C27" s="64" t="s">
        <v>181</v>
      </c>
      <c r="D27" s="64">
        <v>30</v>
      </c>
      <c r="E27" s="64">
        <v>24</v>
      </c>
      <c r="F27" s="64">
        <v>720</v>
      </c>
      <c r="G27" s="64">
        <v>0</v>
      </c>
      <c r="H27" s="65">
        <v>0</v>
      </c>
      <c r="I27" s="65">
        <v>0</v>
      </c>
      <c r="J27" s="64"/>
    </row>
    <row r="28" customHeight="1" spans="1:10">
      <c r="A28" s="63"/>
      <c r="B28" s="64" t="s">
        <v>191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190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191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190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191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192</v>
      </c>
      <c r="C33" s="64" t="s">
        <v>180</v>
      </c>
      <c r="D33" s="64">
        <v>30</v>
      </c>
      <c r="E33" s="64">
        <v>24</v>
      </c>
      <c r="F33" s="64">
        <v>720</v>
      </c>
      <c r="G33" s="64">
        <v>48</v>
      </c>
      <c r="H33" s="65">
        <v>0.0666666666666667</v>
      </c>
      <c r="I33" s="65">
        <v>1</v>
      </c>
      <c r="J33" s="64"/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160</v>
      </c>
      <c r="H34" s="65">
        <v>0.222222222222222</v>
      </c>
      <c r="I34" s="65">
        <v>1</v>
      </c>
      <c r="J34" s="64"/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338</v>
      </c>
      <c r="H35" s="65">
        <v>0.469444444444444</v>
      </c>
      <c r="I35" s="65">
        <v>1</v>
      </c>
      <c r="J35" s="64" t="s">
        <v>193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644</v>
      </c>
      <c r="H36" s="65">
        <v>0.894444444444444</v>
      </c>
      <c r="I36" s="65">
        <v>1</v>
      </c>
      <c r="J36" s="64"/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272</v>
      </c>
      <c r="H37" s="65">
        <v>0.377777777777778</v>
      </c>
      <c r="I37" s="65">
        <v>1</v>
      </c>
      <c r="J37" s="64" t="s">
        <v>194</v>
      </c>
    </row>
    <row r="38" customHeight="1" spans="1:10">
      <c r="A38" s="67" t="s">
        <v>72</v>
      </c>
      <c r="B38" s="67"/>
      <c r="C38" s="15"/>
      <c r="D38" s="15"/>
      <c r="E38" s="68" t="s">
        <v>73</v>
      </c>
      <c r="F38" s="68"/>
      <c r="G38" s="69"/>
      <c r="H38" s="10" t="s">
        <v>149</v>
      </c>
      <c r="I38" s="10"/>
      <c r="J38" s="10"/>
    </row>
    <row r="39" ht="34" customHeight="1"/>
    <row r="46" ht="33" customHeight="1" spans="1:10">
      <c r="A46" s="56" t="s">
        <v>163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70">
        <f>A2</f>
        <v>45231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59" t="s">
        <v>168</v>
      </c>
      <c r="F48" s="59" t="s">
        <v>169</v>
      </c>
      <c r="G48" s="60" t="s">
        <v>170</v>
      </c>
      <c r="H48" s="61" t="s">
        <v>171</v>
      </c>
      <c r="I48" s="59" t="s">
        <v>172</v>
      </c>
      <c r="J48" s="6" t="s">
        <v>173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1"/>
      <c r="D50" s="8" t="s">
        <v>174</v>
      </c>
      <c r="E50" s="72" t="s">
        <v>175</v>
      </c>
      <c r="F50" s="72" t="s">
        <v>176</v>
      </c>
      <c r="G50" s="73" t="s">
        <v>176</v>
      </c>
      <c r="H50" s="74" t="s">
        <v>177</v>
      </c>
      <c r="I50" s="59" t="s">
        <v>177</v>
      </c>
      <c r="J50" s="6"/>
    </row>
    <row r="51" customHeight="1" spans="1:10">
      <c r="A51" s="75" t="s">
        <v>195</v>
      </c>
      <c r="B51" s="63" t="s">
        <v>196</v>
      </c>
      <c r="C51" s="64" t="s">
        <v>180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7">
        <v>1</v>
      </c>
      <c r="J51" s="64"/>
    </row>
    <row r="52" customHeight="1" spans="1:10">
      <c r="A52" s="76"/>
      <c r="B52" s="64"/>
      <c r="C52" s="64" t="s">
        <v>181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7">
        <v>1</v>
      </c>
      <c r="J52" s="64"/>
    </row>
    <row r="53" customHeight="1" spans="1:10">
      <c r="A53" s="76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7">
        <v>1</v>
      </c>
      <c r="J53" s="64"/>
    </row>
    <row r="54" customHeight="1" spans="1:10">
      <c r="A54" s="76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7">
        <v>1</v>
      </c>
      <c r="J54" s="64"/>
    </row>
    <row r="55" customHeight="1" spans="1:10">
      <c r="A55" s="76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7">
        <v>1</v>
      </c>
      <c r="J55" s="64"/>
    </row>
    <row r="56" customHeight="1" spans="1:10">
      <c r="A56" s="76"/>
      <c r="B56" s="64"/>
      <c r="C56" s="64" t="s">
        <v>189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7">
        <v>1</v>
      </c>
      <c r="J56" s="64"/>
    </row>
    <row r="57" customHeight="1" spans="1:10">
      <c r="A57" s="76"/>
      <c r="B57" s="64"/>
      <c r="C57" s="64" t="s">
        <v>197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7">
        <v>1</v>
      </c>
      <c r="J57" s="64"/>
    </row>
    <row r="58" customHeight="1" spans="1:10">
      <c r="A58" s="76"/>
      <c r="B58" s="64"/>
      <c r="C58" s="64" t="s">
        <v>198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7">
        <v>1</v>
      </c>
      <c r="J58" s="64"/>
    </row>
    <row r="59" customHeight="1" spans="1:10">
      <c r="A59" s="76"/>
      <c r="B59" s="64"/>
      <c r="C59" s="64" t="s">
        <v>199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7">
        <v>1</v>
      </c>
      <c r="J59" s="64"/>
    </row>
    <row r="60" customHeight="1" spans="1:10">
      <c r="A60" s="76"/>
      <c r="B60" s="64"/>
      <c r="C60" s="64" t="s">
        <v>200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7">
        <v>1</v>
      </c>
      <c r="J60" s="64"/>
    </row>
    <row r="61" customHeight="1" spans="1:10">
      <c r="A61" s="76"/>
      <c r="B61" s="64"/>
      <c r="C61" s="64" t="s">
        <v>201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7">
        <v>1</v>
      </c>
      <c r="J61" s="64"/>
    </row>
    <row r="62" customHeight="1" spans="1:10">
      <c r="A62" s="76"/>
      <c r="B62" s="64"/>
      <c r="C62" s="64" t="s">
        <v>202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7">
        <v>1</v>
      </c>
      <c r="J62" s="64"/>
    </row>
    <row r="63" customHeight="1" spans="1:10">
      <c r="A63" s="76"/>
      <c r="B63" s="64"/>
      <c r="C63" s="64" t="s">
        <v>203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7">
        <v>1</v>
      </c>
      <c r="J63" s="64"/>
    </row>
    <row r="64" customHeight="1" spans="1:10">
      <c r="A64" s="76"/>
      <c r="B64" s="64"/>
      <c r="C64" s="64" t="s">
        <v>204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7">
        <v>1</v>
      </c>
      <c r="J64" s="64"/>
    </row>
    <row r="65" customHeight="1" spans="1:10">
      <c r="A65" s="76"/>
      <c r="B65" s="64"/>
      <c r="C65" s="64" t="s">
        <v>205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7">
        <v>1</v>
      </c>
      <c r="J65" s="64"/>
    </row>
    <row r="66" customHeight="1" spans="1:10">
      <c r="A66" s="76"/>
      <c r="B66" s="64"/>
      <c r="C66" s="64" t="s">
        <v>206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7">
        <v>1</v>
      </c>
      <c r="J66" s="64"/>
    </row>
    <row r="67" customHeight="1" spans="1:10">
      <c r="A67" s="76"/>
      <c r="B67" s="64"/>
      <c r="C67" s="64" t="s">
        <v>207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7">
        <v>1</v>
      </c>
      <c r="J67" s="64"/>
    </row>
    <row r="68" customHeight="1" spans="1:10">
      <c r="A68" s="76"/>
      <c r="B68" s="64"/>
      <c r="C68" s="64" t="s">
        <v>208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7">
        <v>1</v>
      </c>
      <c r="J68" s="64"/>
    </row>
    <row r="69" customHeight="1" spans="1:10">
      <c r="A69" s="76"/>
      <c r="B69" s="63" t="s">
        <v>209</v>
      </c>
      <c r="C69" s="64" t="s">
        <v>210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7">
        <v>1</v>
      </c>
      <c r="J69" s="64"/>
    </row>
    <row r="70" customHeight="1" spans="1:10">
      <c r="A70" s="76"/>
      <c r="B70" s="64"/>
      <c r="C70" s="64" t="s">
        <v>211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7">
        <v>1</v>
      </c>
      <c r="J70" s="64"/>
    </row>
    <row r="71" customHeight="1" spans="1:10">
      <c r="A71" s="76"/>
      <c r="B71" s="64"/>
      <c r="C71" s="64" t="s">
        <v>212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7">
        <v>1</v>
      </c>
      <c r="J71" s="64"/>
    </row>
    <row r="72" customHeight="1" spans="1:10">
      <c r="A72" s="76"/>
      <c r="B72" s="64"/>
      <c r="C72" s="64" t="s">
        <v>213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7">
        <v>1</v>
      </c>
      <c r="J72" s="64"/>
    </row>
    <row r="73" customHeight="1" spans="1:10">
      <c r="A73" s="76"/>
      <c r="B73" s="64"/>
      <c r="C73" s="64" t="s">
        <v>214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7">
        <v>1</v>
      </c>
      <c r="J73" s="64"/>
    </row>
    <row r="74" customHeight="1" spans="1:10">
      <c r="A74" s="76"/>
      <c r="B74" s="64"/>
      <c r="C74" s="64" t="s">
        <v>215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7">
        <v>1</v>
      </c>
      <c r="J74" s="64"/>
    </row>
    <row r="75" customHeight="1" spans="1:10">
      <c r="A75" s="76"/>
      <c r="B75" s="64"/>
      <c r="C75" s="64" t="s">
        <v>216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7">
        <v>1</v>
      </c>
      <c r="J75" s="64"/>
    </row>
    <row r="76" customHeight="1" spans="1:10">
      <c r="A76" s="76"/>
      <c r="B76" s="64"/>
      <c r="C76" s="64" t="s">
        <v>217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7">
        <v>1</v>
      </c>
      <c r="J76" s="64"/>
    </row>
    <row r="77" customHeight="1" spans="1:10">
      <c r="A77" s="76"/>
      <c r="B77" s="64"/>
      <c r="C77" s="64" t="s">
        <v>218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7">
        <v>1</v>
      </c>
      <c r="J77" s="64"/>
    </row>
    <row r="78" customHeight="1" spans="1:10">
      <c r="A78" s="76"/>
      <c r="B78" s="64"/>
      <c r="C78" s="64" t="s">
        <v>219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7">
        <v>1</v>
      </c>
      <c r="J78" s="64"/>
    </row>
    <row r="79" customHeight="1" spans="1:10">
      <c r="A79" s="76"/>
      <c r="B79" s="64"/>
      <c r="C79" s="64" t="s">
        <v>220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7">
        <v>1</v>
      </c>
      <c r="J79" s="64"/>
    </row>
    <row r="80" customHeight="1" spans="1:10">
      <c r="A80" s="76"/>
      <c r="B80" s="64"/>
      <c r="C80" s="64" t="s">
        <v>221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7">
        <v>1</v>
      </c>
      <c r="J80" s="64"/>
    </row>
    <row r="81" customHeight="1" spans="1:10">
      <c r="A81" s="76"/>
      <c r="B81" s="64"/>
      <c r="C81" s="64" t="s">
        <v>222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7">
        <v>1</v>
      </c>
      <c r="J81" s="64"/>
    </row>
    <row r="82" customHeight="1" spans="1:10">
      <c r="A82" s="76"/>
      <c r="B82" s="64"/>
      <c r="C82" s="64" t="s">
        <v>223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7">
        <v>1</v>
      </c>
      <c r="J82" s="64"/>
    </row>
    <row r="83" customHeight="1" spans="1:10">
      <c r="A83" s="76"/>
      <c r="B83" s="64"/>
      <c r="C83" s="64" t="s">
        <v>224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7">
        <v>1</v>
      </c>
      <c r="J83" s="64"/>
    </row>
    <row r="84" customHeight="1" spans="1:10">
      <c r="A84" s="76"/>
      <c r="B84" s="64"/>
      <c r="C84" s="64" t="s">
        <v>225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7">
        <v>1</v>
      </c>
      <c r="J84" s="64"/>
    </row>
    <row r="85" customHeight="1" spans="1:10">
      <c r="A85" s="76"/>
      <c r="B85" s="64"/>
      <c r="C85" s="64" t="s">
        <v>226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7">
        <v>1</v>
      </c>
      <c r="J85" s="64"/>
    </row>
    <row r="86" customHeight="1" spans="1:10">
      <c r="A86" s="78"/>
      <c r="B86" s="64"/>
      <c r="C86" s="64" t="s">
        <v>227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7">
        <v>1</v>
      </c>
      <c r="J86" s="64"/>
    </row>
    <row r="87" customHeight="1" spans="1:10">
      <c r="A87" s="67" t="s">
        <v>72</v>
      </c>
      <c r="B87" s="67"/>
      <c r="C87" s="15"/>
      <c r="D87" s="15"/>
      <c r="E87" s="68" t="s">
        <v>73</v>
      </c>
      <c r="F87" s="68"/>
      <c r="G87" s="69"/>
      <c r="H87" s="10" t="str">
        <f>H38</f>
        <v>制表时间：2023/12/4</v>
      </c>
      <c r="I87" s="10"/>
      <c r="J87" s="10"/>
    </row>
    <row r="88" ht="16" customHeight="1"/>
    <row r="89" ht="20.1" customHeight="1"/>
    <row r="90" ht="34" customHeight="1" spans="1:10">
      <c r="A90" s="56" t="s">
        <v>163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45231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164</v>
      </c>
      <c r="B92" s="6" t="s">
        <v>165</v>
      </c>
      <c r="C92" s="6" t="s">
        <v>166</v>
      </c>
      <c r="D92" s="6" t="s">
        <v>167</v>
      </c>
      <c r="E92" s="59" t="s">
        <v>168</v>
      </c>
      <c r="F92" s="59" t="s">
        <v>169</v>
      </c>
      <c r="G92" s="60" t="s">
        <v>170</v>
      </c>
      <c r="H92" s="61" t="s">
        <v>171</v>
      </c>
      <c r="I92" s="59" t="s">
        <v>172</v>
      </c>
      <c r="J92" s="6" t="s">
        <v>173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174</v>
      </c>
      <c r="E94" s="59" t="s">
        <v>175</v>
      </c>
      <c r="F94" s="59" t="s">
        <v>176</v>
      </c>
      <c r="G94" s="60" t="s">
        <v>176</v>
      </c>
      <c r="H94" s="61" t="s">
        <v>177</v>
      </c>
      <c r="I94" s="59" t="s">
        <v>177</v>
      </c>
      <c r="J94" s="6"/>
    </row>
    <row r="95" customHeight="1" spans="1:10">
      <c r="A95" s="63" t="s">
        <v>195</v>
      </c>
      <c r="B95" s="63" t="s">
        <v>228</v>
      </c>
      <c r="C95" s="64" t="s">
        <v>180</v>
      </c>
      <c r="D95" s="64">
        <v>30</v>
      </c>
      <c r="E95" s="64">
        <v>24</v>
      </c>
      <c r="F95" s="64">
        <v>720</v>
      </c>
      <c r="G95" s="64">
        <v>0</v>
      </c>
      <c r="H95" s="66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24</v>
      </c>
      <c r="F96" s="64">
        <v>720</v>
      </c>
      <c r="G96" s="64">
        <v>0</v>
      </c>
      <c r="H96" s="66">
        <v>0</v>
      </c>
      <c r="I96" s="65">
        <v>1</v>
      </c>
      <c r="J96" s="64"/>
    </row>
    <row r="97" customHeight="1" spans="1:10">
      <c r="A97" s="64"/>
      <c r="B97" s="63" t="s">
        <v>229</v>
      </c>
      <c r="C97" s="64" t="s">
        <v>180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189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230</v>
      </c>
      <c r="C103" s="64" t="s">
        <v>180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231</v>
      </c>
      <c r="C106" s="64" t="s">
        <v>180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181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232</v>
      </c>
      <c r="B110" s="79" t="s">
        <v>233</v>
      </c>
      <c r="C110" s="64" t="s">
        <v>180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181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185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0</v>
      </c>
      <c r="H113" s="65">
        <v>0</v>
      </c>
      <c r="I113" s="65">
        <v>0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0</v>
      </c>
      <c r="H114" s="65">
        <v>0</v>
      </c>
      <c r="I114" s="65">
        <v>0</v>
      </c>
      <c r="J114" s="64"/>
    </row>
    <row r="115" customHeight="1" spans="1:10">
      <c r="A115" s="80"/>
      <c r="B115" s="81"/>
      <c r="C115" s="64" t="s">
        <v>189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0"/>
      <c r="B116" s="81"/>
      <c r="C116" s="64" t="s">
        <v>197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198</v>
      </c>
      <c r="D117" s="64">
        <v>30</v>
      </c>
      <c r="E117" s="64">
        <v>24</v>
      </c>
      <c r="F117" s="64">
        <v>720</v>
      </c>
      <c r="G117" s="64">
        <v>0</v>
      </c>
      <c r="H117" s="65">
        <v>0</v>
      </c>
      <c r="I117" s="65">
        <v>1</v>
      </c>
      <c r="J117" s="64" t="s">
        <v>234</v>
      </c>
    </row>
    <row r="118" customHeight="1" spans="1:10">
      <c r="A118" s="80"/>
      <c r="B118" s="81"/>
      <c r="C118" s="64" t="s">
        <v>199</v>
      </c>
      <c r="D118" s="64">
        <v>30</v>
      </c>
      <c r="E118" s="64">
        <v>24</v>
      </c>
      <c r="F118" s="64">
        <v>720</v>
      </c>
      <c r="G118" s="64">
        <v>0</v>
      </c>
      <c r="H118" s="65">
        <v>0</v>
      </c>
      <c r="I118" s="65">
        <v>0</v>
      </c>
      <c r="J118" s="64"/>
    </row>
    <row r="119" customHeight="1" spans="1:10">
      <c r="A119" s="80"/>
      <c r="B119" s="81"/>
      <c r="C119" s="64" t="s">
        <v>200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1</v>
      </c>
      <c r="J119" s="64"/>
    </row>
    <row r="120" customHeight="1" spans="1:10">
      <c r="A120" s="80"/>
      <c r="B120" s="81"/>
      <c r="C120" s="64" t="s">
        <v>201</v>
      </c>
      <c r="D120" s="64">
        <v>30</v>
      </c>
      <c r="E120" s="64">
        <v>24</v>
      </c>
      <c r="F120" s="64">
        <v>720</v>
      </c>
      <c r="G120" s="64">
        <v>0</v>
      </c>
      <c r="H120" s="65">
        <v>0</v>
      </c>
      <c r="I120" s="65">
        <v>1</v>
      </c>
      <c r="J120" s="64" t="s">
        <v>234</v>
      </c>
    </row>
    <row r="121" customHeight="1" spans="1:10">
      <c r="A121" s="80"/>
      <c r="B121" s="81"/>
      <c r="C121" s="64" t="s">
        <v>202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203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204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205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206</v>
      </c>
      <c r="D125" s="64">
        <v>30</v>
      </c>
      <c r="E125" s="64">
        <v>24</v>
      </c>
      <c r="F125" s="64">
        <v>720</v>
      </c>
      <c r="G125" s="64">
        <v>0</v>
      </c>
      <c r="H125" s="65">
        <v>0</v>
      </c>
      <c r="I125" s="65">
        <v>0</v>
      </c>
      <c r="J125" s="64"/>
    </row>
    <row r="126" customHeight="1" spans="1:10">
      <c r="A126" s="80"/>
      <c r="B126" s="81"/>
      <c r="C126" s="64" t="s">
        <v>207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208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210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211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212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66">
        <v>1</v>
      </c>
      <c r="J130" s="64"/>
    </row>
    <row r="131" customHeight="1" spans="1:10">
      <c r="A131" s="82"/>
      <c r="B131" s="83"/>
      <c r="C131" s="64" t="s">
        <v>213</v>
      </c>
      <c r="D131" s="64">
        <v>30</v>
      </c>
      <c r="E131" s="64">
        <v>24</v>
      </c>
      <c r="F131" s="64">
        <v>720</v>
      </c>
      <c r="G131" s="64">
        <v>0</v>
      </c>
      <c r="H131" s="65">
        <v>0</v>
      </c>
      <c r="I131" s="65">
        <v>0</v>
      </c>
      <c r="J131" s="64"/>
    </row>
    <row r="132" ht="14.25" spans="1:10">
      <c r="A132" s="67" t="s">
        <v>72</v>
      </c>
      <c r="B132" s="67"/>
      <c r="C132" s="15"/>
      <c r="D132" s="15"/>
      <c r="E132" s="68" t="s">
        <v>73</v>
      </c>
      <c r="F132" s="68"/>
      <c r="G132" s="69"/>
      <c r="H132" s="10" t="str">
        <f>H38</f>
        <v>制表时间：2023/12/4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163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45231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164</v>
      </c>
      <c r="B137" s="6" t="s">
        <v>165</v>
      </c>
      <c r="C137" s="6" t="s">
        <v>166</v>
      </c>
      <c r="D137" s="6" t="s">
        <v>167</v>
      </c>
      <c r="E137" s="59" t="s">
        <v>168</v>
      </c>
      <c r="F137" s="59" t="s">
        <v>169</v>
      </c>
      <c r="G137" s="60" t="s">
        <v>170</v>
      </c>
      <c r="H137" s="61" t="s">
        <v>171</v>
      </c>
      <c r="I137" s="59" t="s">
        <v>172</v>
      </c>
      <c r="J137" s="6" t="s">
        <v>173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174</v>
      </c>
      <c r="E139" s="59" t="s">
        <v>175</v>
      </c>
      <c r="F139" s="59" t="s">
        <v>176</v>
      </c>
      <c r="G139" s="60" t="s">
        <v>176</v>
      </c>
      <c r="H139" s="61" t="s">
        <v>177</v>
      </c>
      <c r="I139" s="59" t="s">
        <v>177</v>
      </c>
      <c r="J139" s="6"/>
    </row>
    <row r="140" customHeight="1" spans="1:10">
      <c r="A140" s="63" t="s">
        <v>232</v>
      </c>
      <c r="B140" s="63" t="s">
        <v>235</v>
      </c>
      <c r="C140" s="64" t="s">
        <v>214</v>
      </c>
      <c r="D140" s="64">
        <v>30</v>
      </c>
      <c r="E140" s="64">
        <v>24</v>
      </c>
      <c r="F140" s="64">
        <v>720</v>
      </c>
      <c r="G140" s="64">
        <v>0</v>
      </c>
      <c r="H140" s="65">
        <v>0</v>
      </c>
      <c r="I140" s="65">
        <v>0</v>
      </c>
      <c r="J140" s="64"/>
    </row>
    <row r="141" customHeight="1" spans="1:10">
      <c r="A141" s="64"/>
      <c r="B141" s="64"/>
      <c r="C141" s="64" t="s">
        <v>215</v>
      </c>
      <c r="D141" s="64">
        <v>30</v>
      </c>
      <c r="E141" s="64">
        <v>24</v>
      </c>
      <c r="F141" s="64">
        <v>720</v>
      </c>
      <c r="G141" s="64">
        <v>0</v>
      </c>
      <c r="H141" s="65">
        <v>0</v>
      </c>
      <c r="I141" s="65">
        <v>0</v>
      </c>
      <c r="J141" s="64"/>
    </row>
    <row r="142" customHeight="1" spans="1:10">
      <c r="A142" s="64"/>
      <c r="B142" s="64"/>
      <c r="C142" s="64" t="s">
        <v>216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217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218</v>
      </c>
      <c r="D144" s="64">
        <v>30</v>
      </c>
      <c r="E144" s="64">
        <v>24</v>
      </c>
      <c r="F144" s="64">
        <v>720</v>
      </c>
      <c r="G144" s="64">
        <v>0</v>
      </c>
      <c r="H144" s="65">
        <v>0</v>
      </c>
      <c r="I144" s="65">
        <v>0</v>
      </c>
      <c r="J144" s="64"/>
    </row>
    <row r="145" customHeight="1" spans="1:10">
      <c r="A145" s="64"/>
      <c r="B145" s="64"/>
      <c r="C145" s="64" t="s">
        <v>219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236</v>
      </c>
      <c r="C146" s="64" t="s">
        <v>180</v>
      </c>
      <c r="D146" s="64">
        <v>30</v>
      </c>
      <c r="E146" s="64">
        <v>24</v>
      </c>
      <c r="F146" s="64">
        <v>720</v>
      </c>
      <c r="G146" s="64">
        <v>624</v>
      </c>
      <c r="H146" s="66">
        <v>0.866666666666667</v>
      </c>
      <c r="I146" s="66">
        <v>1</v>
      </c>
      <c r="J146" s="64" t="s">
        <v>237</v>
      </c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720</v>
      </c>
      <c r="H147" s="66">
        <v>1</v>
      </c>
      <c r="I147" s="66">
        <v>1</v>
      </c>
      <c r="J147" s="64"/>
    </row>
    <row r="148" customHeight="1" spans="1:10">
      <c r="A148" s="64"/>
      <c r="B148" s="63" t="s">
        <v>238</v>
      </c>
      <c r="C148" s="64" t="s">
        <v>180</v>
      </c>
      <c r="D148" s="64">
        <v>30</v>
      </c>
      <c r="E148" s="64">
        <v>24</v>
      </c>
      <c r="F148" s="64">
        <v>720</v>
      </c>
      <c r="G148" s="64">
        <v>0</v>
      </c>
      <c r="H148" s="65">
        <v>0</v>
      </c>
      <c r="I148" s="65">
        <v>1</v>
      </c>
      <c r="J148" s="64"/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310</v>
      </c>
      <c r="H149" s="65">
        <v>0.430555555555556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3" t="s">
        <v>239</v>
      </c>
      <c r="C151" s="64" t="s">
        <v>180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/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716</v>
      </c>
      <c r="H152" s="65">
        <v>0.994444444444444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6" t="s">
        <v>240</v>
      </c>
      <c r="C154" s="87" t="s">
        <v>180</v>
      </c>
      <c r="D154" s="87">
        <v>30</v>
      </c>
      <c r="E154" s="87">
        <v>24</v>
      </c>
      <c r="F154" s="87">
        <v>720</v>
      </c>
      <c r="G154" s="87">
        <v>720</v>
      </c>
      <c r="H154" s="88">
        <v>1</v>
      </c>
      <c r="I154" s="88">
        <v>1</v>
      </c>
      <c r="J154" s="64"/>
    </row>
    <row r="155" customHeight="1" spans="1:10">
      <c r="A155" s="64"/>
      <c r="B155" s="87"/>
      <c r="C155" s="87" t="s">
        <v>181</v>
      </c>
      <c r="D155" s="87">
        <v>30</v>
      </c>
      <c r="E155" s="87">
        <v>24</v>
      </c>
      <c r="F155" s="87">
        <v>720</v>
      </c>
      <c r="G155" s="87">
        <v>408</v>
      </c>
      <c r="H155" s="88">
        <v>0.566666666666667</v>
      </c>
      <c r="I155" s="88">
        <v>1</v>
      </c>
      <c r="J155" s="64"/>
    </row>
    <row r="156" customHeight="1" spans="1:10">
      <c r="A156" s="64"/>
      <c r="B156" s="87"/>
      <c r="C156" s="87" t="s">
        <v>185</v>
      </c>
      <c r="D156" s="87">
        <v>30</v>
      </c>
      <c r="E156" s="87">
        <v>24</v>
      </c>
      <c r="F156" s="87">
        <v>720</v>
      </c>
      <c r="G156" s="87">
        <v>720</v>
      </c>
      <c r="H156" s="88">
        <v>1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716</v>
      </c>
      <c r="H157" s="88">
        <v>0.994444444444444</v>
      </c>
      <c r="I157" s="88">
        <v>1</v>
      </c>
      <c r="J157" s="64" t="s">
        <v>241</v>
      </c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168</v>
      </c>
      <c r="H158" s="88">
        <v>0.233333333333333</v>
      </c>
      <c r="I158" s="88">
        <v>1</v>
      </c>
      <c r="J158" s="64" t="s">
        <v>242</v>
      </c>
    </row>
    <row r="159" customHeight="1" spans="1:10">
      <c r="A159" s="64"/>
      <c r="B159" s="87"/>
      <c r="C159" s="87" t="s">
        <v>189</v>
      </c>
      <c r="D159" s="87">
        <v>30</v>
      </c>
      <c r="E159" s="87">
        <v>24</v>
      </c>
      <c r="F159" s="87">
        <v>720</v>
      </c>
      <c r="G159" s="87">
        <v>720</v>
      </c>
      <c r="H159" s="88">
        <v>1</v>
      </c>
      <c r="I159" s="88">
        <v>1</v>
      </c>
      <c r="J159" s="64"/>
    </row>
    <row r="160" customHeight="1" spans="1:10">
      <c r="A160" s="63" t="s">
        <v>243</v>
      </c>
      <c r="B160" s="63" t="s">
        <v>244</v>
      </c>
      <c r="C160" s="64" t="s">
        <v>180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0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189</v>
      </c>
      <c r="D165" s="64">
        <v>30</v>
      </c>
      <c r="E165" s="64">
        <v>24</v>
      </c>
      <c r="F165" s="64">
        <v>720</v>
      </c>
      <c r="G165" s="64">
        <v>0</v>
      </c>
      <c r="H165" s="65">
        <v>0</v>
      </c>
      <c r="I165" s="65">
        <v>0</v>
      </c>
      <c r="J165" s="64"/>
    </row>
    <row r="166" customHeight="1" spans="1:10">
      <c r="A166" s="64"/>
      <c r="B166" s="64"/>
      <c r="C166" s="64" t="s">
        <v>197</v>
      </c>
      <c r="D166" s="64">
        <v>30</v>
      </c>
      <c r="E166" s="64">
        <v>24</v>
      </c>
      <c r="F166" s="64">
        <v>720</v>
      </c>
      <c r="G166" s="64">
        <v>0</v>
      </c>
      <c r="H166" s="65">
        <v>0</v>
      </c>
      <c r="I166" s="65">
        <v>0</v>
      </c>
      <c r="J166" s="64"/>
    </row>
    <row r="167" customHeight="1" spans="1:10">
      <c r="A167" s="64"/>
      <c r="B167" s="64"/>
      <c r="C167" s="64" t="s">
        <v>198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199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200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201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202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203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204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205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206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207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208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7" t="s">
        <v>72</v>
      </c>
      <c r="B178" s="67"/>
      <c r="C178" s="15"/>
      <c r="D178" s="15"/>
      <c r="E178" s="68" t="s">
        <v>73</v>
      </c>
      <c r="F178" s="68"/>
      <c r="G178" s="69"/>
      <c r="H178" s="10" t="str">
        <f>H38</f>
        <v>制表时间：2023/12/4</v>
      </c>
      <c r="I178" s="10"/>
      <c r="J178" s="10"/>
    </row>
    <row r="179" ht="23" customHeight="1"/>
    <row r="180" ht="28" customHeight="1" spans="1:10">
      <c r="A180" s="56" t="s">
        <v>163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45231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164</v>
      </c>
      <c r="B182" s="6" t="s">
        <v>165</v>
      </c>
      <c r="C182" s="6" t="s">
        <v>166</v>
      </c>
      <c r="D182" s="6" t="s">
        <v>167</v>
      </c>
      <c r="E182" s="59" t="s">
        <v>168</v>
      </c>
      <c r="F182" s="59" t="s">
        <v>169</v>
      </c>
      <c r="G182" s="60" t="s">
        <v>170</v>
      </c>
      <c r="H182" s="61" t="s">
        <v>171</v>
      </c>
      <c r="I182" s="59" t="s">
        <v>172</v>
      </c>
      <c r="J182" s="6" t="s">
        <v>173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174</v>
      </c>
      <c r="E184" s="59" t="s">
        <v>175</v>
      </c>
      <c r="F184" s="59" t="s">
        <v>176</v>
      </c>
      <c r="G184" s="60" t="s">
        <v>176</v>
      </c>
      <c r="H184" s="61" t="s">
        <v>177</v>
      </c>
      <c r="I184" s="59" t="s">
        <v>177</v>
      </c>
      <c r="J184" s="6"/>
    </row>
    <row r="185" customHeight="1" spans="1:10">
      <c r="A185" s="63" t="s">
        <v>243</v>
      </c>
      <c r="B185" s="63" t="s">
        <v>244</v>
      </c>
      <c r="C185" s="64" t="s">
        <v>210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211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212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213</v>
      </c>
      <c r="D188" s="64">
        <v>30</v>
      </c>
      <c r="E188" s="64">
        <v>24</v>
      </c>
      <c r="F188" s="64">
        <v>720</v>
      </c>
      <c r="G188" s="64">
        <v>0</v>
      </c>
      <c r="H188" s="65">
        <v>0</v>
      </c>
      <c r="I188" s="65">
        <v>0</v>
      </c>
      <c r="J188" s="64"/>
    </row>
    <row r="189" customHeight="1" spans="1:10">
      <c r="A189" s="64"/>
      <c r="B189" s="64"/>
      <c r="C189" s="64" t="s">
        <v>214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215</v>
      </c>
      <c r="D190" s="64">
        <v>30</v>
      </c>
      <c r="E190" s="64">
        <v>24</v>
      </c>
      <c r="F190" s="64">
        <v>720</v>
      </c>
      <c r="G190" s="64">
        <v>0</v>
      </c>
      <c r="H190" s="65">
        <v>0</v>
      </c>
      <c r="I190" s="65">
        <v>0</v>
      </c>
      <c r="J190" s="64"/>
    </row>
    <row r="191" customHeight="1" spans="1:10">
      <c r="A191" s="64"/>
      <c r="B191" s="64"/>
      <c r="C191" s="64" t="s">
        <v>216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0</v>
      </c>
      <c r="J191" s="64"/>
    </row>
    <row r="192" customHeight="1" spans="1:10">
      <c r="A192" s="64"/>
      <c r="B192" s="64"/>
      <c r="C192" s="64" t="s">
        <v>217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218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219</v>
      </c>
      <c r="D194" s="64">
        <v>30</v>
      </c>
      <c r="E194" s="64">
        <v>24</v>
      </c>
      <c r="F194" s="64">
        <v>720</v>
      </c>
      <c r="G194" s="64">
        <v>0</v>
      </c>
      <c r="H194" s="65">
        <v>0</v>
      </c>
      <c r="I194" s="65">
        <v>1</v>
      </c>
      <c r="J194" s="64" t="s">
        <v>234</v>
      </c>
    </row>
    <row r="195" customHeight="1" spans="1:10">
      <c r="A195" s="64"/>
      <c r="B195" s="64"/>
      <c r="C195" s="64" t="s">
        <v>220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221</v>
      </c>
      <c r="D196" s="5">
        <v>30</v>
      </c>
      <c r="E196" s="5">
        <v>24</v>
      </c>
      <c r="F196" s="5">
        <v>720</v>
      </c>
      <c r="G196" s="5">
        <v>0</v>
      </c>
      <c r="H196" s="66">
        <v>0</v>
      </c>
      <c r="I196" s="66">
        <v>1</v>
      </c>
      <c r="J196" s="64" t="s">
        <v>234</v>
      </c>
    </row>
    <row r="197" customHeight="1" spans="1:10">
      <c r="A197" s="64"/>
      <c r="B197" s="64"/>
      <c r="C197" s="64" t="s">
        <v>222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223</v>
      </c>
      <c r="D198" s="64">
        <v>30</v>
      </c>
      <c r="E198" s="64">
        <v>24</v>
      </c>
      <c r="F198" s="64">
        <v>720</v>
      </c>
      <c r="G198" s="64">
        <v>0</v>
      </c>
      <c r="H198" s="65">
        <v>0</v>
      </c>
      <c r="I198" s="65">
        <v>1</v>
      </c>
      <c r="J198" s="64"/>
    </row>
    <row r="199" customHeight="1" spans="1:10">
      <c r="A199" s="64"/>
      <c r="B199" s="64"/>
      <c r="C199" s="64" t="s">
        <v>224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225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226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227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236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239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718</v>
      </c>
      <c r="H205" s="65">
        <v>0.99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/>
    </row>
    <row r="207" customHeight="1" spans="1:10">
      <c r="A207" s="64"/>
      <c r="B207" s="64"/>
      <c r="C207" s="64" t="s">
        <v>189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240</v>
      </c>
      <c r="C208" s="64" t="s">
        <v>180</v>
      </c>
      <c r="D208" s="64">
        <v>30</v>
      </c>
      <c r="E208" s="64">
        <v>24</v>
      </c>
      <c r="F208" s="64">
        <v>720</v>
      </c>
      <c r="G208" s="64">
        <v>720</v>
      </c>
      <c r="H208" s="65">
        <v>1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624</v>
      </c>
      <c r="H209" s="65">
        <v>0.866666666666667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712</v>
      </c>
      <c r="H210" s="65">
        <v>0.988888888888889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712</v>
      </c>
      <c r="H211" s="65">
        <v>0.988888888888889</v>
      </c>
      <c r="I211" s="65">
        <v>1</v>
      </c>
      <c r="J211" s="64"/>
    </row>
    <row r="212" customHeight="1" spans="1:10">
      <c r="A212" s="64"/>
      <c r="B212" s="64"/>
      <c r="C212" s="5" t="s">
        <v>187</v>
      </c>
      <c r="D212" s="64">
        <v>30</v>
      </c>
      <c r="E212" s="64">
        <v>24</v>
      </c>
      <c r="F212" s="64">
        <v>720</v>
      </c>
      <c r="G212" s="64">
        <v>624</v>
      </c>
      <c r="H212" s="65">
        <v>0.866666666666667</v>
      </c>
      <c r="I212" s="65">
        <v>1</v>
      </c>
      <c r="J212" s="64"/>
    </row>
    <row r="213" customHeight="1" spans="1:10">
      <c r="A213" s="64"/>
      <c r="B213" s="64"/>
      <c r="C213" s="64" t="s">
        <v>189</v>
      </c>
      <c r="D213" s="64">
        <v>30</v>
      </c>
      <c r="E213" s="64">
        <v>24</v>
      </c>
      <c r="F213" s="64">
        <v>720</v>
      </c>
      <c r="G213" s="64">
        <v>720</v>
      </c>
      <c r="H213" s="65">
        <v>1</v>
      </c>
      <c r="I213" s="65">
        <v>1</v>
      </c>
      <c r="J213" s="64"/>
    </row>
    <row r="214" customHeight="1" spans="1:10">
      <c r="A214" s="79" t="s">
        <v>245</v>
      </c>
      <c r="B214" s="63" t="s">
        <v>246</v>
      </c>
      <c r="C214" s="5" t="s">
        <v>180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0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714</v>
      </c>
      <c r="H216" s="65">
        <v>0.991666666666667</v>
      </c>
      <c r="I216" s="65">
        <v>1</v>
      </c>
      <c r="J216" s="64"/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694</v>
      </c>
      <c r="H217" s="65">
        <v>0.963888888888889</v>
      </c>
      <c r="I217" s="65">
        <v>1</v>
      </c>
      <c r="J217" s="64"/>
    </row>
    <row r="218" customHeight="1" spans="1:10">
      <c r="A218" s="80"/>
      <c r="B218" s="63" t="s">
        <v>247</v>
      </c>
      <c r="C218" s="64" t="s">
        <v>180</v>
      </c>
      <c r="D218" s="64">
        <v>30</v>
      </c>
      <c r="E218" s="64">
        <v>24</v>
      </c>
      <c r="F218" s="64">
        <v>720</v>
      </c>
      <c r="G218" s="64">
        <v>720</v>
      </c>
      <c r="H218" s="66">
        <v>1</v>
      </c>
      <c r="I218" s="66">
        <v>1</v>
      </c>
      <c r="J218" s="5"/>
    </row>
    <row r="219" customHeight="1" spans="1:10">
      <c r="A219" s="80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720</v>
      </c>
      <c r="H219" s="66">
        <v>1</v>
      </c>
      <c r="I219" s="66">
        <v>1</v>
      </c>
      <c r="J219" s="5"/>
    </row>
    <row r="220" customHeight="1" spans="1:10">
      <c r="A220" s="80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0</v>
      </c>
      <c r="H220" s="66">
        <v>0</v>
      </c>
      <c r="I220" s="66">
        <v>0</v>
      </c>
      <c r="J220" s="5"/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66">
        <v>1</v>
      </c>
      <c r="I221" s="66">
        <v>1</v>
      </c>
      <c r="J221" s="5"/>
    </row>
    <row r="222" customHeight="1" spans="1:10">
      <c r="A222" s="67" t="s">
        <v>72</v>
      </c>
      <c r="B222" s="67"/>
      <c r="C222" s="15"/>
      <c r="D222" s="15"/>
      <c r="E222" s="68" t="s">
        <v>73</v>
      </c>
      <c r="F222" s="68"/>
      <c r="G222" s="69"/>
      <c r="H222" s="10" t="str">
        <f>H38</f>
        <v>制表时间：2023/12/4</v>
      </c>
      <c r="I222" s="10"/>
      <c r="J222" s="10"/>
    </row>
    <row r="223" ht="17" customHeight="1"/>
    <row r="224" ht="16" customHeight="1"/>
    <row r="225" ht="27" customHeight="1" spans="1:10">
      <c r="A225" s="56" t="s">
        <v>163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70">
        <f>A2</f>
        <v>45231</v>
      </c>
      <c r="B226" s="70"/>
      <c r="C226" s="70"/>
      <c r="D226" s="70"/>
      <c r="E226" s="70"/>
      <c r="F226" s="70"/>
      <c r="G226" s="70"/>
      <c r="H226" s="70"/>
      <c r="I226" s="70"/>
      <c r="J226" s="70"/>
    </row>
    <row r="227" customHeight="1" spans="1:10">
      <c r="A227" s="6" t="s">
        <v>164</v>
      </c>
      <c r="B227" s="6" t="s">
        <v>165</v>
      </c>
      <c r="C227" s="6" t="s">
        <v>166</v>
      </c>
      <c r="D227" s="6" t="s">
        <v>167</v>
      </c>
      <c r="E227" s="59" t="s">
        <v>168</v>
      </c>
      <c r="F227" s="59" t="s">
        <v>169</v>
      </c>
      <c r="G227" s="60" t="s">
        <v>170</v>
      </c>
      <c r="H227" s="61" t="s">
        <v>171</v>
      </c>
      <c r="I227" s="59" t="s">
        <v>172</v>
      </c>
      <c r="J227" s="6" t="s">
        <v>173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174</v>
      </c>
      <c r="E229" s="59" t="s">
        <v>175</v>
      </c>
      <c r="F229" s="59" t="s">
        <v>176</v>
      </c>
      <c r="G229" s="60" t="s">
        <v>176</v>
      </c>
      <c r="H229" s="61" t="s">
        <v>177</v>
      </c>
      <c r="I229" s="59" t="s">
        <v>177</v>
      </c>
      <c r="J229" s="6"/>
    </row>
    <row r="230" customHeight="1" spans="1:10">
      <c r="A230" s="63" t="s">
        <v>245</v>
      </c>
      <c r="B230" s="63" t="s">
        <v>248</v>
      </c>
      <c r="C230" s="64" t="s">
        <v>180</v>
      </c>
      <c r="D230" s="64">
        <v>30</v>
      </c>
      <c r="E230" s="64">
        <v>24</v>
      </c>
      <c r="F230" s="64">
        <v>720</v>
      </c>
      <c r="G230" s="64">
        <v>0</v>
      </c>
      <c r="H230" s="65">
        <v>0</v>
      </c>
      <c r="I230" s="65">
        <v>1</v>
      </c>
      <c r="J230" s="64"/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0</v>
      </c>
      <c r="H231" s="65">
        <v>0</v>
      </c>
      <c r="I231" s="65">
        <v>1</v>
      </c>
      <c r="J231" s="64"/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0</v>
      </c>
      <c r="H232" s="65">
        <v>0</v>
      </c>
      <c r="I232" s="65">
        <v>1</v>
      </c>
      <c r="J232" s="64"/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0</v>
      </c>
      <c r="H233" s="65">
        <v>0</v>
      </c>
      <c r="I233" s="65">
        <v>1</v>
      </c>
      <c r="J233" s="64"/>
    </row>
    <row r="234" customHeight="1" spans="1:10">
      <c r="A234" s="63"/>
      <c r="B234" s="63" t="s">
        <v>249</v>
      </c>
      <c r="C234" s="64" t="s">
        <v>180</v>
      </c>
      <c r="D234" s="64">
        <v>30</v>
      </c>
      <c r="E234" s="64">
        <v>24</v>
      </c>
      <c r="F234" s="64">
        <v>720</v>
      </c>
      <c r="G234" s="64">
        <v>0</v>
      </c>
      <c r="H234" s="65">
        <v>0</v>
      </c>
      <c r="I234" s="65">
        <v>1</v>
      </c>
      <c r="J234" s="64"/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0</v>
      </c>
      <c r="H235" s="65">
        <v>0</v>
      </c>
      <c r="I235" s="65">
        <v>1</v>
      </c>
      <c r="J235" s="64"/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0</v>
      </c>
      <c r="H236" s="65">
        <v>0</v>
      </c>
      <c r="I236" s="65">
        <v>1</v>
      </c>
      <c r="J236" s="64"/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0</v>
      </c>
      <c r="H237" s="65">
        <v>0</v>
      </c>
      <c r="I237" s="65">
        <v>1</v>
      </c>
      <c r="J237" s="64"/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0</v>
      </c>
      <c r="J238" s="64"/>
    </row>
    <row r="239" customHeight="1" spans="1:10">
      <c r="A239" s="63"/>
      <c r="B239" s="64"/>
      <c r="C239" s="64" t="s">
        <v>189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0</v>
      </c>
      <c r="J239" s="64"/>
    </row>
    <row r="240" customHeight="1" spans="1:10">
      <c r="A240" s="63"/>
      <c r="B240" s="63" t="s">
        <v>250</v>
      </c>
      <c r="C240" s="64" t="s">
        <v>180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/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/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/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/>
    </row>
    <row r="244" customHeight="1" spans="1:10">
      <c r="A244" s="63"/>
      <c r="B244" s="6" t="s">
        <v>251</v>
      </c>
      <c r="C244" s="64" t="s">
        <v>180</v>
      </c>
      <c r="D244" s="64">
        <v>30</v>
      </c>
      <c r="E244" s="64">
        <v>24</v>
      </c>
      <c r="F244" s="64">
        <v>720</v>
      </c>
      <c r="G244" s="64">
        <v>0</v>
      </c>
      <c r="H244" s="65">
        <v>0</v>
      </c>
      <c r="I244" s="65">
        <v>1</v>
      </c>
      <c r="J244" s="64" t="s">
        <v>252</v>
      </c>
    </row>
    <row r="245" customHeight="1" spans="1:10">
      <c r="A245" s="63"/>
      <c r="B245" s="5"/>
      <c r="C245" s="64" t="s">
        <v>181</v>
      </c>
      <c r="D245" s="64">
        <v>30</v>
      </c>
      <c r="E245" s="64">
        <v>24</v>
      </c>
      <c r="F245" s="64">
        <v>720</v>
      </c>
      <c r="G245" s="64">
        <v>0</v>
      </c>
      <c r="H245" s="65">
        <v>0</v>
      </c>
      <c r="I245" s="65">
        <v>1</v>
      </c>
      <c r="J245" s="64" t="s">
        <v>252</v>
      </c>
    </row>
    <row r="246" customHeight="1" spans="1:10">
      <c r="A246" s="63"/>
      <c r="B246" s="5"/>
      <c r="C246" s="64" t="s">
        <v>185</v>
      </c>
      <c r="D246" s="64">
        <v>30</v>
      </c>
      <c r="E246" s="64">
        <v>24</v>
      </c>
      <c r="F246" s="64">
        <v>720</v>
      </c>
      <c r="G246" s="64">
        <v>324</v>
      </c>
      <c r="H246" s="65">
        <v>0.45</v>
      </c>
      <c r="I246" s="65">
        <v>1</v>
      </c>
      <c r="J246" s="64" t="s">
        <v>252</v>
      </c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0</v>
      </c>
      <c r="H247" s="65">
        <v>0</v>
      </c>
      <c r="I247" s="65">
        <v>1</v>
      </c>
      <c r="J247" s="64" t="s">
        <v>252</v>
      </c>
    </row>
    <row r="248" customHeight="1" spans="1:10">
      <c r="A248" s="63"/>
      <c r="B248" s="5"/>
      <c r="C248" s="64" t="s">
        <v>187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 t="s">
        <v>252</v>
      </c>
    </row>
    <row r="249" customHeight="1" spans="1:10">
      <c r="A249" s="63"/>
      <c r="B249" s="5"/>
      <c r="C249" s="64" t="s">
        <v>189</v>
      </c>
      <c r="D249" s="64">
        <v>30</v>
      </c>
      <c r="E249" s="64">
        <v>24</v>
      </c>
      <c r="F249" s="64">
        <v>720</v>
      </c>
      <c r="G249" s="64">
        <v>324</v>
      </c>
      <c r="H249" s="65">
        <v>0.45</v>
      </c>
      <c r="I249" s="65">
        <v>1</v>
      </c>
      <c r="J249" s="64" t="s">
        <v>252</v>
      </c>
    </row>
    <row r="250" customHeight="1" spans="1:10">
      <c r="A250" s="63"/>
      <c r="B250" s="6" t="s">
        <v>253</v>
      </c>
      <c r="C250" s="64" t="s">
        <v>180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 t="s">
        <v>252</v>
      </c>
    </row>
    <row r="251" customHeight="1" spans="1:10">
      <c r="A251" s="63"/>
      <c r="B251" s="5"/>
      <c r="C251" s="64" t="s">
        <v>181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 t="s">
        <v>252</v>
      </c>
    </row>
    <row r="252" customHeight="1" spans="1:10">
      <c r="A252" s="63"/>
      <c r="B252" s="5"/>
      <c r="C252" s="64" t="s">
        <v>185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 t="s">
        <v>252</v>
      </c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 t="s">
        <v>252</v>
      </c>
    </row>
    <row r="254" customHeight="1" spans="1:10">
      <c r="A254" s="63"/>
      <c r="B254" s="5"/>
      <c r="C254" s="64" t="s">
        <v>187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 t="s">
        <v>252</v>
      </c>
    </row>
    <row r="255" customHeight="1" spans="1:10">
      <c r="A255" s="63"/>
      <c r="B255" s="5"/>
      <c r="C255" s="64" t="s">
        <v>189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 t="s">
        <v>252</v>
      </c>
    </row>
    <row r="256" customHeight="1" spans="1:10">
      <c r="A256" s="63"/>
      <c r="B256" s="5"/>
      <c r="C256" s="64" t="s">
        <v>197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 t="s">
        <v>252</v>
      </c>
    </row>
    <row r="257" customHeight="1" spans="1:10">
      <c r="A257" s="63"/>
      <c r="B257" s="5"/>
      <c r="C257" s="64" t="s">
        <v>198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 t="s">
        <v>252</v>
      </c>
    </row>
    <row r="258" customHeight="1" spans="1:10">
      <c r="A258" s="63"/>
      <c r="B258" s="6" t="s">
        <v>254</v>
      </c>
      <c r="C258" s="64" t="s">
        <v>180</v>
      </c>
      <c r="D258" s="64">
        <v>30</v>
      </c>
      <c r="E258" s="64">
        <v>24</v>
      </c>
      <c r="F258" s="64">
        <v>720</v>
      </c>
      <c r="G258" s="64">
        <v>720</v>
      </c>
      <c r="H258" s="65">
        <v>1</v>
      </c>
      <c r="I258" s="65">
        <v>1</v>
      </c>
      <c r="J258" s="64" t="s">
        <v>255</v>
      </c>
    </row>
    <row r="259" customHeight="1" spans="1:10">
      <c r="A259" s="63"/>
      <c r="B259" s="5"/>
      <c r="C259" s="64" t="s">
        <v>181</v>
      </c>
      <c r="D259" s="64">
        <v>30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 t="s">
        <v>255</v>
      </c>
    </row>
    <row r="260" customHeight="1" spans="1:10">
      <c r="A260" s="63"/>
      <c r="B260" s="5"/>
      <c r="C260" s="64" t="s">
        <v>185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 t="s">
        <v>255</v>
      </c>
    </row>
    <row r="261" customHeight="1" spans="1:10">
      <c r="A261" s="63"/>
      <c r="B261" s="6" t="s">
        <v>256</v>
      </c>
      <c r="C261" s="64" t="s">
        <v>180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/>
    </row>
    <row r="262" customHeight="1" spans="1:10">
      <c r="A262" s="63"/>
      <c r="B262" s="5"/>
      <c r="C262" s="64" t="s">
        <v>181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 t="s">
        <v>257</v>
      </c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/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/>
    </row>
    <row r="265" customHeight="1" spans="1:10">
      <c r="A265" s="63"/>
      <c r="B265" s="5"/>
      <c r="C265" s="64" t="s">
        <v>187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 t="s">
        <v>258</v>
      </c>
    </row>
    <row r="266" ht="19" customHeight="1" spans="1:10">
      <c r="A266" s="67" t="s">
        <v>72</v>
      </c>
      <c r="B266" s="67"/>
      <c r="C266" s="15"/>
      <c r="D266" s="15"/>
      <c r="E266" s="68" t="s">
        <v>73</v>
      </c>
      <c r="F266" s="68"/>
      <c r="G266" s="69"/>
      <c r="H266" s="10" t="str">
        <f>H38</f>
        <v>制表时间：2023/12/4</v>
      </c>
      <c r="I266" s="10"/>
      <c r="J266" s="10"/>
    </row>
    <row r="267" ht="19" customHeight="1" spans="1:10">
      <c r="A267" s="89"/>
      <c r="B267" s="89"/>
      <c r="C267" s="15"/>
      <c r="D267" s="15"/>
      <c r="E267" s="90"/>
      <c r="F267" s="90"/>
      <c r="G267" s="91"/>
      <c r="H267" s="15"/>
      <c r="I267" s="15"/>
      <c r="J267" s="15"/>
    </row>
    <row r="268" ht="19" customHeight="1" spans="1:10">
      <c r="A268" s="89"/>
      <c r="B268" s="89"/>
      <c r="C268" s="15"/>
      <c r="D268" s="15"/>
      <c r="E268" s="90"/>
      <c r="F268" s="90"/>
      <c r="G268" s="91"/>
      <c r="H268" s="15"/>
      <c r="I268" s="15"/>
      <c r="J268" s="15"/>
    </row>
    <row r="269" ht="18" customHeight="1" spans="1:10">
      <c r="A269" s="56" t="s">
        <v>259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45231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ht="15" customHeight="1" spans="1:10">
      <c r="A271" s="6" t="s">
        <v>164</v>
      </c>
      <c r="B271" s="6" t="s">
        <v>165</v>
      </c>
      <c r="C271" s="6" t="s">
        <v>166</v>
      </c>
      <c r="D271" s="6" t="s">
        <v>167</v>
      </c>
      <c r="E271" s="59" t="s">
        <v>168</v>
      </c>
      <c r="F271" s="59" t="s">
        <v>169</v>
      </c>
      <c r="G271" s="60" t="s">
        <v>170</v>
      </c>
      <c r="H271" s="61" t="s">
        <v>171</v>
      </c>
      <c r="I271" s="59" t="s">
        <v>172</v>
      </c>
      <c r="J271" s="6" t="s">
        <v>173</v>
      </c>
    </row>
    <row r="272" ht="11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174</v>
      </c>
      <c r="E273" s="59" t="s">
        <v>175</v>
      </c>
      <c r="F273" s="59" t="s">
        <v>176</v>
      </c>
      <c r="G273" s="60" t="s">
        <v>176</v>
      </c>
      <c r="H273" s="61" t="s">
        <v>177</v>
      </c>
      <c r="I273" s="59" t="s">
        <v>177</v>
      </c>
      <c r="J273" s="6"/>
    </row>
    <row r="274" customHeight="1" spans="1:10">
      <c r="A274" s="63" t="s">
        <v>245</v>
      </c>
      <c r="B274" s="63" t="s">
        <v>256</v>
      </c>
      <c r="C274" s="64" t="s">
        <v>189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 t="s">
        <v>260</v>
      </c>
    </row>
    <row r="275" customHeight="1" spans="1:10">
      <c r="A275" s="64"/>
      <c r="B275" s="63"/>
      <c r="C275" s="64" t="s">
        <v>197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/>
    </row>
    <row r="276" customHeight="1" spans="1:10">
      <c r="A276" s="64"/>
      <c r="B276" s="63"/>
      <c r="C276" s="64" t="s">
        <v>198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/>
    </row>
    <row r="277" customHeight="1" spans="1:10">
      <c r="A277" s="64"/>
      <c r="B277" s="63" t="s">
        <v>261</v>
      </c>
      <c r="C277" s="64" t="s">
        <v>199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/>
    </row>
    <row r="278" customHeight="1" spans="1:10">
      <c r="A278" s="64"/>
      <c r="B278" s="64"/>
      <c r="C278" s="64" t="s">
        <v>200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/>
    </row>
    <row r="279" customHeight="1" spans="1:10">
      <c r="A279" s="64"/>
      <c r="B279" s="64"/>
      <c r="C279" s="64" t="s">
        <v>201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202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/>
    </row>
    <row r="281" customHeight="1" spans="1:10">
      <c r="A281" s="64"/>
      <c r="B281" s="64"/>
      <c r="C281" s="64" t="s">
        <v>203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204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 t="s">
        <v>262</v>
      </c>
    </row>
    <row r="283" customHeight="1" spans="1:10">
      <c r="A283" s="64"/>
      <c r="B283" s="64"/>
      <c r="C283" s="64" t="s">
        <v>205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/>
    </row>
    <row r="284" customHeight="1" spans="1:10">
      <c r="A284" s="64"/>
      <c r="B284" s="64"/>
      <c r="C284" s="64" t="s">
        <v>206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/>
    </row>
    <row r="285" customHeight="1" spans="1:10">
      <c r="A285" s="64"/>
      <c r="B285" s="64" t="s">
        <v>263</v>
      </c>
      <c r="C285" s="64" t="s">
        <v>180</v>
      </c>
      <c r="D285" s="64">
        <v>30</v>
      </c>
      <c r="E285" s="64">
        <v>24</v>
      </c>
      <c r="F285" s="64">
        <v>720</v>
      </c>
      <c r="G285" s="64">
        <v>48.9</v>
      </c>
      <c r="H285" s="65">
        <v>0.0679166666666666</v>
      </c>
      <c r="I285" s="65">
        <v>1</v>
      </c>
      <c r="J285" s="64"/>
    </row>
    <row r="286" customHeight="1" spans="1:10">
      <c r="A286" s="64"/>
      <c r="B286" s="64"/>
      <c r="C286" s="64" t="s">
        <v>181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/>
    </row>
    <row r="287" customHeight="1" spans="1:10">
      <c r="A287" s="64"/>
      <c r="B287" s="64"/>
      <c r="C287" s="64" t="s">
        <v>185</v>
      </c>
      <c r="D287" s="64">
        <v>30</v>
      </c>
      <c r="E287" s="64">
        <v>24</v>
      </c>
      <c r="F287" s="64">
        <v>720</v>
      </c>
      <c r="G287" s="64">
        <v>48.9</v>
      </c>
      <c r="H287" s="65">
        <v>0.0679166666666667</v>
      </c>
      <c r="I287" s="65">
        <v>1</v>
      </c>
      <c r="J287" s="64"/>
    </row>
    <row r="288" customHeight="1" spans="1:10">
      <c r="A288" s="64"/>
      <c r="B288" s="64" t="s">
        <v>264</v>
      </c>
      <c r="C288" s="64" t="s">
        <v>180</v>
      </c>
      <c r="D288" s="64">
        <v>30</v>
      </c>
      <c r="E288" s="64">
        <v>24</v>
      </c>
      <c r="F288" s="64">
        <v>720</v>
      </c>
      <c r="G288" s="64">
        <v>35.8</v>
      </c>
      <c r="H288" s="65">
        <v>0.0497222222222222</v>
      </c>
      <c r="I288" s="65">
        <v>1</v>
      </c>
      <c r="J288" s="64"/>
    </row>
    <row r="289" customHeight="1" spans="1:10">
      <c r="A289" s="64"/>
      <c r="B289" s="64"/>
      <c r="C289" s="64" t="s">
        <v>181</v>
      </c>
      <c r="D289" s="64">
        <v>30</v>
      </c>
      <c r="E289" s="64">
        <v>24</v>
      </c>
      <c r="F289" s="64">
        <v>720</v>
      </c>
      <c r="G289" s="64">
        <v>37.8</v>
      </c>
      <c r="H289" s="65">
        <v>0.0525</v>
      </c>
      <c r="I289" s="65">
        <v>1</v>
      </c>
      <c r="J289" s="64"/>
    </row>
    <row r="290" customHeight="1" spans="1:10">
      <c r="A290" s="64"/>
      <c r="B290" s="64"/>
      <c r="C290" s="64" t="s">
        <v>185</v>
      </c>
      <c r="D290" s="64">
        <v>30</v>
      </c>
      <c r="E290" s="64">
        <v>24</v>
      </c>
      <c r="F290" s="64">
        <v>720</v>
      </c>
      <c r="G290" s="64">
        <v>36.3</v>
      </c>
      <c r="H290" s="65">
        <v>0.0504166666666667</v>
      </c>
      <c r="I290" s="65">
        <v>1</v>
      </c>
      <c r="J290" s="64"/>
    </row>
    <row r="291" ht="17" customHeight="1" spans="1:10">
      <c r="A291" s="63" t="s">
        <v>265</v>
      </c>
      <c r="B291" s="79" t="s">
        <v>266</v>
      </c>
      <c r="C291" s="64" t="s">
        <v>180</v>
      </c>
      <c r="D291" s="64">
        <v>30</v>
      </c>
      <c r="E291" s="64">
        <v>24</v>
      </c>
      <c r="F291" s="64">
        <v>720</v>
      </c>
      <c r="G291" s="64">
        <v>156</v>
      </c>
      <c r="H291" s="65">
        <v>0.216666666666667</v>
      </c>
      <c r="I291" s="65">
        <v>1</v>
      </c>
      <c r="J291" s="64"/>
    </row>
    <row r="292" customHeight="1" spans="1:10">
      <c r="A292" s="64"/>
      <c r="B292" s="81"/>
      <c r="C292" s="64" t="s">
        <v>181</v>
      </c>
      <c r="D292" s="64">
        <v>30</v>
      </c>
      <c r="E292" s="64">
        <v>24</v>
      </c>
      <c r="F292" s="64">
        <v>720</v>
      </c>
      <c r="G292" s="64">
        <v>156</v>
      </c>
      <c r="H292" s="65">
        <v>0.216666666666667</v>
      </c>
      <c r="I292" s="65">
        <v>1</v>
      </c>
      <c r="J292" s="64"/>
    </row>
    <row r="293" customHeight="1" spans="1:10">
      <c r="A293" s="64"/>
      <c r="B293" s="81"/>
      <c r="C293" s="64" t="s">
        <v>185</v>
      </c>
      <c r="D293" s="64">
        <v>30</v>
      </c>
      <c r="E293" s="64">
        <v>24</v>
      </c>
      <c r="F293" s="64">
        <v>720</v>
      </c>
      <c r="G293" s="64">
        <v>156</v>
      </c>
      <c r="H293" s="65">
        <v>0.216666666666667</v>
      </c>
      <c r="I293" s="65">
        <v>1</v>
      </c>
      <c r="J293" s="64"/>
    </row>
    <row r="294" customHeight="1" spans="1:10">
      <c r="A294" s="64"/>
      <c r="B294" s="81"/>
      <c r="C294" s="64" t="s">
        <v>186</v>
      </c>
      <c r="D294" s="64">
        <v>30</v>
      </c>
      <c r="E294" s="64">
        <v>24</v>
      </c>
      <c r="F294" s="64">
        <v>720</v>
      </c>
      <c r="G294" s="64">
        <v>92</v>
      </c>
      <c r="H294" s="65">
        <v>0.127777777777778</v>
      </c>
      <c r="I294" s="65">
        <v>1</v>
      </c>
      <c r="J294" s="64" t="s">
        <v>267</v>
      </c>
    </row>
    <row r="295" customHeight="1" spans="1:10">
      <c r="A295" s="64"/>
      <c r="B295" s="81"/>
      <c r="C295" s="64" t="s">
        <v>187</v>
      </c>
      <c r="D295" s="64">
        <v>30</v>
      </c>
      <c r="E295" s="64">
        <v>24</v>
      </c>
      <c r="F295" s="64">
        <v>720</v>
      </c>
      <c r="G295" s="64">
        <v>142</v>
      </c>
      <c r="H295" s="65">
        <v>0.197222222222222</v>
      </c>
      <c r="I295" s="65">
        <v>1</v>
      </c>
      <c r="J295" s="64" t="s">
        <v>268</v>
      </c>
    </row>
    <row r="296" customHeight="1" spans="1:10">
      <c r="A296" s="64"/>
      <c r="B296" s="81"/>
      <c r="C296" s="64" t="s">
        <v>189</v>
      </c>
      <c r="D296" s="64">
        <v>30</v>
      </c>
      <c r="E296" s="64">
        <v>24</v>
      </c>
      <c r="F296" s="64">
        <v>720</v>
      </c>
      <c r="G296" s="64">
        <v>0</v>
      </c>
      <c r="H296" s="65">
        <v>0</v>
      </c>
      <c r="I296" s="65">
        <v>1</v>
      </c>
      <c r="J296" s="64"/>
    </row>
    <row r="297" customHeight="1" spans="1:10">
      <c r="A297" s="64"/>
      <c r="B297" s="81"/>
      <c r="C297" s="64" t="s">
        <v>197</v>
      </c>
      <c r="D297" s="64">
        <v>30</v>
      </c>
      <c r="E297" s="64">
        <v>24</v>
      </c>
      <c r="F297" s="64">
        <v>720</v>
      </c>
      <c r="G297" s="64">
        <v>28</v>
      </c>
      <c r="H297" s="65">
        <v>0.0388888888888889</v>
      </c>
      <c r="I297" s="65">
        <v>1</v>
      </c>
      <c r="J297" s="64"/>
    </row>
    <row r="298" ht="17" customHeight="1" spans="1:10">
      <c r="A298" s="64"/>
      <c r="B298" s="83"/>
      <c r="C298" s="64" t="s">
        <v>198</v>
      </c>
      <c r="D298" s="64">
        <v>30</v>
      </c>
      <c r="E298" s="64">
        <v>24</v>
      </c>
      <c r="F298" s="64">
        <v>720</v>
      </c>
      <c r="G298" s="64">
        <v>32</v>
      </c>
      <c r="H298" s="65">
        <v>0.0444444444444444</v>
      </c>
      <c r="I298" s="65">
        <v>1</v>
      </c>
      <c r="J298" s="63"/>
    </row>
    <row r="299" customHeight="1" spans="1:10">
      <c r="A299" s="64"/>
      <c r="B299" s="79" t="s">
        <v>269</v>
      </c>
      <c r="C299" s="64" t="s">
        <v>199</v>
      </c>
      <c r="D299" s="64">
        <v>30</v>
      </c>
      <c r="E299" s="64">
        <v>24</v>
      </c>
      <c r="F299" s="64">
        <v>720</v>
      </c>
      <c r="G299" s="64">
        <v>12</v>
      </c>
      <c r="H299" s="65">
        <v>0.0166666666666667</v>
      </c>
      <c r="I299" s="65">
        <v>1</v>
      </c>
      <c r="J299" s="64"/>
    </row>
    <row r="300" customHeight="1" spans="1:10">
      <c r="A300" s="64"/>
      <c r="B300" s="81"/>
      <c r="C300" s="64" t="s">
        <v>200</v>
      </c>
      <c r="D300" s="64">
        <v>30</v>
      </c>
      <c r="E300" s="64">
        <v>24</v>
      </c>
      <c r="F300" s="64">
        <v>720</v>
      </c>
      <c r="G300" s="64">
        <v>32</v>
      </c>
      <c r="H300" s="65">
        <v>0.0444444444444444</v>
      </c>
      <c r="I300" s="65">
        <v>1</v>
      </c>
      <c r="J300" s="64"/>
    </row>
    <row r="301" customHeight="1" spans="1:10">
      <c r="A301" s="64"/>
      <c r="B301" s="81"/>
      <c r="C301" s="64" t="s">
        <v>201</v>
      </c>
      <c r="D301" s="64">
        <v>30</v>
      </c>
      <c r="E301" s="64">
        <v>24</v>
      </c>
      <c r="F301" s="64">
        <v>720</v>
      </c>
      <c r="G301" s="64">
        <v>156</v>
      </c>
      <c r="H301" s="65">
        <v>0.216666666666667</v>
      </c>
      <c r="I301" s="65">
        <v>1</v>
      </c>
      <c r="J301" s="64"/>
    </row>
    <row r="302" customHeight="1" spans="1:10">
      <c r="A302" s="64"/>
      <c r="B302" s="81"/>
      <c r="C302" s="64" t="s">
        <v>202</v>
      </c>
      <c r="D302" s="64">
        <v>30</v>
      </c>
      <c r="E302" s="64">
        <v>24</v>
      </c>
      <c r="F302" s="64">
        <v>720</v>
      </c>
      <c r="G302" s="64">
        <v>156</v>
      </c>
      <c r="H302" s="65">
        <v>0.216666666666667</v>
      </c>
      <c r="I302" s="65">
        <v>1</v>
      </c>
      <c r="J302" s="64"/>
    </row>
    <row r="303" customHeight="1" spans="1:10">
      <c r="A303" s="64"/>
      <c r="B303" s="64" t="s">
        <v>270</v>
      </c>
      <c r="C303" s="64" t="s">
        <v>180</v>
      </c>
      <c r="D303" s="64">
        <v>30</v>
      </c>
      <c r="E303" s="64">
        <v>24</v>
      </c>
      <c r="F303" s="64">
        <v>720</v>
      </c>
      <c r="G303" s="64">
        <v>0</v>
      </c>
      <c r="H303" s="65">
        <v>0</v>
      </c>
      <c r="I303" s="65">
        <v>1</v>
      </c>
      <c r="J303" s="64"/>
    </row>
    <row r="304" customHeight="1" spans="1:10">
      <c r="A304" s="64"/>
      <c r="B304" s="64"/>
      <c r="C304" s="64" t="s">
        <v>181</v>
      </c>
      <c r="D304" s="64">
        <v>30</v>
      </c>
      <c r="E304" s="64">
        <v>24</v>
      </c>
      <c r="F304" s="64">
        <v>720</v>
      </c>
      <c r="G304" s="64">
        <v>156</v>
      </c>
      <c r="H304" s="65">
        <v>0.216666666666667</v>
      </c>
      <c r="I304" s="65">
        <v>1</v>
      </c>
      <c r="J304" s="64"/>
    </row>
    <row r="305" customHeight="1" spans="1:10">
      <c r="A305" s="64"/>
      <c r="B305" s="64"/>
      <c r="C305" s="64" t="s">
        <v>185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3" t="s">
        <v>271</v>
      </c>
      <c r="B306" s="64" t="s">
        <v>272</v>
      </c>
      <c r="C306" s="64" t="s">
        <v>180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 t="s">
        <v>273</v>
      </c>
    </row>
    <row r="307" customHeight="1" spans="1:10">
      <c r="A307" s="64"/>
      <c r="B307" s="64"/>
      <c r="C307" s="64" t="s">
        <v>181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 t="s">
        <v>273</v>
      </c>
    </row>
    <row r="308" customHeight="1" spans="1:10">
      <c r="A308" s="64"/>
      <c r="B308" s="64" t="s">
        <v>274</v>
      </c>
      <c r="C308" s="64" t="s">
        <v>180</v>
      </c>
      <c r="D308" s="64">
        <v>30</v>
      </c>
      <c r="E308" s="64">
        <v>24</v>
      </c>
      <c r="F308" s="64">
        <v>720</v>
      </c>
      <c r="G308" s="64">
        <v>0</v>
      </c>
      <c r="H308" s="65">
        <v>0</v>
      </c>
      <c r="I308" s="65">
        <v>1</v>
      </c>
      <c r="J308" s="64" t="s">
        <v>275</v>
      </c>
    </row>
    <row r="309" customHeight="1" spans="1:10">
      <c r="A309" s="64"/>
      <c r="B309" s="64"/>
      <c r="C309" s="64" t="s">
        <v>181</v>
      </c>
      <c r="D309" s="64">
        <v>30</v>
      </c>
      <c r="E309" s="64">
        <v>24</v>
      </c>
      <c r="F309" s="64">
        <v>720</v>
      </c>
      <c r="G309" s="64">
        <v>120</v>
      </c>
      <c r="H309" s="65">
        <v>0.166666666666667</v>
      </c>
      <c r="I309" s="65">
        <v>1</v>
      </c>
      <c r="J309" s="64" t="s">
        <v>275</v>
      </c>
    </row>
    <row r="310" customHeight="1" spans="1:10">
      <c r="A310" s="64"/>
      <c r="B310" s="64"/>
      <c r="C310" s="64" t="s">
        <v>185</v>
      </c>
      <c r="D310" s="64">
        <v>30</v>
      </c>
      <c r="E310" s="64">
        <v>24</v>
      </c>
      <c r="F310" s="64">
        <v>720</v>
      </c>
      <c r="G310" s="64">
        <v>718</v>
      </c>
      <c r="H310" s="65">
        <v>0.99</v>
      </c>
      <c r="I310" s="65">
        <v>1</v>
      </c>
      <c r="J310" s="64" t="s">
        <v>275</v>
      </c>
    </row>
    <row r="311" ht="18" customHeight="1" spans="1:10">
      <c r="A311" s="64"/>
      <c r="B311" s="64" t="s">
        <v>276</v>
      </c>
      <c r="C311" s="64" t="s">
        <v>180</v>
      </c>
      <c r="D311" s="64">
        <v>30</v>
      </c>
      <c r="E311" s="64">
        <v>24</v>
      </c>
      <c r="F311" s="64">
        <v>720</v>
      </c>
      <c r="G311" s="64">
        <v>164</v>
      </c>
      <c r="H311" s="65">
        <v>0.227777777777778</v>
      </c>
      <c r="I311" s="65">
        <v>1</v>
      </c>
      <c r="J311" s="63" t="s">
        <v>275</v>
      </c>
    </row>
    <row r="312" ht="17" customHeight="1" spans="1:10">
      <c r="A312" s="64"/>
      <c r="B312" s="64"/>
      <c r="C312" s="64" t="s">
        <v>181</v>
      </c>
      <c r="D312" s="64">
        <v>30</v>
      </c>
      <c r="E312" s="64">
        <v>24</v>
      </c>
      <c r="F312" s="64">
        <v>720</v>
      </c>
      <c r="G312" s="64">
        <v>718</v>
      </c>
      <c r="H312" s="65">
        <v>0.99</v>
      </c>
      <c r="I312" s="65">
        <v>1</v>
      </c>
      <c r="J312" s="63" t="s">
        <v>275</v>
      </c>
    </row>
    <row r="313" ht="21" customHeight="1" spans="1:10">
      <c r="A313" s="67" t="s">
        <v>72</v>
      </c>
      <c r="B313" s="67"/>
      <c r="C313" s="15"/>
      <c r="D313" s="15"/>
      <c r="E313" s="68" t="s">
        <v>73</v>
      </c>
      <c r="F313" s="68"/>
      <c r="G313" s="69"/>
      <c r="H313" s="10" t="str">
        <f>H38</f>
        <v>制表时间：2023/12/4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1" workbookViewId="0">
      <selection activeCell="I30" sqref="I30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77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45231</v>
      </c>
      <c r="E2" s="32"/>
      <c r="F2" s="30"/>
    </row>
    <row r="3" ht="20.25" customHeight="1" spans="1:7">
      <c r="A3" s="33" t="s">
        <v>277</v>
      </c>
      <c r="B3" s="33" t="s">
        <v>166</v>
      </c>
      <c r="C3" s="33" t="s">
        <v>278</v>
      </c>
      <c r="D3" s="33" t="s">
        <v>279</v>
      </c>
      <c r="E3" s="33" t="s">
        <v>280</v>
      </c>
      <c r="F3" s="33" t="s">
        <v>281</v>
      </c>
      <c r="G3" s="34" t="s">
        <v>132</v>
      </c>
    </row>
    <row r="4" ht="22.5" spans="1:8">
      <c r="A4" s="35" t="s">
        <v>282</v>
      </c>
      <c r="B4" s="36" t="s">
        <v>283</v>
      </c>
      <c r="C4" s="36" t="s">
        <v>284</v>
      </c>
      <c r="D4" s="33" t="s">
        <v>285</v>
      </c>
      <c r="E4" s="33" t="s">
        <v>286</v>
      </c>
      <c r="F4" s="37" t="s">
        <v>287</v>
      </c>
      <c r="G4" s="38" t="s">
        <v>288</v>
      </c>
      <c r="H4" s="39"/>
    </row>
    <row r="5" ht="22.5" spans="1:7">
      <c r="A5" s="40"/>
      <c r="B5" s="36" t="s">
        <v>289</v>
      </c>
      <c r="C5" s="36" t="s">
        <v>284</v>
      </c>
      <c r="D5" s="33" t="s">
        <v>285</v>
      </c>
      <c r="E5" s="33" t="s">
        <v>286</v>
      </c>
      <c r="F5" s="33" t="s">
        <v>287</v>
      </c>
      <c r="G5" s="38" t="str">
        <f>G4</f>
        <v>2023-11-06 2023-11-13 2023-11-20 2023-11-27</v>
      </c>
    </row>
    <row r="6" ht="22.5" spans="1:7">
      <c r="A6" s="40"/>
      <c r="B6" s="36" t="s">
        <v>290</v>
      </c>
      <c r="C6" s="36" t="s">
        <v>284</v>
      </c>
      <c r="D6" s="33" t="s">
        <v>285</v>
      </c>
      <c r="E6" s="33" t="s">
        <v>286</v>
      </c>
      <c r="F6" s="33" t="s">
        <v>287</v>
      </c>
      <c r="G6" s="38" t="str">
        <f t="shared" ref="G6:G20" si="0">G5</f>
        <v>2023-11-06 2023-11-13 2023-11-20 2023-11-27</v>
      </c>
    </row>
    <row r="7" ht="22.5" spans="1:7">
      <c r="A7" s="41"/>
      <c r="B7" s="36" t="s">
        <v>291</v>
      </c>
      <c r="C7" s="36" t="s">
        <v>284</v>
      </c>
      <c r="D7" s="33" t="s">
        <v>285</v>
      </c>
      <c r="E7" s="33" t="s">
        <v>286</v>
      </c>
      <c r="F7" s="33" t="s">
        <v>287</v>
      </c>
      <c r="G7" s="38" t="str">
        <f t="shared" si="0"/>
        <v>2023-11-06 2023-11-13 2023-11-20 2023-11-27</v>
      </c>
    </row>
    <row r="8" ht="22.5" spans="1:7">
      <c r="A8" s="35" t="s">
        <v>292</v>
      </c>
      <c r="B8" s="36" t="s">
        <v>283</v>
      </c>
      <c r="C8" s="36" t="s">
        <v>293</v>
      </c>
      <c r="D8" s="33" t="s">
        <v>285</v>
      </c>
      <c r="E8" s="33" t="s">
        <v>286</v>
      </c>
      <c r="F8" s="33" t="s">
        <v>287</v>
      </c>
      <c r="G8" s="38" t="str">
        <f t="shared" si="0"/>
        <v>2023-11-06 2023-11-13 2023-11-20 2023-11-27</v>
      </c>
    </row>
    <row r="9" ht="22.5" spans="1:7">
      <c r="A9" s="40"/>
      <c r="B9" s="36" t="s">
        <v>289</v>
      </c>
      <c r="C9" s="36" t="s">
        <v>293</v>
      </c>
      <c r="D9" s="33" t="s">
        <v>285</v>
      </c>
      <c r="E9" s="33" t="s">
        <v>286</v>
      </c>
      <c r="F9" s="33" t="s">
        <v>287</v>
      </c>
      <c r="G9" s="38" t="str">
        <f t="shared" si="0"/>
        <v>2023-11-06 2023-11-13 2023-11-20 2023-11-27</v>
      </c>
    </row>
    <row r="10" ht="22.5" spans="1:7">
      <c r="A10" s="40"/>
      <c r="B10" s="36" t="s">
        <v>290</v>
      </c>
      <c r="C10" s="36" t="s">
        <v>293</v>
      </c>
      <c r="D10" s="33" t="s">
        <v>285</v>
      </c>
      <c r="E10" s="33" t="s">
        <v>286</v>
      </c>
      <c r="F10" s="33" t="s">
        <v>287</v>
      </c>
      <c r="G10" s="38" t="str">
        <f t="shared" si="0"/>
        <v>2023-11-06 2023-11-13 2023-11-20 2023-11-27</v>
      </c>
    </row>
    <row r="11" ht="22.5" spans="1:7">
      <c r="A11" s="41"/>
      <c r="B11" s="36" t="s">
        <v>291</v>
      </c>
      <c r="C11" s="36" t="s">
        <v>293</v>
      </c>
      <c r="D11" s="33" t="s">
        <v>285</v>
      </c>
      <c r="E11" s="33" t="s">
        <v>286</v>
      </c>
      <c r="F11" s="33" t="s">
        <v>287</v>
      </c>
      <c r="G11" s="38" t="str">
        <f t="shared" si="0"/>
        <v>2023-11-06 2023-11-13 2023-11-20 2023-11-27</v>
      </c>
    </row>
    <row r="12" ht="24" customHeight="1" spans="1:7">
      <c r="A12" s="36" t="s">
        <v>294</v>
      </c>
      <c r="B12" s="36" t="s">
        <v>180</v>
      </c>
      <c r="C12" s="33" t="s">
        <v>295</v>
      </c>
      <c r="D12" s="33" t="s">
        <v>296</v>
      </c>
      <c r="E12" s="33" t="s">
        <v>286</v>
      </c>
      <c r="F12" s="33" t="s">
        <v>297</v>
      </c>
      <c r="G12" s="38" t="str">
        <f t="shared" si="0"/>
        <v>2023-11-06 2023-11-13 2023-11-20 2023-11-27</v>
      </c>
    </row>
    <row r="13" ht="22.5" spans="1:7">
      <c r="A13" s="35" t="s">
        <v>298</v>
      </c>
      <c r="B13" s="36" t="s">
        <v>283</v>
      </c>
      <c r="C13" s="33" t="s">
        <v>299</v>
      </c>
      <c r="D13" s="33" t="s">
        <v>300</v>
      </c>
      <c r="E13" s="33" t="s">
        <v>286</v>
      </c>
      <c r="F13" s="33" t="s">
        <v>287</v>
      </c>
      <c r="G13" s="38" t="str">
        <f t="shared" si="0"/>
        <v>2023-11-06 2023-11-13 2023-11-20 2023-11-27</v>
      </c>
    </row>
    <row r="14" ht="22.5" spans="1:7">
      <c r="A14" s="40"/>
      <c r="B14" s="36" t="s">
        <v>289</v>
      </c>
      <c r="C14" s="33" t="s">
        <v>299</v>
      </c>
      <c r="D14" s="33" t="s">
        <v>300</v>
      </c>
      <c r="E14" s="33" t="s">
        <v>286</v>
      </c>
      <c r="F14" s="33" t="s">
        <v>287</v>
      </c>
      <c r="G14" s="38" t="str">
        <f t="shared" si="0"/>
        <v>2023-11-06 2023-11-13 2023-11-20 2023-11-27</v>
      </c>
    </row>
    <row r="15" ht="22.5" spans="1:7">
      <c r="A15" s="40"/>
      <c r="B15" s="36" t="s">
        <v>290</v>
      </c>
      <c r="C15" s="33" t="s">
        <v>299</v>
      </c>
      <c r="D15" s="33" t="s">
        <v>300</v>
      </c>
      <c r="E15" s="33" t="s">
        <v>286</v>
      </c>
      <c r="F15" s="33" t="s">
        <v>287</v>
      </c>
      <c r="G15" s="38" t="str">
        <f t="shared" si="0"/>
        <v>2023-11-06 2023-11-13 2023-11-20 2023-11-27</v>
      </c>
    </row>
    <row r="16" ht="22.5" spans="1:7">
      <c r="A16" s="41"/>
      <c r="B16" s="36" t="s">
        <v>291</v>
      </c>
      <c r="C16" s="33" t="s">
        <v>299</v>
      </c>
      <c r="D16" s="33" t="s">
        <v>300</v>
      </c>
      <c r="E16" s="33" t="s">
        <v>286</v>
      </c>
      <c r="F16" s="33" t="s">
        <v>287</v>
      </c>
      <c r="G16" s="38" t="str">
        <f t="shared" si="0"/>
        <v>2023-11-06 2023-11-13 2023-11-20 2023-11-27</v>
      </c>
    </row>
    <row r="17" ht="22.5" spans="1:7">
      <c r="A17" s="33" t="s">
        <v>301</v>
      </c>
      <c r="B17" s="36" t="s">
        <v>283</v>
      </c>
      <c r="C17" s="33" t="s">
        <v>293</v>
      </c>
      <c r="D17" s="33" t="s">
        <v>300</v>
      </c>
      <c r="E17" s="33" t="s">
        <v>286</v>
      </c>
      <c r="F17" s="33" t="s">
        <v>287</v>
      </c>
      <c r="G17" s="38" t="str">
        <f t="shared" si="0"/>
        <v>2023-11-06 2023-11-13 2023-11-20 2023-11-27</v>
      </c>
    </row>
    <row r="18" ht="22.5" spans="1:7">
      <c r="A18" s="33"/>
      <c r="B18" s="36" t="s">
        <v>289</v>
      </c>
      <c r="C18" s="33" t="s">
        <v>293</v>
      </c>
      <c r="D18" s="33" t="s">
        <v>300</v>
      </c>
      <c r="E18" s="33" t="s">
        <v>286</v>
      </c>
      <c r="F18" s="33" t="s">
        <v>287</v>
      </c>
      <c r="G18" s="38" t="str">
        <f t="shared" si="0"/>
        <v>2023-11-06 2023-11-13 2023-11-20 2023-11-27</v>
      </c>
    </row>
    <row r="19" ht="22.5" spans="1:7">
      <c r="A19" s="33"/>
      <c r="B19" s="36" t="s">
        <v>290</v>
      </c>
      <c r="C19" s="33" t="s">
        <v>293</v>
      </c>
      <c r="D19" s="33" t="s">
        <v>300</v>
      </c>
      <c r="E19" s="33" t="s">
        <v>286</v>
      </c>
      <c r="F19" s="33" t="s">
        <v>287</v>
      </c>
      <c r="G19" s="38" t="str">
        <f t="shared" si="0"/>
        <v>2023-11-06 2023-11-13 2023-11-20 2023-11-27</v>
      </c>
    </row>
    <row r="20" ht="22.5" spans="1:7">
      <c r="A20" s="33"/>
      <c r="B20" s="36" t="s">
        <v>291</v>
      </c>
      <c r="C20" s="33" t="s">
        <v>293</v>
      </c>
      <c r="D20" s="33" t="s">
        <v>300</v>
      </c>
      <c r="E20" s="33" t="s">
        <v>286</v>
      </c>
      <c r="F20" s="33" t="s">
        <v>287</v>
      </c>
      <c r="G20" s="38" t="str">
        <f t="shared" si="0"/>
        <v>2023-11-06 2023-11-13 2023-11-20 2023-11-27</v>
      </c>
    </row>
    <row r="21" ht="20.25" customHeight="1" spans="1:7">
      <c r="A21" s="42" t="s">
        <v>72</v>
      </c>
      <c r="B21" s="42"/>
      <c r="C21" s="42"/>
      <c r="D21" s="42" t="s">
        <v>73</v>
      </c>
      <c r="E21" s="42"/>
      <c r="F21" s="42" t="s">
        <v>302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77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45231</v>
      </c>
      <c r="E26" s="49"/>
      <c r="F26" s="30"/>
    </row>
    <row r="27" ht="18.75" customHeight="1" spans="1:7">
      <c r="A27" s="33" t="s">
        <v>277</v>
      </c>
      <c r="B27" s="33" t="s">
        <v>166</v>
      </c>
      <c r="C27" s="33" t="s">
        <v>278</v>
      </c>
      <c r="D27" s="33" t="s">
        <v>279</v>
      </c>
      <c r="E27" s="33" t="s">
        <v>280</v>
      </c>
      <c r="F27" s="33" t="s">
        <v>281</v>
      </c>
      <c r="G27" s="33" t="s">
        <v>132</v>
      </c>
    </row>
    <row r="28" ht="19.5" customHeight="1" spans="1:7">
      <c r="A28" s="33" t="s">
        <v>303</v>
      </c>
      <c r="B28" s="50" t="s">
        <v>283</v>
      </c>
      <c r="C28" s="50" t="s">
        <v>293</v>
      </c>
      <c r="D28" s="33" t="s">
        <v>285</v>
      </c>
      <c r="E28" s="36" t="s">
        <v>286</v>
      </c>
      <c r="F28" s="33" t="s">
        <v>297</v>
      </c>
      <c r="G28" s="51">
        <v>45245</v>
      </c>
    </row>
    <row r="29" ht="19.5" customHeight="1" spans="1:7">
      <c r="A29" s="33"/>
      <c r="B29" s="50" t="s">
        <v>291</v>
      </c>
      <c r="C29" s="50" t="s">
        <v>293</v>
      </c>
      <c r="D29" s="33" t="s">
        <v>285</v>
      </c>
      <c r="E29" s="36" t="s">
        <v>286</v>
      </c>
      <c r="F29" s="33" t="s">
        <v>297</v>
      </c>
      <c r="G29" s="51">
        <f>G28</f>
        <v>45245</v>
      </c>
    </row>
    <row r="30" ht="19.5" customHeight="1" spans="1:7">
      <c r="A30" s="33" t="s">
        <v>304</v>
      </c>
      <c r="B30" s="50" t="s">
        <v>283</v>
      </c>
      <c r="C30" s="36" t="s">
        <v>295</v>
      </c>
      <c r="D30" s="33" t="s">
        <v>300</v>
      </c>
      <c r="E30" s="36" t="s">
        <v>286</v>
      </c>
      <c r="F30" s="33" t="s">
        <v>297</v>
      </c>
      <c r="G30" s="51">
        <f>G29</f>
        <v>45245</v>
      </c>
    </row>
    <row r="31" ht="19.5" customHeight="1" spans="1:7">
      <c r="A31" s="33"/>
      <c r="B31" s="50" t="s">
        <v>291</v>
      </c>
      <c r="C31" s="36" t="s">
        <v>295</v>
      </c>
      <c r="D31" s="33" t="s">
        <v>300</v>
      </c>
      <c r="E31" s="36" t="s">
        <v>286</v>
      </c>
      <c r="F31" s="33" t="s">
        <v>297</v>
      </c>
      <c r="G31" s="51">
        <f>G30</f>
        <v>45245</v>
      </c>
    </row>
    <row r="32" ht="20.25" customHeight="1" spans="1:7">
      <c r="A32" s="42" t="s">
        <v>72</v>
      </c>
      <c r="B32" s="42"/>
      <c r="C32" s="42"/>
      <c r="D32" s="42" t="s">
        <v>73</v>
      </c>
      <c r="E32" s="42"/>
      <c r="F32" s="42" t="str">
        <f>F21</f>
        <v>制表日期：2023/12/5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K13" sqref="K13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305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306</v>
      </c>
      <c r="B3" s="5"/>
      <c r="C3" s="5"/>
      <c r="D3" s="5"/>
      <c r="E3" s="5" t="s">
        <v>307</v>
      </c>
      <c r="F3" s="5"/>
      <c r="G3" s="5"/>
      <c r="H3" s="5"/>
      <c r="I3" s="3"/>
    </row>
    <row r="4" customHeight="1" spans="1:9">
      <c r="A4" s="5" t="s">
        <v>308</v>
      </c>
      <c r="B4" s="5"/>
      <c r="C4" s="5"/>
      <c r="D4" s="5"/>
      <c r="E4" s="5" t="s">
        <v>309</v>
      </c>
      <c r="F4" s="5"/>
      <c r="G4" s="5" t="s">
        <v>310</v>
      </c>
      <c r="H4" s="5"/>
      <c r="I4" s="25"/>
    </row>
    <row r="5" customHeight="1" spans="1:8">
      <c r="A5" s="5" t="s">
        <v>311</v>
      </c>
      <c r="B5" s="5" t="s">
        <v>312</v>
      </c>
      <c r="C5" s="5" t="s">
        <v>313</v>
      </c>
      <c r="D5" s="5" t="s">
        <v>314</v>
      </c>
      <c r="E5" s="5" t="s">
        <v>311</v>
      </c>
      <c r="F5" s="5" t="s">
        <v>312</v>
      </c>
      <c r="G5" s="5" t="s">
        <v>311</v>
      </c>
      <c r="H5" s="5" t="s">
        <v>314</v>
      </c>
    </row>
    <row r="6" customHeight="1" spans="1:8">
      <c r="A6" s="6" t="s">
        <v>315</v>
      </c>
      <c r="B6" s="7">
        <v>1.01</v>
      </c>
      <c r="C6" s="7">
        <v>8.22</v>
      </c>
      <c r="D6" s="7">
        <v>3.35</v>
      </c>
      <c r="E6" s="6" t="s">
        <v>315</v>
      </c>
      <c r="F6" s="7">
        <v>8.22</v>
      </c>
      <c r="G6" s="6" t="s">
        <v>315</v>
      </c>
      <c r="H6" s="7">
        <v>2.13</v>
      </c>
    </row>
    <row r="7" customHeight="1" spans="1:8">
      <c r="A7" s="6" t="s">
        <v>316</v>
      </c>
      <c r="B7" s="7">
        <v>2.75</v>
      </c>
      <c r="C7" s="7">
        <v>6.61</v>
      </c>
      <c r="D7" s="7">
        <v>2.13</v>
      </c>
      <c r="E7" s="6" t="s">
        <v>316</v>
      </c>
      <c r="F7" s="7">
        <v>7.24</v>
      </c>
      <c r="G7" s="6" t="s">
        <v>317</v>
      </c>
      <c r="H7" s="7">
        <v>2.45</v>
      </c>
    </row>
    <row r="8" customHeight="1" spans="1:8">
      <c r="A8" s="6" t="s">
        <v>317</v>
      </c>
      <c r="B8" s="7">
        <v>5.12</v>
      </c>
      <c r="C8" s="7">
        <v>2.31</v>
      </c>
      <c r="D8" s="7">
        <v>1.38</v>
      </c>
      <c r="E8" s="6" t="s">
        <v>317</v>
      </c>
      <c r="F8" s="7">
        <v>4.32</v>
      </c>
      <c r="G8" s="6" t="s">
        <v>318</v>
      </c>
      <c r="H8" s="7">
        <v>3.53</v>
      </c>
    </row>
    <row r="9" customHeight="1" spans="1:8">
      <c r="A9" s="6" t="s">
        <v>318</v>
      </c>
      <c r="B9" s="7">
        <v>7.68</v>
      </c>
      <c r="C9" s="7">
        <v>1.24</v>
      </c>
      <c r="D9" s="7">
        <v>0.71</v>
      </c>
      <c r="E9" s="6" t="s">
        <v>319</v>
      </c>
      <c r="F9" s="7">
        <v>3.28</v>
      </c>
      <c r="G9" s="6" t="s">
        <v>320</v>
      </c>
      <c r="H9" s="7">
        <v>4.82</v>
      </c>
    </row>
    <row r="10" customHeight="1" spans="1:8">
      <c r="A10" s="8" t="s">
        <v>321</v>
      </c>
      <c r="B10" s="9">
        <v>4528</v>
      </c>
      <c r="C10" s="10"/>
      <c r="D10" s="11"/>
      <c r="E10" s="6" t="s">
        <v>318</v>
      </c>
      <c r="F10" s="7">
        <v>2.42</v>
      </c>
      <c r="G10" s="5" t="s">
        <v>321</v>
      </c>
      <c r="H10" s="12">
        <v>4842</v>
      </c>
    </row>
    <row r="11" customHeight="1" spans="1:8">
      <c r="A11" s="13"/>
      <c r="B11" s="14"/>
      <c r="C11" s="15"/>
      <c r="D11" s="16"/>
      <c r="E11" s="6" t="s">
        <v>320</v>
      </c>
      <c r="F11" s="7">
        <v>1.88</v>
      </c>
      <c r="G11" s="5"/>
      <c r="H11" s="17"/>
    </row>
    <row r="12" customHeight="1" spans="1:8">
      <c r="A12" s="18"/>
      <c r="B12" s="19"/>
      <c r="C12" s="20"/>
      <c r="D12" s="21"/>
      <c r="E12" s="6" t="s">
        <v>321</v>
      </c>
      <c r="F12" s="5">
        <v>4622</v>
      </c>
      <c r="G12" s="5"/>
      <c r="H12" s="22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302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2023-12-11T01:01:22Z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7C87569FB87B4BE6A94CCF53A2E5713B</vt:lpwstr>
  </property>
</Properties>
</file>