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90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<sst xmlns="http://schemas.openxmlformats.org/spreadsheetml/2006/main" count="1023" uniqueCount="324">
  <si>
    <t>常州市深水江边污水处理有限公司污水处理运行月报表</t>
  </si>
  <si>
    <t>2021年 12月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</si>
  <si>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</si>
  <si>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</si>
  <si>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</si>
  <si>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</si>
  <si>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</si>
  <si>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</si>
  <si>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</si>
  <si>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</si>
  <si>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</si>
  <si>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</si>
  <si>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</si>
  <si>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</si>
  <si>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</si>
  <si>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</si>
  <si>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</si>
  <si>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</si>
  <si>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</si>
  <si>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</si>
  <si>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</si>
  <si>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</si>
  <si>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</si>
  <si>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</si>
  <si>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</si>
  <si>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</si>
  <si>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</si>
  <si>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</si>
  <si>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</si>
  <si>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</si>
  <si>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</si>
  <si>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</si>
  <si>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</si>
  <si>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</si>
  <si>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</si>
  <si>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</si>
  <si>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</si>
  <si>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</si>
  <si>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</si>
  <si>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</si>
  <si>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</si>
  <si>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</si>
  <si>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</si>
  <si>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</si>
  <si>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</si>
  <si>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</si>
  <si>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</si>
  <si>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</si>
  <si>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</si>
  <si>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</si>
  <si>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</si>
  <si>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</si>
  <si>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总药剂</t>
  </si>
  <si>
    <t>除磷药剂</t>
  </si>
  <si>
    <t>总泥量</t>
  </si>
  <si>
    <t>英科（吨）</t>
  </si>
  <si>
    <t>国电（吨）</t>
  </si>
  <si>
    <t>外运（吨）</t>
  </si>
  <si>
    <t>雨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</si>
  <si>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</si>
  <si>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</si>
  <si>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</si>
  <si>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</si>
  <si>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</si>
  <si>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</si>
  <si>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</si>
  <si>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</si>
  <si>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</si>
  <si>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</si>
  <si>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</si>
  <si>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</si>
  <si>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</si>
  <si>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</si>
  <si>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</si>
  <si>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</si>
  <si>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</si>
  <si>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</si>
  <si>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</si>
  <si>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</si>
  <si>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</si>
  <si>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</si>
  <si>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</si>
  <si>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</si>
  <si>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</si>
  <si>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</si>
  <si>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</si>
  <si>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</si>
  <si>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</si>
  <si>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</si>
  <si>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</si>
  <si>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</si>
  <si>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</si>
  <si>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</si>
  <si>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</si>
  <si>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</si>
  <si>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</si>
  <si>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</si>
  <si>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</si>
  <si>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</si>
  <si>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</si>
  <si>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</si>
  <si>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</si>
  <si>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</si>
  <si>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</si>
  <si>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</si>
  <si>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</si>
  <si>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</si>
  <si>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</si>
  <si>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</si>
  <si>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</si>
  <si>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</si>
  <si>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</si>
  <si>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</si>
  <si>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</si>
  <si>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</si>
  <si>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</si>
  <si>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</si>
  <si>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</si>
  <si>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</si>
  <si>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</si>
  <si>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</si>
  <si>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</si>
  <si>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</si>
  <si>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</si>
  <si>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</si>
  <si>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</si>
  <si>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</si>
  <si>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</si>
  <si>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</si>
  <si>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</si>
  <si>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</si>
  <si>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</si>
  <si>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</si>
  <si>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4306.68吨，其中运往常州市英科环境科技有限公司831.58吨，国电常州发电有限公司3253.56吨，外运接种221.54吨：天合光能股份有限公司硅片分公司15.00吨、江苏盈天化学有限公司15.00吨、富德（常州）能源化工发展有限公司111.54吨、常州天马集团有限公司(原建材二五三厂)20.00吨、常州东方诺亚印染有限公司60.00吨。
</t>
  </si>
  <si>
    <t>审核：                                               制表：                               制表日期：2022/1/4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</si>
  <si>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</si>
  <si>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</si>
  <si>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</si>
  <si>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</si>
  <si>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</si>
  <si>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</si>
  <si>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</si>
  <si>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</si>
  <si>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</si>
  <si>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</si>
  <si>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</si>
  <si>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</si>
  <si>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</si>
  <si>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</si>
  <si>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</si>
  <si>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制表时间：2022/1/4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</si>
  <si>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</si>
  <si>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</si>
  <si>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</si>
  <si>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</si>
  <si>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</si>
  <si>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</si>
  <si>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</si>
  <si>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</si>
  <si>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</si>
  <si>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</si>
  <si>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</si>
  <si>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</si>
  <si>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</si>
  <si>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</si>
  <si>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</si>
  <si>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</si>
  <si>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</si>
  <si>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</si>
  <si>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</si>
  <si>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</si>
  <si>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</si>
  <si>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</si>
  <si>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</si>
  <si>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</si>
  <si>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</si>
  <si>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</si>
  <si>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</si>
  <si>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</si>
  <si>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</si>
  <si>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</si>
  <si>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</si>
  <si>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17日保养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</si>
  <si>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</si>
  <si>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</si>
  <si>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</si>
  <si>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</si>
  <si>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</si>
  <si>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</si>
  <si>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</si>
  <si>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</si>
  <si>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</si>
  <si>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</si>
  <si>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</si>
  <si>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</si>
  <si>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28日加油保养</t>
  </si>
  <si>
    <t>23日滤网更换、28日加油保养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</si>
  <si>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</si>
  <si>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</si>
  <si>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</si>
  <si>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</si>
  <si>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</si>
  <si>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</si>
  <si>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</si>
  <si>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</si>
  <si>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</si>
  <si>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</si>
  <si>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</si>
  <si>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</si>
  <si>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</si>
  <si>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</si>
  <si>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</si>
  <si>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</si>
  <si>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</si>
  <si>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</si>
  <si>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</si>
  <si>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</si>
  <si>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</si>
  <si>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</si>
  <si>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</si>
  <si>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</si>
  <si>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</si>
  <si>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</si>
  <si>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</si>
  <si>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</si>
  <si>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</si>
  <si>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</si>
  <si>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</si>
  <si>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</si>
  <si>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</si>
  <si>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</si>
  <si>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</si>
  <si>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</si>
  <si>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</si>
  <si>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</si>
  <si>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</si>
  <si>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17日更换断路器</t>
  </si>
  <si>
    <t>一期
厌、缺
、好氧
区搅拌
器</t>
  </si>
  <si>
    <t>二沉池
刮吸泥机</t>
  </si>
  <si>
    <t>剩余
污泥泵</t>
  </si>
  <si>
    <t>外回
流泵</t>
  </si>
  <si>
    <t>3日配合更换管道、伸缩节</t>
  </si>
  <si>
    <t>内回
流泵</t>
  </si>
  <si>
    <t>6日更换断路器一只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</si>
  <si>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</si>
  <si>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</si>
  <si>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</si>
  <si>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</si>
  <si>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</si>
  <si>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</si>
  <si>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</si>
  <si>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13-20日减速机修理</t>
  </si>
  <si>
    <t>高沉池
剩余污泥泵</t>
  </si>
  <si>
    <t>PAC
投加泵</t>
  </si>
  <si>
    <t>PAM
投加泵</t>
  </si>
  <si>
    <t>提标
空压机</t>
  </si>
  <si>
    <t>V型滤池
（南）</t>
  </si>
  <si>
    <t>20日阀门保养</t>
  </si>
  <si>
    <t>V型滤池
（北）</t>
  </si>
  <si>
    <t>20日阀门保养、31日清水阀更换气压调节阀</t>
  </si>
  <si>
    <t>反冲洗泵</t>
  </si>
  <si>
    <t>反冲洗风机</t>
  </si>
  <si>
    <t>二
氧
化
氯
发
生
器
房</t>
  </si>
  <si>
    <t>欧泰华
二氧化氯
发生器</t>
  </si>
  <si>
    <t>20日保养</t>
  </si>
  <si>
    <t>山大华特
二氧化氯
发生器</t>
  </si>
  <si>
    <t>10日更换加热管、20日保养</t>
  </si>
  <si>
    <t>增压水泵</t>
  </si>
  <si>
    <t>20日保养、24日更换备用泵</t>
  </si>
  <si>
    <t>脱
水
机
房</t>
  </si>
  <si>
    <t>浓缩池刮泥机</t>
  </si>
  <si>
    <t>22日加220#机油4KG</t>
  </si>
  <si>
    <t>1日清池</t>
  </si>
  <si>
    <t>进泥泵</t>
  </si>
  <si>
    <t>16日万向节、机封座、定转子拆除</t>
  </si>
  <si>
    <t>脱水离心机</t>
  </si>
  <si>
    <t>30日加油保养</t>
  </si>
  <si>
    <t>29日加油保养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</si>
  <si>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</si>
  <si>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</si>
  <si>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</si>
  <si>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</si>
  <si>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</si>
  <si>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</si>
  <si>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</si>
  <si>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</si>
  <si>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</si>
  <si>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</si>
  <si>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</si>
  <si>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2021-12-01 2021-12-08 2021-12-15 2021-12-22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</si>
  <si>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</si>
  <si>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</si>
  <si>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</si>
  <si>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</si>
  <si>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</si>
  <si>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</si>
  <si>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</si>
  <si>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</si>
  <si>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</si>
  <si>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</si>
  <si>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</si>
  <si>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</si>
  <si>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</si>
  <si>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</si>
  <si>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制表日期：2022/1/4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</si>
  <si>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</si>
  <si>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</si>
  <si>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</si>
  <si>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</si>
  <si>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采样时间：2021-12-20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</si>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</sst>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176" formatCode="0;_ﰀ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;_䠀"/>
    <numFmt numFmtId="178" formatCode="0_);[Red]\(0\)"/>
    <numFmt numFmtId="44" formatCode="_ &quot;￥&quot;* #,##0.00_ ;_ &quot;￥&quot;* \-#,##0.00_ ;_ &quot;￥&quot;* &quot;-&quot;??_ ;_ @_ "/>
    <numFmt numFmtId="179" formatCode="0.0%"/>
    <numFmt numFmtId="41" formatCode="_ * #,##0_ ;_ * \-#,##0_ ;_ * &quot;-&quot;_ ;_ @_ "/>
    <numFmt numFmtId="180" formatCode="0.00_);[Red]\(0.00\)"/>
    <numFmt numFmtId="181" formatCode="0_ "/>
    <numFmt numFmtId="182" formatCode="#,##0.00_ "/>
    <numFmt numFmtId="183" formatCode="yyyy&quot;年&quot;m&quot;月&quot;;@"/>
    <numFmt numFmtId="184" formatCode="0;[Red]0"/>
    <numFmt numFmtId="185" formatCode="0.00;[Red]0.00"/>
    <numFmt numFmtId="186" formatCode="0.0000_);[Red]\(0.0000\)"/>
    <numFmt numFmtId="187" formatCode="0.0_);[Red]\(0.0\)"/>
    <numFmt numFmtId="188" formatCode="0.0_ "/>
    <numFmt numFmtId="189" formatCode="0.0_);\(0.0\)"/>
    <numFmt numFmtId="190" formatCode="0.0;[Red]0.0"/>
    <numFmt numFmtId="191" formatCode="0.00_ "/>
    <numFmt numFmtId="192" formatCode="0.000_ "/>
    <numFmt numFmtId="193" formatCode="0;_鰀"/>
    <numFmt numFmtId="194" formatCode="0.00;_鰀"/>
    <numFmt numFmtId="195" formatCode="0.00;_ﰀ"/>
    <numFmt numFmtId="196" formatCode="0.000_);[Red]\(0.000\)"/>
    <numFmt numFmtId="197" formatCode="0.000;_鰀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6" fillId="20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3" fillId="15" borderId="23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34" fillId="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36" fillId="1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6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36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36" fillId="8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>
      <alignment vertical="top"/>
      <protection locked="0"/>
    </xf>
    <xf numFmtId="0" fontId="36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21" borderId="25" applyNumberFormat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/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8" borderId="0">
      <alignment vertical="top"/>
      <protection locked="0"/>
    </xf>
    <xf numFmtId="0" fontId="34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34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6" fillId="0" borderId="0">
      <alignment vertical="center"/>
    </xf>
    <xf numFmtId="0" fontId="44" fillId="16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41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4" fillId="16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0" fillId="0" borderId="0"/>
    <xf numFmtId="0" fontId="34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20" applyNumberFormat="0" applyFill="0" applyAlignment="0" applyProtection="0">
      <alignment vertical="center"/>
    </xf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4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15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15" borderId="23" applyNumberFormat="0" applyAlignment="0" applyProtection="0">
      <alignment vertical="center"/>
    </xf>
    <xf numFmtId="0" fontId="0" fillId="0" borderId="0"/>
    <xf numFmtId="0" fontId="43" fillId="15" borderId="23" applyNumberFormat="0" applyAlignment="0" applyProtection="0">
      <alignment vertical="center"/>
    </xf>
    <xf numFmtId="0" fontId="0" fillId="0" borderId="0"/>
    <xf numFmtId="0" fontId="0" fillId="0" borderId="0"/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7" fillId="11" borderId="23" applyNumberFormat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46" fillId="21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0" fillId="11" borderId="22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43" fillId="15" borderId="23" applyNumberForma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1" fontId="5" fillId="0" borderId="0" xfId="0" applyNumberFormat="1" applyFont="1"/>
    <xf numFmtId="182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0" applyFont="1" applyAlignment="1">
      <alignment horizontal="center" vertical="center"/>
    </xf>
    <xf numFmtId="0" fontId="7" fillId="0" borderId="0" xfId="490" applyFont="1" applyAlignment="1">
      <alignment horizontal="center" vertical="center"/>
    </xf>
    <xf numFmtId="0" fontId="8" fillId="0" borderId="0" xfId="490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83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8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10" applyNumberFormat="1" applyFont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4" fontId="17" fillId="0" borderId="4" xfId="0" applyNumberFormat="1" applyFont="1" applyBorder="1" applyAlignment="1">
      <alignment vertical="center"/>
    </xf>
    <xf numFmtId="178" fontId="17" fillId="0" borderId="4" xfId="0" applyNumberFormat="1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190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4" fontId="17" fillId="0" borderId="0" xfId="0" applyNumberFormat="1" applyFont="1" applyBorder="1" applyAlignment="1">
      <alignment vertical="center"/>
    </xf>
    <xf numFmtId="184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191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8" fontId="19" fillId="0" borderId="4" xfId="0" applyNumberFormat="1" applyFont="1" applyFill="1" applyBorder="1" applyAlignment="1">
      <alignment horizontal="center" vertical="center"/>
    </xf>
    <xf numFmtId="188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1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1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91" fontId="19" fillId="0" borderId="0" xfId="0" applyNumberFormat="1" applyFont="1" applyFill="1" applyAlignment="1">
      <alignment horizontal="center" vertical="center"/>
    </xf>
    <xf numFmtId="191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1" fontId="19" fillId="0" borderId="11" xfId="0" applyNumberFormat="1" applyFont="1" applyFill="1" applyBorder="1" applyAlignment="1">
      <alignment horizontal="center" vertical="center"/>
    </xf>
    <xf numFmtId="191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5" fontId="1" fillId="0" borderId="1" xfId="1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9" fontId="20" fillId="0" borderId="5" xfId="20" applyNumberFormat="1" applyFont="1" applyFill="1" applyBorder="1" applyAlignment="1">
      <alignment horizontal="center" vertical="center"/>
    </xf>
    <xf numFmtId="192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79" fontId="20" fillId="0" borderId="8" xfId="20" applyNumberFormat="1" applyFont="1" applyFill="1" applyBorder="1" applyAlignment="1">
      <alignment horizontal="center" vertical="center"/>
    </xf>
    <xf numFmtId="191" fontId="20" fillId="0" borderId="8" xfId="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9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4" fontId="0" fillId="0" borderId="0" xfId="0" applyNumberFormat="1"/>
    <xf numFmtId="179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0" applyFont="1" applyAlignment="1">
      <alignment horizontal="center" vertical="center"/>
    </xf>
    <xf numFmtId="57" fontId="9" fillId="0" borderId="11" xfId="490" applyNumberFormat="1" applyFont="1" applyBorder="1" applyAlignment="1">
      <alignment horizontal="center" vertical="center"/>
    </xf>
    <xf numFmtId="0" fontId="9" fillId="0" borderId="1" xfId="490" applyFont="1" applyBorder="1" applyAlignment="1">
      <alignment horizontal="center" vertical="center" wrapText="1"/>
    </xf>
    <xf numFmtId="0" fontId="9" fillId="0" borderId="1" xfId="49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 wrapText="1"/>
    </xf>
    <xf numFmtId="191" fontId="9" fillId="0" borderId="1" xfId="0" applyNumberFormat="1" applyFont="1" applyBorder="1" applyAlignment="1">
      <alignment horizontal="center" vertical="center" wrapText="1"/>
    </xf>
    <xf numFmtId="181" fontId="9" fillId="0" borderId="2" xfId="0" applyNumberFormat="1" applyFont="1" applyBorder="1" applyAlignment="1">
      <alignment horizontal="center" vertical="center" wrapText="1"/>
    </xf>
    <xf numFmtId="0" fontId="9" fillId="0" borderId="6" xfId="490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 wrapText="1"/>
    </xf>
    <xf numFmtId="181" fontId="9" fillId="0" borderId="9" xfId="0" applyNumberFormat="1" applyFont="1" applyBorder="1" applyAlignment="1">
      <alignment horizontal="center" vertical="center" wrapText="1"/>
    </xf>
    <xf numFmtId="188" fontId="9" fillId="0" borderId="9" xfId="0" applyNumberFormat="1" applyFont="1" applyBorder="1" applyAlignment="1">
      <alignment horizontal="center" vertical="center" wrapText="1"/>
    </xf>
    <xf numFmtId="193" fontId="9" fillId="0" borderId="1" xfId="506" applyNumberFormat="1" applyFont="1" applyBorder="1" applyAlignment="1">
      <alignment horizontal="center" vertical="center" wrapText="1"/>
    </xf>
    <xf numFmtId="0" fontId="9" fillId="0" borderId="9" xfId="490" applyFont="1" applyBorder="1" applyAlignment="1">
      <alignment horizontal="center" vertical="center" wrapText="1"/>
    </xf>
    <xf numFmtId="181" fontId="9" fillId="0" borderId="1" xfId="490" applyNumberFormat="1" applyFont="1" applyBorder="1" applyAlignment="1">
      <alignment horizontal="center" vertical="center" wrapText="1"/>
    </xf>
    <xf numFmtId="191" fontId="9" fillId="0" borderId="1" xfId="490" applyNumberFormat="1" applyFont="1" applyBorder="1" applyAlignment="1">
      <alignment horizontal="center" vertical="center" wrapText="1"/>
    </xf>
    <xf numFmtId="0" fontId="9" fillId="0" borderId="1" xfId="490" applyFont="1" applyFill="1" applyBorder="1" applyAlignment="1">
      <alignment horizontal="center" vertical="center" wrapText="1"/>
    </xf>
    <xf numFmtId="188" fontId="9" fillId="0" borderId="1" xfId="490" applyNumberFormat="1" applyFont="1" applyBorder="1" applyAlignment="1">
      <alignment horizontal="center" vertical="center" wrapText="1"/>
    </xf>
    <xf numFmtId="0" fontId="9" fillId="0" borderId="2" xfId="49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0" applyFont="1" applyFill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91" fontId="9" fillId="0" borderId="13" xfId="0" applyNumberFormat="1" applyFont="1" applyBorder="1" applyAlignment="1">
      <alignment horizontal="center" vertical="center" wrapText="1"/>
    </xf>
    <xf numFmtId="191" fontId="9" fillId="0" borderId="14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1" fontId="9" fillId="0" borderId="13" xfId="0" applyNumberFormat="1" applyFont="1" applyBorder="1" applyAlignment="1">
      <alignment horizontal="center" vertical="center" wrapText="1"/>
    </xf>
    <xf numFmtId="181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1" fontId="0" fillId="0" borderId="0" xfId="0" applyNumberFormat="1" applyFont="1"/>
    <xf numFmtId="192" fontId="9" fillId="0" borderId="1" xfId="490" applyNumberFormat="1" applyFont="1" applyBorder="1" applyAlignment="1">
      <alignment horizontal="center" vertical="center" wrapText="1"/>
    </xf>
    <xf numFmtId="191" fontId="9" fillId="0" borderId="2" xfId="49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1" fontId="9" fillId="0" borderId="9" xfId="49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/>
    </xf>
    <xf numFmtId="0" fontId="9" fillId="0" borderId="2" xfId="490" applyFont="1" applyFill="1" applyBorder="1" applyAlignment="1">
      <alignment horizontal="center" vertical="center" wrapText="1"/>
    </xf>
    <xf numFmtId="180" fontId="9" fillId="0" borderId="1" xfId="490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191" fontId="9" fillId="0" borderId="1" xfId="0" applyNumberFormat="1" applyFont="1" applyBorder="1" applyAlignment="1">
      <alignment horizontal="center" vertical="center"/>
    </xf>
    <xf numFmtId="181" fontId="27" fillId="0" borderId="0" xfId="0" applyNumberFormat="1" applyFont="1"/>
    <xf numFmtId="0" fontId="9" fillId="0" borderId="0" xfId="490" applyFont="1" applyFill="1" applyBorder="1" applyAlignment="1">
      <alignment horizontal="center" vertical="center"/>
    </xf>
    <xf numFmtId="0" fontId="9" fillId="0" borderId="13" xfId="49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77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3" fontId="1" fillId="0" borderId="1" xfId="342" applyNumberFormat="1" applyFont="1" applyFill="1" applyBorder="1" applyAlignment="1">
      <alignment horizontal="center" vertical="center" wrapText="1"/>
    </xf>
    <xf numFmtId="194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93" fontId="1" fillId="0" borderId="1" xfId="479" applyNumberFormat="1" applyFont="1" applyFill="1" applyBorder="1" applyAlignment="1">
      <alignment horizontal="center" vertical="center" wrapText="1"/>
    </xf>
    <xf numFmtId="194" fontId="1" fillId="0" borderId="1" xfId="479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81" fontId="12" fillId="0" borderId="1" xfId="342" applyNumberFormat="1" applyFont="1" applyFill="1" applyBorder="1" applyAlignment="1">
      <alignment horizontal="center" vertical="center" wrapText="1"/>
    </xf>
    <xf numFmtId="180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3" fontId="12" fillId="0" borderId="1" xfId="342" applyNumberFormat="1" applyFont="1" applyFill="1" applyBorder="1" applyAlignment="1">
      <alignment horizontal="center" vertical="center" wrapText="1"/>
    </xf>
    <xf numFmtId="193" fontId="12" fillId="0" borderId="1" xfId="506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80" fontId="2" fillId="0" borderId="0" xfId="483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3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86" fontId="2" fillId="0" borderId="0" xfId="483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91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1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191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93" fontId="1" fillId="0" borderId="1" xfId="506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94" fontId="29" fillId="0" borderId="0" xfId="2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7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91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警告文本 2 2" xfId="322"/>
    <cellStyle name="60% - 强调文字颜色 1 5" xfId="323"/>
    <cellStyle name="60% - 强调文字颜色 1 5 2" xfId="324"/>
    <cellStyle name="警告文本 2 6" xfId="325"/>
    <cellStyle name="强调文字颜色 4 4 2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60% - 强调文字颜色 2 4" xfId="337"/>
    <cellStyle name="常规 7" xfId="338"/>
    <cellStyle name="60% - 强调文字颜色 2 4 2" xfId="339"/>
    <cellStyle name="警告文本 3 2" xfId="340"/>
    <cellStyle name="60% - 强调文字颜色 2 5" xfId="341"/>
    <cellStyle name="常规 8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百分比 2 11" xfId="366"/>
    <cellStyle name="强调文字颜色 4 2 5" xfId="367"/>
    <cellStyle name="60% - 强调文字颜色 5 2 4" xfId="368"/>
    <cellStyle name="60% - 强调文字颜色 5 2 5" xfId="369"/>
    <cellStyle name="标题 4 2" xfId="370"/>
    <cellStyle name="汇总 2 2" xfId="371"/>
    <cellStyle name="60% - 强调文字颜色 5 2 6" xfId="372"/>
    <cellStyle name="标题 4 3" xfId="373"/>
    <cellStyle name="60% - 强调文字颜色 5 3 2" xfId="374"/>
    <cellStyle name="60% - 强调文字颜色 5 4" xfId="375"/>
    <cellStyle name="60% - 强调文字颜色 5 5" xfId="376"/>
    <cellStyle name="60% - 强调文字颜色 5 5 2" xfId="377"/>
    <cellStyle name="输入 2 3" xfId="378"/>
    <cellStyle name="好_汇总二 3" xfId="379"/>
    <cellStyle name="60% - 强调文字颜色 6 2" xfId="380"/>
    <cellStyle name="60% - 强调文字颜色 6 2 2" xfId="381"/>
    <cellStyle name="标题 4 2 6" xfId="382"/>
    <cellStyle name="60% - 强调文字颜色 6 2 3" xfId="383"/>
    <cellStyle name="60% - 强调文字颜色 6 4" xfId="384"/>
    <cellStyle name="检查单元格 2 6" xfId="385"/>
    <cellStyle name="60% - 强调文字颜色 6 4 2" xfId="386"/>
    <cellStyle name="60% - 强调文字颜色 6 5" xfId="387"/>
    <cellStyle name="差 4" xfId="388"/>
    <cellStyle name="百分比 2" xfId="389"/>
    <cellStyle name="常规 2 17" xfId="390"/>
    <cellStyle name="百分比 2 11 2" xfId="391"/>
    <cellStyle name="常规 2 19" xfId="392"/>
    <cellStyle name="百分比 2 11 4" xfId="393"/>
    <cellStyle name="标题 1 2" xfId="394"/>
    <cellStyle name="标题 1 2 2" xfId="395"/>
    <cellStyle name="标题 1 2 3" xfId="396"/>
    <cellStyle name="标题 1 2 4" xfId="397"/>
    <cellStyle name="强调文字颜色 2 2 2" xfId="398"/>
    <cellStyle name="标题 1 2 5" xfId="399"/>
    <cellStyle name="标题 1 3" xfId="400"/>
    <cellStyle name="标题 1 3 2" xfId="401"/>
    <cellStyle name="汇总 3" xfId="402"/>
    <cellStyle name="标题 1 4" xfId="403"/>
    <cellStyle name="标题 1 5" xfId="404"/>
    <cellStyle name="标题 2 2" xfId="405"/>
    <cellStyle name="标题 2 2 2" xfId="406"/>
    <cellStyle name="标题 2 2 3" xfId="407"/>
    <cellStyle name="好 3 2" xfId="408"/>
    <cellStyle name="标题 2 3" xfId="409"/>
    <cellStyle name="标题 2 3 2" xfId="410"/>
    <cellStyle name="常规 11" xfId="411"/>
    <cellStyle name="好_处理量" xfId="412"/>
    <cellStyle name="标题 2 4" xfId="413"/>
    <cellStyle name="好_处理量 2" xfId="414"/>
    <cellStyle name="标题 2 4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警告文本 2 3" xfId="427"/>
    <cellStyle name="标题 3 4 2" xfId="428"/>
    <cellStyle name="标题 3 5" xfId="429"/>
    <cellStyle name="标题 3 5 2" xfId="430"/>
    <cellStyle name="常规 9" xfId="431"/>
    <cellStyle name="标题 4 2 2" xfId="432"/>
    <cellStyle name="标题 4 2 4" xfId="433"/>
    <cellStyle name="标题 4 2 5" xfId="434"/>
    <cellStyle name="标题 4 3 2" xfId="435"/>
    <cellStyle name="检查单元格 2 2" xfId="436"/>
    <cellStyle name="标题 4 4 2" xfId="437"/>
    <cellStyle name="标题 5" xfId="438"/>
    <cellStyle name="解释性文本 2 3" xfId="439"/>
    <cellStyle name="强调文字颜色 1 4" xfId="440"/>
    <cellStyle name="标题 5 2" xfId="441"/>
    <cellStyle name="汇总 3 2" xfId="442"/>
    <cellStyle name="强调文字颜色 1 5" xfId="443"/>
    <cellStyle name="标题 5 3" xfId="444"/>
    <cellStyle name="标题 6" xfId="445"/>
    <cellStyle name="解释性文本 2 4" xfId="446"/>
    <cellStyle name="标题 6 2" xfId="447"/>
    <cellStyle name="标题 7" xfId="448"/>
    <cellStyle name="解释性文本 2 5" xfId="449"/>
    <cellStyle name="强调文字颜色 3 4" xfId="450"/>
    <cellStyle name="常规 2 11" xfId="451"/>
    <cellStyle name="标题 7 2" xfId="452"/>
    <cellStyle name="输入 2 6" xfId="453"/>
    <cellStyle name="标题 8" xfId="454"/>
    <cellStyle name="解释性文本 2 6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_汇总二 2" xfId="468"/>
    <cellStyle name="差 5 2" xfId="469"/>
    <cellStyle name="差_处理量" xfId="470"/>
    <cellStyle name="差_汇总二 3" xfId="471"/>
    <cellStyle name="常规 10" xfId="472"/>
    <cellStyle name="常规 12" xfId="473"/>
    <cellStyle name="好 4 2" xfId="474"/>
    <cellStyle name="计算 6 2" xfId="475"/>
    <cellStyle name="适中 3 2" xfId="476"/>
    <cellStyle name="常规 13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强调文字颜色 3 5" xfId="488"/>
    <cellStyle name="常规 2 12" xfId="489"/>
    <cellStyle name="常规_Sheet1" xfId="490"/>
    <cellStyle name="汇总 5 2" xfId="491"/>
    <cellStyle name="常规 2 14" xfId="492"/>
    <cellStyle name="常规 2 15" xfId="493"/>
    <cellStyle name="常规 2 16" xfId="494"/>
    <cellStyle name="常规 2 19 3" xfId="495"/>
    <cellStyle name="强调文字颜色 5 3 2" xfId="496"/>
    <cellStyle name="常规 2 2" xfId="497"/>
    <cellStyle name="常规 2 3" xfId="498"/>
    <cellStyle name="输入 3 2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tabSelected="1" zoomScale="85" zoomScaleNormal="85" topLeftCell="N1" workbookViewId="0">
      <selection activeCell="Y16" sqref="Y16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38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1"/>
      <c r="B4" s="262" t="s">
        <v>30</v>
      </c>
      <c r="C4" s="262" t="s">
        <v>31</v>
      </c>
      <c r="D4" s="262"/>
      <c r="E4" s="262" t="s">
        <v>32</v>
      </c>
      <c r="F4" s="262" t="s">
        <v>33</v>
      </c>
      <c r="G4" s="262" t="s">
        <v>34</v>
      </c>
      <c r="H4" s="262" t="s">
        <v>35</v>
      </c>
      <c r="I4" s="262" t="s">
        <v>36</v>
      </c>
      <c r="J4" s="262" t="s">
        <v>37</v>
      </c>
      <c r="K4" s="262" t="s">
        <v>35</v>
      </c>
      <c r="L4" s="262"/>
      <c r="M4" s="262" t="s">
        <v>35</v>
      </c>
      <c r="N4" s="262" t="s">
        <v>35</v>
      </c>
      <c r="O4" s="262" t="s">
        <v>38</v>
      </c>
      <c r="P4" s="262" t="s">
        <v>39</v>
      </c>
      <c r="Q4" s="262"/>
      <c r="R4" s="262"/>
      <c r="T4" s="57" t="s">
        <v>40</v>
      </c>
      <c r="U4" s="281">
        <f>ROUND(J37*W4,2)</f>
        <v>1018666.06</v>
      </c>
      <c r="V4" s="281"/>
      <c r="W4" s="282">
        <v>0.67645</v>
      </c>
      <c r="X4" s="283">
        <f>J36/R36</f>
        <v>0.3140660024543</v>
      </c>
      <c r="Y4" s="280">
        <v>0.608</v>
      </c>
      <c r="Z4" s="315">
        <v>44565</v>
      </c>
      <c r="AA4" s="316"/>
      <c r="AB4" s="3" t="s">
        <v>41</v>
      </c>
    </row>
    <row r="5" ht="18.6" customHeight="1" spans="1:38">
      <c r="A5" s="6">
        <v>1</v>
      </c>
      <c r="B5" s="263">
        <v>22.6</v>
      </c>
      <c r="C5" s="264" t="s">
        <v>42</v>
      </c>
      <c r="D5" s="265">
        <v>187715</v>
      </c>
      <c r="E5" s="266">
        <v>91.24</v>
      </c>
      <c r="F5" s="266">
        <v>0</v>
      </c>
      <c r="G5" s="266">
        <v>0</v>
      </c>
      <c r="H5" s="267">
        <v>175</v>
      </c>
      <c r="I5" s="6">
        <v>4916</v>
      </c>
      <c r="J5" s="273">
        <v>54000.0000000146</v>
      </c>
      <c r="K5" s="274">
        <v>6948</v>
      </c>
      <c r="L5" s="274">
        <v>36</v>
      </c>
      <c r="M5" s="274">
        <v>3621</v>
      </c>
      <c r="N5" s="274">
        <v>1248</v>
      </c>
      <c r="O5" s="275">
        <v>4.02</v>
      </c>
      <c r="P5" s="275">
        <v>0</v>
      </c>
      <c r="Q5" s="284">
        <v>5611</v>
      </c>
      <c r="R5" s="285">
        <f>D5-Q5</f>
        <v>182104</v>
      </c>
      <c r="S5" s="286"/>
      <c r="T5" s="287" t="s">
        <v>43</v>
      </c>
      <c r="U5" s="288">
        <f>H37*W5/1000</f>
        <v>126180</v>
      </c>
      <c r="V5" s="281"/>
      <c r="W5" s="289">
        <v>28040</v>
      </c>
      <c r="X5" s="281">
        <f>H36/R36*1000</f>
        <v>0.938506548273022</v>
      </c>
      <c r="Y5" s="280">
        <v>28150</v>
      </c>
      <c r="Z5" s="317">
        <v>44287</v>
      </c>
      <c r="AB5" s="318">
        <f>E5+F5+G5</f>
        <v>91.24</v>
      </c>
      <c r="AD5" s="3">
        <f>$W$9*K5/1000/R5</f>
        <v>0.0132775996134077</v>
      </c>
      <c r="AE5" s="3">
        <f>$W$5*H5/1000/R5</f>
        <v>0.0269461406668717</v>
      </c>
      <c r="AF5" s="3">
        <f>$W$6*L5/1000/R5</f>
        <v>0.00205596801827527</v>
      </c>
      <c r="AG5" s="3">
        <f>$W$7*M5/1000/R5</f>
        <v>0.00855022404779686</v>
      </c>
      <c r="AH5" s="3">
        <f>$W$8*N5/1000/R5</f>
        <v>0.0615282695602513</v>
      </c>
      <c r="AI5" s="3">
        <f>AD5+AE5+AF5+AG5+AH5</f>
        <v>0.112358201906603</v>
      </c>
      <c r="AK5" s="3">
        <f>AB5*(100-进出水!T7)/100</f>
        <v>20.0728</v>
      </c>
      <c r="AL5" s="3">
        <f>H5/AK5</f>
        <v>8.71826551353075</v>
      </c>
    </row>
    <row r="6" ht="18.6" customHeight="1" spans="1:38">
      <c r="A6" s="6">
        <v>2</v>
      </c>
      <c r="B6" s="263">
        <v>22.4</v>
      </c>
      <c r="C6" s="264" t="s">
        <v>42</v>
      </c>
      <c r="D6" s="265">
        <v>188715</v>
      </c>
      <c r="E6" s="266">
        <v>156.62</v>
      </c>
      <c r="F6" s="266">
        <v>0</v>
      </c>
      <c r="G6" s="266">
        <v>0</v>
      </c>
      <c r="H6" s="267">
        <v>175</v>
      </c>
      <c r="I6" s="6">
        <v>5288</v>
      </c>
      <c r="J6" s="273">
        <v>53800.0000000102</v>
      </c>
      <c r="K6" s="274">
        <v>6780</v>
      </c>
      <c r="L6" s="274">
        <v>41</v>
      </c>
      <c r="M6" s="274">
        <v>3550</v>
      </c>
      <c r="N6" s="274">
        <v>1152</v>
      </c>
      <c r="O6" s="275">
        <v>3.6</v>
      </c>
      <c r="P6" s="275">
        <v>0</v>
      </c>
      <c r="Q6" s="284">
        <v>5564</v>
      </c>
      <c r="R6" s="285">
        <f t="shared" ref="R6:R36" si="0">D6-Q6</f>
        <v>183151</v>
      </c>
      <c r="S6" s="286"/>
      <c r="T6" s="287" t="s">
        <v>44</v>
      </c>
      <c r="U6" s="288">
        <f>L37*W6/1000</f>
        <v>7238.4</v>
      </c>
      <c r="V6" s="281">
        <f>U5+U6</f>
        <v>133418.4</v>
      </c>
      <c r="W6" s="57">
        <v>10400</v>
      </c>
      <c r="X6" s="281">
        <f>L36/R36*1000</f>
        <v>0.145155679466227</v>
      </c>
      <c r="Y6" s="280">
        <v>5784.76</v>
      </c>
      <c r="Z6" s="317">
        <v>44256</v>
      </c>
      <c r="AB6" s="318">
        <f t="shared" ref="AB6:AB35" si="1">E6+F6+G6</f>
        <v>156.62</v>
      </c>
      <c r="AD6" s="3">
        <f t="shared" ref="AD6:AD35" si="2">$W$9*K6/1000/R6</f>
        <v>0.0128824849441172</v>
      </c>
      <c r="AE6" s="3">
        <f t="shared" ref="AE6:AE35" si="3">$W$5*H6/1000/R6</f>
        <v>0.0267921005072317</v>
      </c>
      <c r="AF6" s="3">
        <f t="shared" ref="AF6:AF35" si="4">$W$6*L6/1000/R6</f>
        <v>0.00232813361652407</v>
      </c>
      <c r="AG6" s="3">
        <f t="shared" ref="AG6:AG35" si="5">$W$7*M6/1000/R6</f>
        <v>0.00833465282744839</v>
      </c>
      <c r="AH6" s="3">
        <f t="shared" ref="AH6:AH35" si="6">$W$8*N6/1000/R6</f>
        <v>0.0564706499009014</v>
      </c>
      <c r="AI6" s="3">
        <f t="shared" ref="AI6:AI35" si="7">AD6+AE6+AF6+AG6+AH6</f>
        <v>0.106808021796223</v>
      </c>
      <c r="AK6" s="3">
        <f>AB6*(100-进出水!T8)/100</f>
        <v>35.2395</v>
      </c>
      <c r="AL6" s="3">
        <f t="shared" ref="AL6:AL35" si="8">H6/AK6</f>
        <v>4.9660182465699</v>
      </c>
    </row>
    <row r="7" ht="18.6" customHeight="1" spans="1:38">
      <c r="A7" s="6">
        <v>3</v>
      </c>
      <c r="B7" s="263">
        <v>23</v>
      </c>
      <c r="C7" s="264" t="s">
        <v>42</v>
      </c>
      <c r="D7" s="265">
        <v>125466</v>
      </c>
      <c r="E7" s="266">
        <v>194.16</v>
      </c>
      <c r="F7" s="266">
        <v>19.4</v>
      </c>
      <c r="G7" s="266">
        <v>0</v>
      </c>
      <c r="H7" s="267">
        <v>200</v>
      </c>
      <c r="I7" s="6">
        <v>5100</v>
      </c>
      <c r="J7" s="273">
        <v>44399.9999999869</v>
      </c>
      <c r="K7" s="274">
        <v>6204</v>
      </c>
      <c r="L7" s="274">
        <v>37</v>
      </c>
      <c r="M7" s="274">
        <v>2982</v>
      </c>
      <c r="N7" s="274">
        <v>1008</v>
      </c>
      <c r="O7" s="275">
        <v>3.5</v>
      </c>
      <c r="P7" s="275">
        <v>0</v>
      </c>
      <c r="Q7" s="284">
        <v>5508</v>
      </c>
      <c r="R7" s="285">
        <f t="shared" si="0"/>
        <v>119958</v>
      </c>
      <c r="S7" s="286"/>
      <c r="T7" s="287" t="s">
        <v>45</v>
      </c>
      <c r="U7" s="288">
        <f>M37*W7/1000</f>
        <v>43749.49</v>
      </c>
      <c r="V7" s="281"/>
      <c r="W7" s="57">
        <v>430</v>
      </c>
      <c r="X7" s="281">
        <f>M36/R36*1000</f>
        <v>21.2192159424316</v>
      </c>
      <c r="Y7" s="280">
        <v>182</v>
      </c>
      <c r="Z7" s="317">
        <v>44228</v>
      </c>
      <c r="AB7" s="318">
        <f t="shared" si="1"/>
        <v>213.56</v>
      </c>
      <c r="AD7" s="3">
        <f t="shared" si="2"/>
        <v>0.0179978992647427</v>
      </c>
      <c r="AE7" s="3">
        <f t="shared" si="3"/>
        <v>0.0467496957268377</v>
      </c>
      <c r="AF7" s="3">
        <f t="shared" si="4"/>
        <v>0.0032077893929542</v>
      </c>
      <c r="AG7" s="3">
        <f t="shared" si="5"/>
        <v>0.0106892412344321</v>
      </c>
      <c r="AH7" s="3">
        <f t="shared" si="6"/>
        <v>0.0754416045615966</v>
      </c>
      <c r="AI7" s="3">
        <f t="shared" si="7"/>
        <v>0.154086230180563</v>
      </c>
      <c r="AK7" s="3">
        <f>AB7*(100-进出水!T9)/100</f>
        <v>47.41032</v>
      </c>
      <c r="AL7" s="3">
        <f t="shared" si="8"/>
        <v>4.21849082646985</v>
      </c>
    </row>
    <row r="8" ht="18.6" customHeight="1" spans="1:38">
      <c r="A8" s="6">
        <v>4</v>
      </c>
      <c r="B8" s="263">
        <v>23.2</v>
      </c>
      <c r="C8" s="264" t="s">
        <v>42</v>
      </c>
      <c r="D8" s="265">
        <v>189096</v>
      </c>
      <c r="E8" s="266">
        <v>178.48</v>
      </c>
      <c r="F8" s="266">
        <v>0</v>
      </c>
      <c r="G8" s="266">
        <v>0</v>
      </c>
      <c r="H8" s="267">
        <v>150</v>
      </c>
      <c r="I8" s="6">
        <v>5522</v>
      </c>
      <c r="J8" s="273">
        <v>54199.9999999825</v>
      </c>
      <c r="K8" s="274">
        <v>6096</v>
      </c>
      <c r="L8" s="274">
        <v>37</v>
      </c>
      <c r="M8" s="274">
        <v>4970</v>
      </c>
      <c r="N8" s="274">
        <v>1728</v>
      </c>
      <c r="O8" s="275">
        <v>2.59</v>
      </c>
      <c r="P8" s="275">
        <v>0</v>
      </c>
      <c r="Q8" s="284">
        <v>5677</v>
      </c>
      <c r="R8" s="285">
        <f t="shared" si="0"/>
        <v>183419</v>
      </c>
      <c r="S8" s="286"/>
      <c r="T8" s="287" t="s">
        <v>46</v>
      </c>
      <c r="U8" s="288">
        <f>N37*W8/1000</f>
        <v>317605.728</v>
      </c>
      <c r="V8" s="281">
        <f>U7+U8</f>
        <v>361355.218</v>
      </c>
      <c r="W8" s="57">
        <v>8978</v>
      </c>
      <c r="X8" s="281">
        <f>N36/R36*1000</f>
        <v>7.37791281149032</v>
      </c>
      <c r="Y8" s="57">
        <v>6443</v>
      </c>
      <c r="Z8" s="317">
        <v>44565</v>
      </c>
      <c r="AB8" s="318">
        <f t="shared" si="1"/>
        <v>178.48</v>
      </c>
      <c r="AD8" s="3">
        <f t="shared" si="2"/>
        <v>0.0115659119284262</v>
      </c>
      <c r="AE8" s="3">
        <f t="shared" si="3"/>
        <v>0.022931103102732</v>
      </c>
      <c r="AF8" s="3">
        <f t="shared" si="4"/>
        <v>0.00209792878600363</v>
      </c>
      <c r="AG8" s="3">
        <f t="shared" si="5"/>
        <v>0.0116514646792317</v>
      </c>
      <c r="AH8" s="3">
        <f t="shared" si="6"/>
        <v>0.0845822079501033</v>
      </c>
      <c r="AI8" s="3">
        <f t="shared" si="7"/>
        <v>0.132828616446497</v>
      </c>
      <c r="AK8" s="3">
        <f>AB8*(100-进出水!T10)/100</f>
        <v>40.33648</v>
      </c>
      <c r="AL8" s="3">
        <f t="shared" si="8"/>
        <v>3.71871814298124</v>
      </c>
    </row>
    <row r="9" ht="18.6" customHeight="1" spans="1:38">
      <c r="A9" s="6">
        <v>5</v>
      </c>
      <c r="B9" s="263">
        <v>21.6</v>
      </c>
      <c r="C9" s="264" t="s">
        <v>42</v>
      </c>
      <c r="D9" s="265">
        <v>185698</v>
      </c>
      <c r="E9" s="266">
        <v>145.5</v>
      </c>
      <c r="F9" s="266">
        <v>0</v>
      </c>
      <c r="G9" s="266">
        <v>0</v>
      </c>
      <c r="H9" s="267">
        <v>100</v>
      </c>
      <c r="I9" s="6">
        <v>5172</v>
      </c>
      <c r="J9" s="276">
        <v>55200.0000000044</v>
      </c>
      <c r="K9" s="274">
        <v>10812</v>
      </c>
      <c r="L9" s="274">
        <v>34</v>
      </c>
      <c r="M9" s="274">
        <v>3408</v>
      </c>
      <c r="N9" s="274">
        <v>1128</v>
      </c>
      <c r="O9" s="275">
        <v>2.92</v>
      </c>
      <c r="P9" s="275">
        <v>0</v>
      </c>
      <c r="Q9" s="284">
        <v>5549</v>
      </c>
      <c r="R9" s="285">
        <f t="shared" si="0"/>
        <v>180149</v>
      </c>
      <c r="S9" s="286"/>
      <c r="T9" s="287" t="s">
        <v>47</v>
      </c>
      <c r="U9" s="288">
        <f>K37*W9/1000</f>
        <v>51778.224</v>
      </c>
      <c r="V9" s="281"/>
      <c r="W9" s="57">
        <v>348</v>
      </c>
      <c r="X9" s="281">
        <f>K36/R36*1000</f>
        <v>31.0307805120992</v>
      </c>
      <c r="Y9" s="280">
        <v>370</v>
      </c>
      <c r="Z9" s="317">
        <v>44228</v>
      </c>
      <c r="AB9" s="318">
        <f t="shared" si="1"/>
        <v>145.5</v>
      </c>
      <c r="AD9" s="3">
        <f t="shared" si="2"/>
        <v>0.0208859111069171</v>
      </c>
      <c r="AE9" s="3">
        <f t="shared" si="3"/>
        <v>0.015564893504821</v>
      </c>
      <c r="AF9" s="3">
        <f t="shared" si="4"/>
        <v>0.00196281966594319</v>
      </c>
      <c r="AG9" s="3">
        <f t="shared" si="5"/>
        <v>0.00813459969247678</v>
      </c>
      <c r="AH9" s="3">
        <f t="shared" si="6"/>
        <v>0.0562155993094605</v>
      </c>
      <c r="AI9" s="3">
        <f t="shared" si="7"/>
        <v>0.102763823279619</v>
      </c>
      <c r="AK9" s="3">
        <f>AB9*(100-进出水!T11)/100</f>
        <v>32.301</v>
      </c>
      <c r="AL9" s="3">
        <f t="shared" si="8"/>
        <v>3.09587938453918</v>
      </c>
    </row>
    <row r="10" ht="18.6" customHeight="1" spans="1:38">
      <c r="A10" s="6">
        <v>6</v>
      </c>
      <c r="B10" s="263">
        <v>22.4</v>
      </c>
      <c r="C10" s="264" t="s">
        <v>42</v>
      </c>
      <c r="D10" s="265">
        <v>189333</v>
      </c>
      <c r="E10" s="266">
        <v>106.58</v>
      </c>
      <c r="F10" s="266">
        <v>0</v>
      </c>
      <c r="G10" s="266">
        <v>0</v>
      </c>
      <c r="H10" s="267">
        <v>150</v>
      </c>
      <c r="I10" s="6">
        <v>5118</v>
      </c>
      <c r="J10" s="273">
        <v>53400.0000000015</v>
      </c>
      <c r="K10" s="274">
        <v>0</v>
      </c>
      <c r="L10" s="274">
        <v>0</v>
      </c>
      <c r="M10" s="274">
        <v>4331</v>
      </c>
      <c r="N10" s="274">
        <v>1440</v>
      </c>
      <c r="O10" s="275">
        <v>2.89</v>
      </c>
      <c r="P10" s="275">
        <v>0</v>
      </c>
      <c r="Q10" s="284">
        <v>5613</v>
      </c>
      <c r="R10" s="285">
        <f t="shared" si="0"/>
        <v>183720</v>
      </c>
      <c r="S10" s="286"/>
      <c r="T10" s="287" t="s">
        <v>48</v>
      </c>
      <c r="U10" s="288">
        <f>T18</f>
        <v>93141.19</v>
      </c>
      <c r="V10" s="281" t="s">
        <v>49</v>
      </c>
      <c r="W10" s="290"/>
      <c r="X10" s="290"/>
      <c r="Y10" s="319"/>
      <c r="Z10" s="319"/>
      <c r="AB10" s="318">
        <f t="shared" si="1"/>
        <v>106.58</v>
      </c>
      <c r="AD10" s="3">
        <f t="shared" si="2"/>
        <v>0</v>
      </c>
      <c r="AE10" s="3">
        <f t="shared" si="3"/>
        <v>0.022893533638145</v>
      </c>
      <c r="AF10" s="3">
        <f t="shared" si="4"/>
        <v>0</v>
      </c>
      <c r="AG10" s="3">
        <f t="shared" si="5"/>
        <v>0.0101367842368822</v>
      </c>
      <c r="AH10" s="3">
        <f t="shared" si="6"/>
        <v>0.0703696930111039</v>
      </c>
      <c r="AI10" s="3">
        <f t="shared" si="7"/>
        <v>0.103400010886131</v>
      </c>
      <c r="AK10" s="3">
        <f>AB10*(100-进出水!T12)/100</f>
        <v>23.55418</v>
      </c>
      <c r="AL10" s="3">
        <f t="shared" si="8"/>
        <v>6.36829641278109</v>
      </c>
    </row>
    <row r="11" ht="18.6" customHeight="1" spans="1:38">
      <c r="A11" s="6">
        <v>7</v>
      </c>
      <c r="B11" s="263">
        <v>21.1</v>
      </c>
      <c r="C11" s="264" t="s">
        <v>42</v>
      </c>
      <c r="D11" s="265">
        <v>188970</v>
      </c>
      <c r="E11" s="266">
        <v>143.56</v>
      </c>
      <c r="F11" s="266">
        <v>0</v>
      </c>
      <c r="G11" s="266">
        <v>0</v>
      </c>
      <c r="H11" s="267">
        <v>225</v>
      </c>
      <c r="I11" s="13">
        <v>4996</v>
      </c>
      <c r="J11" s="276">
        <v>52500</v>
      </c>
      <c r="K11" s="274">
        <v>0</v>
      </c>
      <c r="L11" s="274">
        <v>0</v>
      </c>
      <c r="M11" s="274">
        <v>4260</v>
      </c>
      <c r="N11" s="274">
        <v>1488</v>
      </c>
      <c r="O11" s="275">
        <v>3.24</v>
      </c>
      <c r="P11" s="275">
        <v>0</v>
      </c>
      <c r="Q11" s="284">
        <v>5581</v>
      </c>
      <c r="R11" s="285">
        <f t="shared" si="0"/>
        <v>183389</v>
      </c>
      <c r="S11" s="286"/>
      <c r="T11" s="287" t="s">
        <v>50</v>
      </c>
      <c r="U11" s="288">
        <f>汇总!J5*4.21</f>
        <v>21668.87</v>
      </c>
      <c r="V11" s="281"/>
      <c r="W11" s="57">
        <v>4.21</v>
      </c>
      <c r="X11" s="57"/>
      <c r="Y11" s="57"/>
      <c r="Z11" s="280"/>
      <c r="AB11" s="318">
        <f t="shared" si="1"/>
        <v>143.56</v>
      </c>
      <c r="AD11" s="3">
        <f t="shared" si="2"/>
        <v>0</v>
      </c>
      <c r="AE11" s="3">
        <f t="shared" si="3"/>
        <v>0.0344022814890751</v>
      </c>
      <c r="AF11" s="3">
        <f t="shared" si="4"/>
        <v>0</v>
      </c>
      <c r="AG11" s="3">
        <f t="shared" si="5"/>
        <v>0.00998860346040384</v>
      </c>
      <c r="AH11" s="3">
        <f t="shared" si="6"/>
        <v>0.0728465938524121</v>
      </c>
      <c r="AI11" s="3">
        <f t="shared" si="7"/>
        <v>0.117237478801891</v>
      </c>
      <c r="AK11" s="3">
        <f>AB11*(100-进出水!T13)/100</f>
        <v>32.01388</v>
      </c>
      <c r="AL11" s="3">
        <f t="shared" si="8"/>
        <v>7.02820151759175</v>
      </c>
    </row>
    <row r="12" ht="18.6" customHeight="1" spans="1:38">
      <c r="A12" s="6">
        <v>8</v>
      </c>
      <c r="B12" s="263">
        <v>21.5</v>
      </c>
      <c r="C12" s="264" t="s">
        <v>42</v>
      </c>
      <c r="D12" s="267">
        <v>174610</v>
      </c>
      <c r="E12" s="266">
        <v>217.74</v>
      </c>
      <c r="F12" s="266">
        <v>0</v>
      </c>
      <c r="G12" s="266">
        <v>0</v>
      </c>
      <c r="H12" s="267">
        <v>200</v>
      </c>
      <c r="I12" s="6">
        <v>3924</v>
      </c>
      <c r="J12" s="273">
        <v>51500.0000000146</v>
      </c>
      <c r="K12" s="274">
        <v>0</v>
      </c>
      <c r="L12" s="274">
        <v>0</v>
      </c>
      <c r="M12" s="274">
        <v>3905</v>
      </c>
      <c r="N12" s="274">
        <v>1344</v>
      </c>
      <c r="O12" s="275">
        <v>3.34</v>
      </c>
      <c r="P12" s="275">
        <v>0</v>
      </c>
      <c r="Q12" s="284">
        <v>5577</v>
      </c>
      <c r="R12" s="285">
        <f t="shared" si="0"/>
        <v>169033</v>
      </c>
      <c r="S12" s="286"/>
      <c r="T12" s="291"/>
      <c r="U12" s="292"/>
      <c r="V12" s="290"/>
      <c r="W12" s="290"/>
      <c r="X12" s="290"/>
      <c r="AB12" s="318">
        <f t="shared" si="1"/>
        <v>217.74</v>
      </c>
      <c r="AD12" s="3">
        <f t="shared" si="2"/>
        <v>0</v>
      </c>
      <c r="AE12" s="3">
        <f t="shared" si="3"/>
        <v>0.0331769536126082</v>
      </c>
      <c r="AF12" s="3">
        <f t="shared" si="4"/>
        <v>0</v>
      </c>
      <c r="AG12" s="3">
        <f t="shared" si="5"/>
        <v>0.0099338590689392</v>
      </c>
      <c r="AH12" s="3">
        <f t="shared" si="6"/>
        <v>0.0713850668212716</v>
      </c>
      <c r="AI12" s="3">
        <f t="shared" si="7"/>
        <v>0.114495879502819</v>
      </c>
      <c r="AK12" s="3">
        <f>AB12*(100-进出水!T14)/100</f>
        <v>48.55602</v>
      </c>
      <c r="AL12" s="3">
        <f t="shared" si="8"/>
        <v>4.11895373632353</v>
      </c>
    </row>
    <row r="13" ht="18.6" customHeight="1" spans="1:38">
      <c r="A13" s="6">
        <v>9</v>
      </c>
      <c r="B13" s="263">
        <v>20.5</v>
      </c>
      <c r="C13" s="264" t="s">
        <v>51</v>
      </c>
      <c r="D13" s="265">
        <v>192036</v>
      </c>
      <c r="E13" s="266">
        <v>176.98</v>
      </c>
      <c r="F13" s="266">
        <v>0</v>
      </c>
      <c r="G13" s="266">
        <v>37.92</v>
      </c>
      <c r="H13" s="267">
        <v>200</v>
      </c>
      <c r="I13" s="6">
        <v>4656</v>
      </c>
      <c r="J13" s="273">
        <v>53099.9999999767</v>
      </c>
      <c r="K13" s="274">
        <v>4332</v>
      </c>
      <c r="L13" s="274">
        <v>29</v>
      </c>
      <c r="M13" s="274">
        <v>3905</v>
      </c>
      <c r="N13" s="274">
        <v>1344</v>
      </c>
      <c r="O13" s="275">
        <v>3.21</v>
      </c>
      <c r="P13" s="275">
        <v>0</v>
      </c>
      <c r="Q13" s="284">
        <v>5588</v>
      </c>
      <c r="R13" s="285">
        <f t="shared" si="0"/>
        <v>186448</v>
      </c>
      <c r="S13" s="286"/>
      <c r="T13" s="287"/>
      <c r="U13" s="293">
        <f>U14/R37</f>
        <v>0.113987218375041</v>
      </c>
      <c r="V13" s="57"/>
      <c r="W13" s="57"/>
      <c r="X13" s="290"/>
      <c r="AB13" s="318">
        <f t="shared" si="1"/>
        <v>214.9</v>
      </c>
      <c r="AD13" s="3">
        <f t="shared" si="2"/>
        <v>0.00808555736720158</v>
      </c>
      <c r="AE13" s="3">
        <f t="shared" si="3"/>
        <v>0.0300780914785892</v>
      </c>
      <c r="AF13" s="3">
        <f t="shared" si="4"/>
        <v>0.00161760919934781</v>
      </c>
      <c r="AG13" s="3">
        <f t="shared" si="5"/>
        <v>0.0090059963099631</v>
      </c>
      <c r="AH13" s="3">
        <f t="shared" si="6"/>
        <v>0.064717411825281</v>
      </c>
      <c r="AI13" s="3">
        <f t="shared" si="7"/>
        <v>0.113504666180383</v>
      </c>
      <c r="AK13" s="3">
        <f>AB13*(100-进出水!T15)/100</f>
        <v>47.9227</v>
      </c>
      <c r="AL13" s="3">
        <f t="shared" si="8"/>
        <v>4.17338755954902</v>
      </c>
    </row>
    <row r="14" ht="18.6" customHeight="1" spans="1:38">
      <c r="A14" s="6">
        <v>10</v>
      </c>
      <c r="B14" s="263">
        <v>21.2</v>
      </c>
      <c r="C14" s="264" t="s">
        <v>42</v>
      </c>
      <c r="D14" s="265">
        <v>172989</v>
      </c>
      <c r="E14" s="266">
        <v>122.62</v>
      </c>
      <c r="F14" s="266">
        <v>0</v>
      </c>
      <c r="G14" s="266">
        <v>56.88</v>
      </c>
      <c r="H14" s="267">
        <v>175</v>
      </c>
      <c r="I14" s="6">
        <v>4962</v>
      </c>
      <c r="J14" s="273">
        <v>50600.0000000131</v>
      </c>
      <c r="K14" s="274">
        <v>6264</v>
      </c>
      <c r="L14" s="274">
        <v>43</v>
      </c>
      <c r="M14" s="274">
        <v>2343</v>
      </c>
      <c r="N14" s="274">
        <v>840</v>
      </c>
      <c r="O14" s="275">
        <v>3.15</v>
      </c>
      <c r="P14" s="275">
        <v>0</v>
      </c>
      <c r="Q14" s="284">
        <v>5545</v>
      </c>
      <c r="R14" s="285">
        <f t="shared" si="0"/>
        <v>167444</v>
      </c>
      <c r="S14" s="286"/>
      <c r="T14" s="294" t="s">
        <v>52</v>
      </c>
      <c r="U14" s="295">
        <f>U5+U6+U7+U8+U9</f>
        <v>546551.842</v>
      </c>
      <c r="V14" s="296" t="s">
        <v>53</v>
      </c>
      <c r="W14" s="297">
        <f>U6+U9</f>
        <v>59016.624</v>
      </c>
      <c r="X14" s="290"/>
      <c r="AB14" s="318">
        <f t="shared" si="1"/>
        <v>179.5</v>
      </c>
      <c r="AD14" s="3">
        <f t="shared" si="2"/>
        <v>0.0130185136523256</v>
      </c>
      <c r="AE14" s="3">
        <f t="shared" si="3"/>
        <v>0.0293053199875779</v>
      </c>
      <c r="AF14" s="3">
        <f t="shared" si="4"/>
        <v>0.0026707436516089</v>
      </c>
      <c r="AG14" s="3">
        <f t="shared" si="5"/>
        <v>0.00601687728434581</v>
      </c>
      <c r="AH14" s="3">
        <f t="shared" si="6"/>
        <v>0.045039057834261</v>
      </c>
      <c r="AI14" s="3">
        <f t="shared" si="7"/>
        <v>0.0960505124101192</v>
      </c>
      <c r="AK14" s="3">
        <f>AB14*(100-进出水!T16)/100</f>
        <v>40.567</v>
      </c>
      <c r="AL14" s="3">
        <f t="shared" si="8"/>
        <v>4.3138511598097</v>
      </c>
    </row>
    <row r="15" ht="18.6" customHeight="1" spans="1:38">
      <c r="A15" s="6">
        <v>11</v>
      </c>
      <c r="B15" s="263">
        <v>21</v>
      </c>
      <c r="C15" s="264" t="s">
        <v>42</v>
      </c>
      <c r="D15" s="265">
        <v>161629</v>
      </c>
      <c r="E15" s="266">
        <v>199.36</v>
      </c>
      <c r="F15" s="266">
        <v>0</v>
      </c>
      <c r="G15" s="266">
        <v>18.34</v>
      </c>
      <c r="H15" s="267">
        <v>175</v>
      </c>
      <c r="I15" s="6">
        <v>4276</v>
      </c>
      <c r="J15" s="276">
        <v>49799.9999999956</v>
      </c>
      <c r="K15" s="274">
        <v>5004</v>
      </c>
      <c r="L15" s="274">
        <v>38</v>
      </c>
      <c r="M15" s="274">
        <v>2272</v>
      </c>
      <c r="N15" s="274">
        <v>816</v>
      </c>
      <c r="O15" s="275">
        <v>3.22</v>
      </c>
      <c r="P15" s="275">
        <v>0</v>
      </c>
      <c r="Q15" s="284">
        <v>5477</v>
      </c>
      <c r="R15" s="285">
        <f t="shared" si="0"/>
        <v>156152</v>
      </c>
      <c r="S15" s="286"/>
      <c r="T15" s="294" t="s">
        <v>54</v>
      </c>
      <c r="U15" s="298" t="s">
        <v>55</v>
      </c>
      <c r="V15" s="298" t="s">
        <v>56</v>
      </c>
      <c r="W15" s="299" t="s">
        <v>57</v>
      </c>
      <c r="X15" s="290"/>
      <c r="AB15" s="318">
        <f t="shared" si="1"/>
        <v>217.7</v>
      </c>
      <c r="AD15" s="3">
        <f t="shared" si="2"/>
        <v>0.0111519032737333</v>
      </c>
      <c r="AE15" s="3">
        <f t="shared" si="3"/>
        <v>0.0314245094523285</v>
      </c>
      <c r="AF15" s="3">
        <f t="shared" si="4"/>
        <v>0.0025308673600082</v>
      </c>
      <c r="AG15" s="3">
        <f t="shared" si="5"/>
        <v>0.0062564680567652</v>
      </c>
      <c r="AH15" s="3">
        <f t="shared" si="6"/>
        <v>0.0469161329986167</v>
      </c>
      <c r="AI15" s="3">
        <f t="shared" si="7"/>
        <v>0.0982798811414519</v>
      </c>
      <c r="AK15" s="3">
        <f>AB15*(100-进出水!T17)/100</f>
        <v>49.6356</v>
      </c>
      <c r="AL15" s="3">
        <f t="shared" si="8"/>
        <v>3.52569526710667</v>
      </c>
    </row>
    <row r="16" ht="18.6" customHeight="1" spans="1:38">
      <c r="A16" s="6">
        <v>12</v>
      </c>
      <c r="B16" s="263">
        <v>20.5</v>
      </c>
      <c r="C16" s="264" t="s">
        <v>58</v>
      </c>
      <c r="D16" s="265">
        <v>164341</v>
      </c>
      <c r="E16" s="266">
        <v>0</v>
      </c>
      <c r="F16" s="266">
        <v>140.08</v>
      </c>
      <c r="G16" s="266">
        <v>18.4</v>
      </c>
      <c r="H16" s="267">
        <v>175</v>
      </c>
      <c r="I16" s="6">
        <v>4512</v>
      </c>
      <c r="J16" s="277">
        <v>49200.0000000189</v>
      </c>
      <c r="K16" s="274">
        <v>6336</v>
      </c>
      <c r="L16" s="274">
        <v>54</v>
      </c>
      <c r="M16" s="274">
        <v>3053</v>
      </c>
      <c r="N16" s="274">
        <v>1056</v>
      </c>
      <c r="O16" s="275">
        <v>3.12</v>
      </c>
      <c r="P16" s="275">
        <v>0</v>
      </c>
      <c r="Q16" s="284">
        <v>5718</v>
      </c>
      <c r="R16" s="285">
        <f t="shared" si="0"/>
        <v>158623</v>
      </c>
      <c r="S16" s="286"/>
      <c r="T16" s="300">
        <f>U16+V16+W16</f>
        <v>4306.68</v>
      </c>
      <c r="U16" s="297">
        <f>F37</f>
        <v>831.58</v>
      </c>
      <c r="V16" s="297">
        <f>E37</f>
        <v>3253.56</v>
      </c>
      <c r="W16" s="297">
        <f>G37</f>
        <v>221.54</v>
      </c>
      <c r="X16" s="290"/>
      <c r="Y16" s="256"/>
      <c r="AB16" s="318">
        <f t="shared" si="1"/>
        <v>158.48</v>
      </c>
      <c r="AD16" s="3">
        <f t="shared" si="2"/>
        <v>0.013900430580685</v>
      </c>
      <c r="AE16" s="3">
        <f t="shared" si="3"/>
        <v>0.0309349842078387</v>
      </c>
      <c r="AF16" s="3">
        <f t="shared" si="4"/>
        <v>0.00354047017141272</v>
      </c>
      <c r="AG16" s="3">
        <f t="shared" si="5"/>
        <v>0.0082761642384774</v>
      </c>
      <c r="AH16" s="3">
        <f t="shared" si="6"/>
        <v>0.0597691885792098</v>
      </c>
      <c r="AI16" s="3">
        <f t="shared" si="7"/>
        <v>0.116421237777624</v>
      </c>
      <c r="AK16" s="3">
        <f>AB16*(100-进出水!T18)/100</f>
        <v>35.658</v>
      </c>
      <c r="AL16" s="3">
        <f t="shared" si="8"/>
        <v>4.90773458971339</v>
      </c>
    </row>
    <row r="17" ht="18.6" customHeight="1" spans="1:38">
      <c r="A17" s="6">
        <v>13</v>
      </c>
      <c r="B17" s="263">
        <v>23.2</v>
      </c>
      <c r="C17" s="264" t="s">
        <v>42</v>
      </c>
      <c r="D17" s="265">
        <v>156527</v>
      </c>
      <c r="E17" s="266">
        <v>174.26</v>
      </c>
      <c r="F17" s="266">
        <v>0</v>
      </c>
      <c r="G17" s="266">
        <v>0</v>
      </c>
      <c r="H17" s="267">
        <v>200</v>
      </c>
      <c r="I17" s="6">
        <v>4954</v>
      </c>
      <c r="J17" s="277">
        <v>47799.9999999884</v>
      </c>
      <c r="K17" s="274">
        <v>6420</v>
      </c>
      <c r="L17" s="274">
        <v>55</v>
      </c>
      <c r="M17" s="274">
        <v>4615</v>
      </c>
      <c r="N17" s="274">
        <v>1584</v>
      </c>
      <c r="O17" s="275">
        <v>2.98</v>
      </c>
      <c r="P17" s="275">
        <v>0</v>
      </c>
      <c r="Q17" s="284">
        <v>5596</v>
      </c>
      <c r="R17" s="285">
        <f t="shared" si="0"/>
        <v>150931</v>
      </c>
      <c r="S17" s="286"/>
      <c r="T17" s="294" t="s">
        <v>59</v>
      </c>
      <c r="U17" s="301">
        <v>22.8</v>
      </c>
      <c r="V17" s="301">
        <v>22.8</v>
      </c>
      <c r="W17" s="296"/>
      <c r="X17" s="290"/>
      <c r="AB17" s="318">
        <f t="shared" si="1"/>
        <v>174.26</v>
      </c>
      <c r="AD17" s="3">
        <f t="shared" si="2"/>
        <v>0.0148025256574196</v>
      </c>
      <c r="AE17" s="3">
        <f t="shared" si="3"/>
        <v>0.0371560514407246</v>
      </c>
      <c r="AF17" s="3">
        <f t="shared" si="4"/>
        <v>0.00378981123824794</v>
      </c>
      <c r="AG17" s="3">
        <f t="shared" si="5"/>
        <v>0.0131480610345125</v>
      </c>
      <c r="AH17" s="3">
        <f t="shared" si="6"/>
        <v>0.0942228700532031</v>
      </c>
      <c r="AI17" s="3">
        <f t="shared" si="7"/>
        <v>0.163119319424108</v>
      </c>
      <c r="AK17" s="3">
        <f>AB17*(100-进出水!T19)/100</f>
        <v>38.3372</v>
      </c>
      <c r="AL17" s="3">
        <f t="shared" si="8"/>
        <v>5.21686508143526</v>
      </c>
    </row>
    <row r="18" ht="18.6" customHeight="1" spans="1:38">
      <c r="A18" s="6">
        <v>14</v>
      </c>
      <c r="B18" s="263">
        <v>21.2</v>
      </c>
      <c r="C18" s="264" t="s">
        <v>42</v>
      </c>
      <c r="D18" s="265">
        <v>144161</v>
      </c>
      <c r="E18" s="266">
        <v>209.78</v>
      </c>
      <c r="F18" s="266">
        <v>0</v>
      </c>
      <c r="G18" s="266">
        <v>0</v>
      </c>
      <c r="H18" s="267">
        <v>175</v>
      </c>
      <c r="I18" s="6">
        <v>4326</v>
      </c>
      <c r="J18" s="277">
        <v>44399.9999999869</v>
      </c>
      <c r="K18" s="274">
        <v>1092</v>
      </c>
      <c r="L18" s="274">
        <v>8</v>
      </c>
      <c r="M18" s="274">
        <v>3195</v>
      </c>
      <c r="N18" s="274">
        <v>1104</v>
      </c>
      <c r="O18" s="275">
        <v>3.35</v>
      </c>
      <c r="P18" s="275">
        <v>0</v>
      </c>
      <c r="Q18" s="284">
        <v>5547</v>
      </c>
      <c r="R18" s="285">
        <f t="shared" si="0"/>
        <v>138614</v>
      </c>
      <c r="S18" s="286"/>
      <c r="T18" s="300">
        <f>U18+V18</f>
        <v>93141.19</v>
      </c>
      <c r="U18" s="302">
        <f>ROUND(U16*U17,2)</f>
        <v>18960.02</v>
      </c>
      <c r="V18" s="299">
        <f>ROUND(V16*V17,2)</f>
        <v>74181.17</v>
      </c>
      <c r="W18" s="296"/>
      <c r="X18" s="290"/>
      <c r="AB18" s="318">
        <f t="shared" si="1"/>
        <v>209.78</v>
      </c>
      <c r="AD18" s="3">
        <f t="shared" si="2"/>
        <v>0.00274154125845874</v>
      </c>
      <c r="AE18" s="3">
        <f t="shared" si="3"/>
        <v>0.0354004645995354</v>
      </c>
      <c r="AF18" s="3">
        <f t="shared" si="4"/>
        <v>0.0006002279712006</v>
      </c>
      <c r="AG18" s="3">
        <f t="shared" si="5"/>
        <v>0.00991133651723491</v>
      </c>
      <c r="AH18" s="3">
        <f t="shared" si="6"/>
        <v>0.0715058507798635</v>
      </c>
      <c r="AI18" s="3">
        <f t="shared" si="7"/>
        <v>0.120159421126293</v>
      </c>
      <c r="AK18" s="3">
        <f>AB18*(100-进出水!T20)/100</f>
        <v>46.99072</v>
      </c>
      <c r="AL18" s="3">
        <f t="shared" si="8"/>
        <v>3.72413957479264</v>
      </c>
    </row>
    <row r="19" ht="18.6" customHeight="1" spans="1:38">
      <c r="A19" s="6">
        <v>15</v>
      </c>
      <c r="B19" s="263">
        <v>20.5</v>
      </c>
      <c r="C19" s="264" t="s">
        <v>51</v>
      </c>
      <c r="D19" s="265">
        <v>158758</v>
      </c>
      <c r="E19" s="266">
        <v>161.72</v>
      </c>
      <c r="F19" s="266">
        <v>0</v>
      </c>
      <c r="G19" s="266">
        <v>0</v>
      </c>
      <c r="H19" s="267">
        <v>200</v>
      </c>
      <c r="I19" s="6">
        <v>4720</v>
      </c>
      <c r="J19" s="277">
        <v>47600.0000000204</v>
      </c>
      <c r="K19" s="274">
        <v>3048</v>
      </c>
      <c r="L19" s="274">
        <v>25</v>
      </c>
      <c r="M19" s="274">
        <v>3053</v>
      </c>
      <c r="N19" s="274">
        <v>1080</v>
      </c>
      <c r="O19" s="275">
        <v>3.45</v>
      </c>
      <c r="P19" s="275">
        <v>0</v>
      </c>
      <c r="Q19" s="284">
        <v>5579</v>
      </c>
      <c r="R19" s="285">
        <f t="shared" si="0"/>
        <v>153179</v>
      </c>
      <c r="S19" s="286"/>
      <c r="T19" s="294" t="s">
        <v>60</v>
      </c>
      <c r="U19" s="298"/>
      <c r="V19" s="301">
        <v>0</v>
      </c>
      <c r="W19" s="296"/>
      <c r="X19" s="290"/>
      <c r="AB19" s="318">
        <f t="shared" si="1"/>
        <v>161.72</v>
      </c>
      <c r="AD19" s="3">
        <f t="shared" si="2"/>
        <v>0.00692460454762076</v>
      </c>
      <c r="AE19" s="3">
        <f t="shared" si="3"/>
        <v>0.036610762571893</v>
      </c>
      <c r="AF19" s="3">
        <f t="shared" si="4"/>
        <v>0.00169736060426038</v>
      </c>
      <c r="AG19" s="3">
        <f t="shared" si="5"/>
        <v>0.00857030010641145</v>
      </c>
      <c r="AH19" s="3">
        <f t="shared" si="6"/>
        <v>0.0633000607132831</v>
      </c>
      <c r="AI19" s="3">
        <f t="shared" si="7"/>
        <v>0.117103088543469</v>
      </c>
      <c r="AK19" s="3">
        <f>AB19*(100-进出水!T21)/100</f>
        <v>35.74012</v>
      </c>
      <c r="AL19" s="3">
        <f t="shared" si="8"/>
        <v>5.59595211208021</v>
      </c>
    </row>
    <row r="20" ht="18.6" customHeight="1" spans="1:38">
      <c r="A20" s="6">
        <v>16</v>
      </c>
      <c r="B20" s="263">
        <v>20.8</v>
      </c>
      <c r="C20" s="264" t="s">
        <v>51</v>
      </c>
      <c r="D20" s="265">
        <v>140286</v>
      </c>
      <c r="E20" s="266">
        <v>85.72</v>
      </c>
      <c r="F20" s="266">
        <v>105.4</v>
      </c>
      <c r="G20" s="266">
        <v>0</v>
      </c>
      <c r="H20" s="267">
        <v>175</v>
      </c>
      <c r="I20" s="6">
        <v>4418</v>
      </c>
      <c r="J20" s="277">
        <v>45499.9999999927</v>
      </c>
      <c r="K20" s="274">
        <v>6048</v>
      </c>
      <c r="L20" s="274">
        <v>55</v>
      </c>
      <c r="M20" s="274">
        <v>3479</v>
      </c>
      <c r="N20" s="274">
        <v>1200</v>
      </c>
      <c r="O20" s="275">
        <v>3.54</v>
      </c>
      <c r="P20" s="275">
        <v>0</v>
      </c>
      <c r="Q20" s="284">
        <v>5562</v>
      </c>
      <c r="R20" s="285">
        <f t="shared" si="0"/>
        <v>134724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191.12</v>
      </c>
      <c r="AD20" s="3">
        <f t="shared" si="2"/>
        <v>0.0156223390041863</v>
      </c>
      <c r="AE20" s="3">
        <f t="shared" si="3"/>
        <v>0.036422612155221</v>
      </c>
      <c r="AF20" s="3">
        <f t="shared" si="4"/>
        <v>0.00424571716991776</v>
      </c>
      <c r="AG20" s="3">
        <f t="shared" si="5"/>
        <v>0.0111039606900033</v>
      </c>
      <c r="AH20" s="3">
        <f t="shared" si="6"/>
        <v>0.0799679344437517</v>
      </c>
      <c r="AI20" s="3">
        <f t="shared" si="7"/>
        <v>0.14736256346308</v>
      </c>
      <c r="AK20" s="3">
        <f>AB20*(100-进出水!T22)/100</f>
        <v>43.38424</v>
      </c>
      <c r="AL20" s="3">
        <f t="shared" si="8"/>
        <v>4.03372284497781</v>
      </c>
    </row>
    <row r="21" ht="18.6" customHeight="1" spans="1:38">
      <c r="A21" s="6">
        <v>17</v>
      </c>
      <c r="B21" s="263">
        <v>22.1</v>
      </c>
      <c r="C21" s="264" t="s">
        <v>42</v>
      </c>
      <c r="D21" s="265">
        <v>161859</v>
      </c>
      <c r="E21" s="266">
        <v>192.4</v>
      </c>
      <c r="F21" s="266">
        <v>0</v>
      </c>
      <c r="G21" s="266">
        <v>0</v>
      </c>
      <c r="H21" s="267">
        <v>175</v>
      </c>
      <c r="I21" s="6">
        <v>4596</v>
      </c>
      <c r="J21" s="277">
        <v>49399.9999999869</v>
      </c>
      <c r="K21" s="274">
        <v>5784</v>
      </c>
      <c r="L21" s="274">
        <v>10</v>
      </c>
      <c r="M21" s="274">
        <v>2698</v>
      </c>
      <c r="N21" s="274">
        <v>960</v>
      </c>
      <c r="O21" s="275">
        <v>3.62</v>
      </c>
      <c r="P21" s="275">
        <v>0</v>
      </c>
      <c r="Q21" s="284">
        <v>5562</v>
      </c>
      <c r="R21" s="285">
        <f t="shared" si="0"/>
        <v>156297</v>
      </c>
      <c r="S21" s="286"/>
      <c r="T21" s="294" t="s">
        <v>61</v>
      </c>
      <c r="U21" s="303" t="s">
        <v>62</v>
      </c>
      <c r="V21" s="282">
        <f>V17+V19</f>
        <v>22.8</v>
      </c>
      <c r="W21" s="57" t="s">
        <v>63</v>
      </c>
      <c r="X21" s="290"/>
      <c r="AB21" s="318">
        <f t="shared" si="1"/>
        <v>192.4</v>
      </c>
      <c r="AD21" s="3">
        <f t="shared" si="2"/>
        <v>0.0128782510220926</v>
      </c>
      <c r="AE21" s="3">
        <f t="shared" si="3"/>
        <v>0.0313953562768319</v>
      </c>
      <c r="AF21" s="3">
        <f t="shared" si="4"/>
        <v>0.000665399847725804</v>
      </c>
      <c r="AG21" s="3">
        <f t="shared" si="5"/>
        <v>0.00742266326289052</v>
      </c>
      <c r="AH21" s="3">
        <f t="shared" si="6"/>
        <v>0.0551442446112209</v>
      </c>
      <c r="AI21" s="3">
        <f t="shared" si="7"/>
        <v>0.107505915020762</v>
      </c>
      <c r="AK21" s="3">
        <f>AB21*(100-进出水!T23)/100</f>
        <v>43.0976</v>
      </c>
      <c r="AL21" s="3">
        <f t="shared" si="8"/>
        <v>4.06055093555093</v>
      </c>
    </row>
    <row r="22" ht="18.6" customHeight="1" spans="1:38">
      <c r="A22" s="6">
        <v>18</v>
      </c>
      <c r="B22" s="263">
        <v>22.1</v>
      </c>
      <c r="C22" s="264" t="s">
        <v>42</v>
      </c>
      <c r="D22" s="265">
        <v>147016</v>
      </c>
      <c r="E22" s="266">
        <v>153.88</v>
      </c>
      <c r="F22" s="266">
        <v>0</v>
      </c>
      <c r="G22" s="266">
        <v>0</v>
      </c>
      <c r="H22" s="267">
        <v>175</v>
      </c>
      <c r="I22" s="6">
        <v>4112</v>
      </c>
      <c r="J22" s="64">
        <v>46500.0000000146</v>
      </c>
      <c r="K22" s="274">
        <v>8712</v>
      </c>
      <c r="L22" s="274">
        <v>77</v>
      </c>
      <c r="M22" s="274">
        <v>1846</v>
      </c>
      <c r="N22" s="274">
        <v>672</v>
      </c>
      <c r="O22" s="275">
        <v>3.68</v>
      </c>
      <c r="P22" s="275">
        <v>0</v>
      </c>
      <c r="Q22" s="284">
        <v>5575</v>
      </c>
      <c r="R22" s="285">
        <f t="shared" si="0"/>
        <v>141441</v>
      </c>
      <c r="S22" s="286"/>
      <c r="T22" s="300">
        <f>T18+T20</f>
        <v>93141.19</v>
      </c>
      <c r="U22" s="303"/>
      <c r="V22" s="57"/>
      <c r="W22" s="304">
        <f>T16-E37-F37-G37</f>
        <v>0</v>
      </c>
      <c r="X22" s="290"/>
      <c r="AB22" s="318">
        <f t="shared" si="1"/>
        <v>153.88</v>
      </c>
      <c r="AD22" s="3">
        <f t="shared" si="2"/>
        <v>0.021434916325535</v>
      </c>
      <c r="AE22" s="3">
        <f t="shared" si="3"/>
        <v>0.0346929108250083</v>
      </c>
      <c r="AF22" s="3">
        <f t="shared" si="4"/>
        <v>0.00566172467672033</v>
      </c>
      <c r="AG22" s="3">
        <f t="shared" si="5"/>
        <v>0.00561209267468414</v>
      </c>
      <c r="AH22" s="3">
        <f t="shared" si="6"/>
        <v>0.0426553545294504</v>
      </c>
      <c r="AI22" s="3">
        <f t="shared" si="7"/>
        <v>0.110056999031398</v>
      </c>
      <c r="AK22" s="3">
        <f>AB22*(100-进出水!T24)/100</f>
        <v>33.69972</v>
      </c>
      <c r="AL22" s="3">
        <f t="shared" si="8"/>
        <v>5.19292148421411</v>
      </c>
    </row>
    <row r="23" ht="18.6" customHeight="1" spans="1:38">
      <c r="A23" s="6">
        <v>19</v>
      </c>
      <c r="B23" s="263">
        <v>21.9</v>
      </c>
      <c r="C23" s="264" t="s">
        <v>42</v>
      </c>
      <c r="D23" s="265">
        <v>151275</v>
      </c>
      <c r="E23" s="266">
        <v>211.64</v>
      </c>
      <c r="F23" s="266">
        <v>0</v>
      </c>
      <c r="G23" s="266">
        <v>0</v>
      </c>
      <c r="H23" s="267">
        <v>175</v>
      </c>
      <c r="I23" s="6">
        <v>4542</v>
      </c>
      <c r="J23" s="64">
        <v>46599.9999999985</v>
      </c>
      <c r="K23" s="274">
        <v>7788</v>
      </c>
      <c r="L23" s="274">
        <v>25</v>
      </c>
      <c r="M23" s="274">
        <v>2840</v>
      </c>
      <c r="N23" s="274">
        <v>1032</v>
      </c>
      <c r="O23" s="275">
        <v>3.71</v>
      </c>
      <c r="P23" s="275">
        <v>0</v>
      </c>
      <c r="Q23" s="284">
        <v>5577</v>
      </c>
      <c r="R23" s="285">
        <f t="shared" si="0"/>
        <v>145698</v>
      </c>
      <c r="S23" s="286"/>
      <c r="T23" s="287"/>
      <c r="U23" s="305"/>
      <c r="V23" s="57"/>
      <c r="W23" s="57"/>
      <c r="X23" s="57"/>
      <c r="AB23" s="318">
        <f t="shared" si="1"/>
        <v>211.64</v>
      </c>
      <c r="AD23" s="3">
        <f t="shared" si="2"/>
        <v>0.0186016554791418</v>
      </c>
      <c r="AE23" s="3">
        <f t="shared" si="3"/>
        <v>0.033679254348035</v>
      </c>
      <c r="AF23" s="3">
        <f t="shared" si="4"/>
        <v>0.0017845131710799</v>
      </c>
      <c r="AG23" s="3">
        <f t="shared" si="5"/>
        <v>0.00838172109431838</v>
      </c>
      <c r="AH23" s="3">
        <f t="shared" si="6"/>
        <v>0.0635924720998229</v>
      </c>
      <c r="AI23" s="3">
        <f t="shared" si="7"/>
        <v>0.126039616192398</v>
      </c>
      <c r="AK23" s="3">
        <f>AB23*(100-进出水!T25)/100</f>
        <v>45.71424</v>
      </c>
      <c r="AL23" s="3">
        <f t="shared" si="8"/>
        <v>3.82812882812883</v>
      </c>
    </row>
    <row r="24" ht="18.6" customHeight="1" spans="1:38">
      <c r="A24" s="6">
        <v>20</v>
      </c>
      <c r="B24" s="263">
        <v>22</v>
      </c>
      <c r="C24" s="264" t="s">
        <v>42</v>
      </c>
      <c r="D24" s="265">
        <v>139042</v>
      </c>
      <c r="E24" s="266">
        <v>175.6</v>
      </c>
      <c r="F24" s="266">
        <v>0</v>
      </c>
      <c r="G24" s="266">
        <v>0</v>
      </c>
      <c r="H24" s="267">
        <v>175</v>
      </c>
      <c r="I24" s="6">
        <v>4410</v>
      </c>
      <c r="J24" s="64">
        <v>47299.9999999956</v>
      </c>
      <c r="K24" s="274">
        <v>12600</v>
      </c>
      <c r="L24" s="274">
        <v>42</v>
      </c>
      <c r="M24" s="274">
        <v>4189</v>
      </c>
      <c r="N24" s="274">
        <v>1440</v>
      </c>
      <c r="O24" s="275">
        <v>3.85</v>
      </c>
      <c r="P24" s="275">
        <v>0</v>
      </c>
      <c r="Q24" s="284">
        <v>5561</v>
      </c>
      <c r="R24" s="285">
        <f t="shared" si="0"/>
        <v>133481</v>
      </c>
      <c r="S24" s="286"/>
      <c r="T24" s="287" t="s">
        <v>64</v>
      </c>
      <c r="U24" s="305" t="s">
        <v>65</v>
      </c>
      <c r="V24" s="306">
        <f>H37</f>
        <v>4500</v>
      </c>
      <c r="W24" s="57">
        <f>L37</f>
        <v>696</v>
      </c>
      <c r="X24" s="57"/>
      <c r="AB24" s="318">
        <f t="shared" si="1"/>
        <v>175.6</v>
      </c>
      <c r="AD24" s="3">
        <f t="shared" si="2"/>
        <v>0.0328496190469056</v>
      </c>
      <c r="AE24" s="3">
        <f t="shared" si="3"/>
        <v>0.0367617863216488</v>
      </c>
      <c r="AF24" s="3">
        <f t="shared" si="4"/>
        <v>0.00327237584375304</v>
      </c>
      <c r="AG24" s="3">
        <f t="shared" si="5"/>
        <v>0.0134945797529236</v>
      </c>
      <c r="AH24" s="3">
        <f t="shared" si="6"/>
        <v>0.0968551329402687</v>
      </c>
      <c r="AI24" s="3">
        <f t="shared" si="7"/>
        <v>0.1832334939055</v>
      </c>
      <c r="AK24" s="3">
        <f>AB24*(100-进出水!T26)/100</f>
        <v>38.9832</v>
      </c>
      <c r="AL24" s="3">
        <f t="shared" si="8"/>
        <v>4.48911325904492</v>
      </c>
    </row>
    <row r="25" ht="18.6" customHeight="1" spans="1:38">
      <c r="A25" s="6">
        <v>21</v>
      </c>
      <c r="B25" s="263">
        <v>21.8</v>
      </c>
      <c r="C25" s="264" t="s">
        <v>42</v>
      </c>
      <c r="D25" s="265">
        <v>131241</v>
      </c>
      <c r="E25" s="266">
        <v>86.7</v>
      </c>
      <c r="F25" s="266">
        <v>69.08</v>
      </c>
      <c r="G25" s="266">
        <v>0</v>
      </c>
      <c r="H25" s="267">
        <v>125</v>
      </c>
      <c r="I25" s="6">
        <v>4506</v>
      </c>
      <c r="J25" s="277">
        <v>40900.0000000015</v>
      </c>
      <c r="K25" s="274">
        <v>2796</v>
      </c>
      <c r="L25" s="274">
        <v>9</v>
      </c>
      <c r="M25" s="274">
        <v>3905</v>
      </c>
      <c r="N25" s="274">
        <v>1392</v>
      </c>
      <c r="O25" s="275">
        <v>3.88</v>
      </c>
      <c r="P25" s="275">
        <v>0</v>
      </c>
      <c r="Q25" s="284">
        <v>5583</v>
      </c>
      <c r="R25" s="285">
        <f t="shared" si="0"/>
        <v>125658</v>
      </c>
      <c r="S25" s="286"/>
      <c r="T25" s="287"/>
      <c r="U25" s="305" t="s">
        <v>66</v>
      </c>
      <c r="V25" s="281">
        <f>汇总!F6</f>
        <v>4.69191021965985</v>
      </c>
      <c r="W25" s="281">
        <f>W24/R37*1000</f>
        <v>0.145155679466228</v>
      </c>
      <c r="X25" s="57"/>
      <c r="AB25" s="318">
        <f t="shared" si="1"/>
        <v>155.78</v>
      </c>
      <c r="AD25" s="3">
        <f t="shared" si="2"/>
        <v>0.00774330325168314</v>
      </c>
      <c r="AE25" s="3">
        <f t="shared" si="3"/>
        <v>0.0278931703512709</v>
      </c>
      <c r="AF25" s="3">
        <f t="shared" si="4"/>
        <v>0.00074487895716946</v>
      </c>
      <c r="AG25" s="3">
        <f t="shared" si="5"/>
        <v>0.0133628579159305</v>
      </c>
      <c r="AH25" s="3">
        <f t="shared" si="6"/>
        <v>0.0994554743828487</v>
      </c>
      <c r="AI25" s="3">
        <f t="shared" si="7"/>
        <v>0.149199684858903</v>
      </c>
      <c r="AK25" s="3">
        <f>AB25*(100-进出水!T27)/100</f>
        <v>34.89472</v>
      </c>
      <c r="AL25" s="3">
        <f t="shared" si="8"/>
        <v>3.58220384058104</v>
      </c>
    </row>
    <row r="26" ht="18.6" customHeight="1" spans="1:38">
      <c r="A26" s="6">
        <v>22</v>
      </c>
      <c r="B26" s="263">
        <v>21.6</v>
      </c>
      <c r="C26" s="264" t="s">
        <v>42</v>
      </c>
      <c r="D26" s="265">
        <v>136991</v>
      </c>
      <c r="E26" s="266">
        <v>0</v>
      </c>
      <c r="F26" s="266">
        <v>86.58</v>
      </c>
      <c r="G26" s="266">
        <v>0</v>
      </c>
      <c r="H26" s="267">
        <v>0</v>
      </c>
      <c r="I26" s="6">
        <v>4816</v>
      </c>
      <c r="J26" s="64">
        <v>42799.9999999884</v>
      </c>
      <c r="K26" s="274">
        <v>15324</v>
      </c>
      <c r="L26" s="274">
        <v>41</v>
      </c>
      <c r="M26" s="274">
        <v>3053</v>
      </c>
      <c r="N26" s="274">
        <v>1080</v>
      </c>
      <c r="O26" s="275">
        <v>4.12</v>
      </c>
      <c r="P26" s="275">
        <v>0</v>
      </c>
      <c r="Q26" s="284">
        <v>5546</v>
      </c>
      <c r="R26" s="285">
        <f t="shared" si="0"/>
        <v>131445</v>
      </c>
      <c r="S26" s="286"/>
      <c r="T26" s="287" t="s">
        <v>10</v>
      </c>
      <c r="U26" s="305" t="s">
        <v>65</v>
      </c>
      <c r="V26" s="306">
        <f>K37</f>
        <v>148788</v>
      </c>
      <c r="W26" s="57"/>
      <c r="X26" s="57"/>
      <c r="AB26" s="318">
        <f t="shared" si="1"/>
        <v>86.58</v>
      </c>
      <c r="AD26" s="3">
        <f t="shared" si="2"/>
        <v>0.0405702156795618</v>
      </c>
      <c r="AE26" s="3">
        <f t="shared" si="3"/>
        <v>0</v>
      </c>
      <c r="AF26" s="3">
        <f t="shared" si="4"/>
        <v>0.00324394233329529</v>
      </c>
      <c r="AG26" s="3">
        <f t="shared" si="5"/>
        <v>0.00998737114382441</v>
      </c>
      <c r="AH26" s="3">
        <f t="shared" si="6"/>
        <v>0.0737665183156453</v>
      </c>
      <c r="AI26" s="3">
        <f t="shared" si="7"/>
        <v>0.127568047472327</v>
      </c>
      <c r="AK26" s="3">
        <f>AB26*(100-进出水!T28)/100</f>
        <v>19.56708</v>
      </c>
      <c r="AL26" s="3">
        <f t="shared" si="8"/>
        <v>0</v>
      </c>
    </row>
    <row r="27" ht="18.6" customHeight="1" spans="1:38">
      <c r="A27" s="6">
        <v>23</v>
      </c>
      <c r="B27" s="263">
        <v>21</v>
      </c>
      <c r="C27" s="264" t="s">
        <v>42</v>
      </c>
      <c r="D27" s="265">
        <v>155044</v>
      </c>
      <c r="E27" s="266">
        <v>0</v>
      </c>
      <c r="F27" s="266">
        <v>0</v>
      </c>
      <c r="G27" s="266">
        <v>0</v>
      </c>
      <c r="H27" s="267">
        <v>0</v>
      </c>
      <c r="I27" s="6">
        <v>4594</v>
      </c>
      <c r="J27" s="64">
        <v>44900.000000016</v>
      </c>
      <c r="K27" s="274">
        <v>6228</v>
      </c>
      <c r="L27" s="274">
        <v>0</v>
      </c>
      <c r="M27" s="274">
        <v>2982</v>
      </c>
      <c r="N27" s="274">
        <v>1032</v>
      </c>
      <c r="O27" s="275">
        <v>4.31</v>
      </c>
      <c r="P27" s="275">
        <v>0</v>
      </c>
      <c r="Q27" s="284">
        <v>5460</v>
      </c>
      <c r="R27" s="285">
        <f t="shared" si="0"/>
        <v>149584</v>
      </c>
      <c r="S27" s="286"/>
      <c r="T27" s="287"/>
      <c r="U27" s="305" t="s">
        <v>67</v>
      </c>
      <c r="V27" s="304">
        <f>ROUND(K37/R37*1000,1)</f>
        <v>31</v>
      </c>
      <c r="W27" s="57"/>
      <c r="X27" s="57"/>
      <c r="AB27" s="318">
        <f t="shared" si="1"/>
        <v>0</v>
      </c>
      <c r="AD27" s="3">
        <f t="shared" si="2"/>
        <v>0.0144891432238742</v>
      </c>
      <c r="AE27" s="3">
        <f t="shared" si="3"/>
        <v>0</v>
      </c>
      <c r="AF27" s="3">
        <f t="shared" si="4"/>
        <v>0</v>
      </c>
      <c r="AG27" s="3">
        <f t="shared" si="5"/>
        <v>0.00857217349449139</v>
      </c>
      <c r="AH27" s="3">
        <f t="shared" si="6"/>
        <v>0.0619404214354476</v>
      </c>
      <c r="AI27" s="3">
        <f t="shared" si="7"/>
        <v>0.0850017381538132</v>
      </c>
      <c r="AK27" s="3">
        <f>AB27*(100-进出水!T29)/100</f>
        <v>0</v>
      </c>
      <c r="AL27" s="3" t="e">
        <f t="shared" si="8"/>
        <v>#DIV/0!</v>
      </c>
    </row>
    <row r="28" ht="18.6" customHeight="1" spans="1:38">
      <c r="A28" s="6">
        <v>24</v>
      </c>
      <c r="B28" s="263">
        <v>21.3</v>
      </c>
      <c r="C28" s="264" t="s">
        <v>51</v>
      </c>
      <c r="D28" s="265">
        <v>153726</v>
      </c>
      <c r="E28" s="266">
        <v>0</v>
      </c>
      <c r="F28" s="266">
        <v>0</v>
      </c>
      <c r="G28" s="266">
        <v>0</v>
      </c>
      <c r="H28" s="267">
        <v>100</v>
      </c>
      <c r="I28" s="6">
        <v>4734</v>
      </c>
      <c r="J28" s="64">
        <v>47900.0000000087</v>
      </c>
      <c r="K28" s="274">
        <v>6036</v>
      </c>
      <c r="L28" s="274">
        <v>0</v>
      </c>
      <c r="M28" s="274">
        <v>1988</v>
      </c>
      <c r="N28" s="274">
        <v>720</v>
      </c>
      <c r="O28" s="275">
        <v>4.35</v>
      </c>
      <c r="P28" s="275">
        <v>0</v>
      </c>
      <c r="Q28" s="284">
        <v>5552</v>
      </c>
      <c r="R28" s="285">
        <f t="shared" si="0"/>
        <v>148174</v>
      </c>
      <c r="S28" s="286"/>
      <c r="T28" s="287" t="s">
        <v>12</v>
      </c>
      <c r="U28" s="305" t="s">
        <v>65</v>
      </c>
      <c r="V28" s="306">
        <f>M37</f>
        <v>101743</v>
      </c>
      <c r="W28" s="57"/>
      <c r="X28" s="57"/>
      <c r="AB28" s="318">
        <f t="shared" si="1"/>
        <v>0</v>
      </c>
      <c r="AD28" s="3">
        <f t="shared" si="2"/>
        <v>0.0141760902722475</v>
      </c>
      <c r="AE28" s="3">
        <f t="shared" si="3"/>
        <v>0.0189236978147313</v>
      </c>
      <c r="AF28" s="3">
        <f t="shared" si="4"/>
        <v>0</v>
      </c>
      <c r="AG28" s="3">
        <f t="shared" si="5"/>
        <v>0.00576916328100746</v>
      </c>
      <c r="AH28" s="3">
        <f t="shared" si="6"/>
        <v>0.0436254673559464</v>
      </c>
      <c r="AI28" s="3">
        <f t="shared" si="7"/>
        <v>0.0824944187239326</v>
      </c>
      <c r="AK28" s="3">
        <f>AB28*(100-进出水!T30)/100</f>
        <v>0</v>
      </c>
      <c r="AL28" s="3" t="e">
        <f t="shared" si="8"/>
        <v>#DIV/0!</v>
      </c>
    </row>
    <row r="29" ht="18.6" customHeight="1" spans="1:38">
      <c r="A29" s="6">
        <v>25</v>
      </c>
      <c r="B29" s="263">
        <v>20.6</v>
      </c>
      <c r="C29" s="264" t="s">
        <v>51</v>
      </c>
      <c r="D29" s="265">
        <v>151047</v>
      </c>
      <c r="E29" s="266">
        <v>69.02</v>
      </c>
      <c r="F29" s="266">
        <v>0</v>
      </c>
      <c r="G29" s="266">
        <v>0</v>
      </c>
      <c r="H29" s="267">
        <v>100</v>
      </c>
      <c r="I29" s="6">
        <v>4118</v>
      </c>
      <c r="J29" s="64">
        <v>46899.9999999869</v>
      </c>
      <c r="K29" s="274">
        <v>6036</v>
      </c>
      <c r="L29" s="274">
        <v>0</v>
      </c>
      <c r="M29" s="274">
        <v>2059</v>
      </c>
      <c r="N29" s="274">
        <v>744</v>
      </c>
      <c r="O29" s="275">
        <v>4.43</v>
      </c>
      <c r="P29" s="275">
        <v>0</v>
      </c>
      <c r="Q29" s="284">
        <v>5487</v>
      </c>
      <c r="R29" s="285">
        <f t="shared" si="0"/>
        <v>145560</v>
      </c>
      <c r="S29" s="286"/>
      <c r="T29" s="287"/>
      <c r="U29" s="305" t="s">
        <v>67</v>
      </c>
      <c r="V29" s="307">
        <f>ROUND(M37/R37*1000,1)</f>
        <v>21.2</v>
      </c>
      <c r="W29" s="57"/>
      <c r="X29" s="57"/>
      <c r="AB29" s="318">
        <f t="shared" si="1"/>
        <v>69.02</v>
      </c>
      <c r="AD29" s="3">
        <f t="shared" si="2"/>
        <v>0.0144306677658697</v>
      </c>
      <c r="AE29" s="3">
        <f t="shared" si="3"/>
        <v>0.019263533937895</v>
      </c>
      <c r="AF29" s="3">
        <f t="shared" si="4"/>
        <v>0</v>
      </c>
      <c r="AG29" s="3">
        <f t="shared" si="5"/>
        <v>0.00608250893102501</v>
      </c>
      <c r="AH29" s="3">
        <f t="shared" si="6"/>
        <v>0.0458892003297609</v>
      </c>
      <c r="AI29" s="3">
        <f t="shared" si="7"/>
        <v>0.0856659109645506</v>
      </c>
      <c r="AK29" s="3">
        <f>AB29*(100-进出水!T31)/100</f>
        <v>14.97734</v>
      </c>
      <c r="AL29" s="3">
        <f t="shared" si="8"/>
        <v>6.67675301488782</v>
      </c>
    </row>
    <row r="30" ht="18.6" customHeight="1" spans="1:38">
      <c r="A30" s="6">
        <v>26</v>
      </c>
      <c r="B30" s="263">
        <v>19.9</v>
      </c>
      <c r="C30" s="264" t="s">
        <v>42</v>
      </c>
      <c r="D30" s="265">
        <v>144920</v>
      </c>
      <c r="E30" s="266">
        <v>0</v>
      </c>
      <c r="F30" s="266">
        <v>71.84</v>
      </c>
      <c r="G30" s="266">
        <v>0</v>
      </c>
      <c r="H30" s="267">
        <v>100</v>
      </c>
      <c r="I30" s="6">
        <v>4268</v>
      </c>
      <c r="J30" s="64">
        <v>48699.9999999898</v>
      </c>
      <c r="K30" s="274">
        <v>2100</v>
      </c>
      <c r="L30" s="274">
        <v>0</v>
      </c>
      <c r="M30" s="274">
        <v>2769</v>
      </c>
      <c r="N30" s="274">
        <v>984</v>
      </c>
      <c r="O30" s="275">
        <v>4.51</v>
      </c>
      <c r="P30" s="275">
        <v>0</v>
      </c>
      <c r="Q30" s="284">
        <v>5645</v>
      </c>
      <c r="R30" s="285">
        <f t="shared" si="0"/>
        <v>139275</v>
      </c>
      <c r="S30" s="286"/>
      <c r="T30" s="287" t="s">
        <v>13</v>
      </c>
      <c r="U30" s="305" t="s">
        <v>65</v>
      </c>
      <c r="V30" s="306">
        <f>处理量!N37</f>
        <v>35376</v>
      </c>
      <c r="W30" s="57"/>
      <c r="X30" s="57"/>
      <c r="AB30" s="318">
        <f t="shared" si="1"/>
        <v>71.84</v>
      </c>
      <c r="AD30" s="3">
        <f t="shared" si="2"/>
        <v>0.00524717285945073</v>
      </c>
      <c r="AE30" s="3">
        <f t="shared" si="3"/>
        <v>0.020132830730569</v>
      </c>
      <c r="AF30" s="3">
        <f t="shared" si="4"/>
        <v>0</v>
      </c>
      <c r="AG30" s="3">
        <f t="shared" si="5"/>
        <v>0.00854905761981691</v>
      </c>
      <c r="AH30" s="3">
        <f t="shared" si="6"/>
        <v>0.0634309962304793</v>
      </c>
      <c r="AI30" s="3">
        <f t="shared" si="7"/>
        <v>0.0973600574403159</v>
      </c>
      <c r="AK30" s="3">
        <f>AB30*(100-进出水!T32)/100</f>
        <v>16.02032</v>
      </c>
      <c r="AL30" s="3">
        <f t="shared" si="8"/>
        <v>6.24207256783885</v>
      </c>
    </row>
    <row r="31" ht="18.6" customHeight="1" spans="1:38">
      <c r="A31" s="6">
        <v>27</v>
      </c>
      <c r="B31" s="263">
        <v>19.2</v>
      </c>
      <c r="C31" s="264" t="s">
        <v>42</v>
      </c>
      <c r="D31" s="265">
        <v>154083</v>
      </c>
      <c r="E31" s="266">
        <v>0</v>
      </c>
      <c r="F31" s="266">
        <v>106.72</v>
      </c>
      <c r="G31" s="266">
        <v>0</v>
      </c>
      <c r="H31" s="267">
        <v>125</v>
      </c>
      <c r="I31" s="6">
        <v>4526</v>
      </c>
      <c r="J31" s="64">
        <v>46200.0000000262</v>
      </c>
      <c r="K31" s="274">
        <v>0</v>
      </c>
      <c r="L31" s="274">
        <v>0</v>
      </c>
      <c r="M31" s="274">
        <v>3621</v>
      </c>
      <c r="N31" s="274">
        <v>1272</v>
      </c>
      <c r="O31" s="275">
        <v>4.55</v>
      </c>
      <c r="P31" s="275">
        <v>0</v>
      </c>
      <c r="Q31" s="284">
        <v>5586</v>
      </c>
      <c r="R31" s="285">
        <f t="shared" si="0"/>
        <v>148497</v>
      </c>
      <c r="S31" s="286"/>
      <c r="T31" s="287"/>
      <c r="U31" s="305" t="s">
        <v>67</v>
      </c>
      <c r="V31" s="304">
        <f>ROUND(N37/R37*1000,2)</f>
        <v>7.38</v>
      </c>
      <c r="W31" s="57"/>
      <c r="X31" s="57"/>
      <c r="AB31" s="318">
        <f t="shared" si="1"/>
        <v>106.72</v>
      </c>
      <c r="AD31" s="3">
        <f t="shared" si="2"/>
        <v>0</v>
      </c>
      <c r="AE31" s="3">
        <f t="shared" si="3"/>
        <v>0.0236031704344196</v>
      </c>
      <c r="AF31" s="3">
        <f t="shared" si="4"/>
        <v>0</v>
      </c>
      <c r="AG31" s="3">
        <f t="shared" si="5"/>
        <v>0.0104852623285319</v>
      </c>
      <c r="AH31" s="3">
        <f t="shared" si="6"/>
        <v>0.0769040182629952</v>
      </c>
      <c r="AI31" s="3">
        <f t="shared" si="7"/>
        <v>0.110992451025947</v>
      </c>
      <c r="AK31" s="3">
        <f>AB31*(100-进出水!T33)/100</f>
        <v>23.69184</v>
      </c>
      <c r="AL31" s="3">
        <f t="shared" si="8"/>
        <v>5.27607817712765</v>
      </c>
    </row>
    <row r="32" ht="18.6" customHeight="1" spans="1:38">
      <c r="A32" s="6">
        <v>28</v>
      </c>
      <c r="B32" s="263">
        <v>19.5</v>
      </c>
      <c r="C32" s="264" t="s">
        <v>42</v>
      </c>
      <c r="D32" s="265">
        <v>148275</v>
      </c>
      <c r="E32" s="266">
        <v>0</v>
      </c>
      <c r="F32" s="266">
        <v>99.92</v>
      </c>
      <c r="G32" s="266">
        <v>0</v>
      </c>
      <c r="H32" s="267">
        <v>100</v>
      </c>
      <c r="I32" s="6">
        <v>4152</v>
      </c>
      <c r="J32" s="64">
        <v>45599.9999999767</v>
      </c>
      <c r="K32" s="274">
        <v>0</v>
      </c>
      <c r="L32" s="274">
        <v>0</v>
      </c>
      <c r="M32" s="274">
        <v>3550</v>
      </c>
      <c r="N32" s="274">
        <v>1248</v>
      </c>
      <c r="O32" s="275">
        <v>4.45</v>
      </c>
      <c r="P32" s="275">
        <v>0</v>
      </c>
      <c r="Q32" s="284">
        <v>5574</v>
      </c>
      <c r="R32" s="285">
        <f t="shared" si="0"/>
        <v>142701</v>
      </c>
      <c r="S32" s="286"/>
      <c r="T32" s="287" t="s">
        <v>68</v>
      </c>
      <c r="U32" s="305" t="s">
        <v>69</v>
      </c>
      <c r="V32" s="57">
        <f>O37</f>
        <v>115.21</v>
      </c>
      <c r="W32" s="57"/>
      <c r="X32" s="57"/>
      <c r="AB32" s="318">
        <f t="shared" si="1"/>
        <v>99.92</v>
      </c>
      <c r="AD32" s="3">
        <f t="shared" si="2"/>
        <v>0</v>
      </c>
      <c r="AE32" s="3">
        <f t="shared" si="3"/>
        <v>0.0196494768782279</v>
      </c>
      <c r="AF32" s="3">
        <f t="shared" si="4"/>
        <v>0</v>
      </c>
      <c r="AG32" s="3">
        <f t="shared" si="5"/>
        <v>0.0106971920308898</v>
      </c>
      <c r="AH32" s="3">
        <f t="shared" si="6"/>
        <v>0.0785176277671495</v>
      </c>
      <c r="AI32" s="3">
        <f t="shared" si="7"/>
        <v>0.108864296676267</v>
      </c>
      <c r="AK32" s="3">
        <f>AB32*(100-进出水!T34)/100</f>
        <v>22.68184</v>
      </c>
      <c r="AL32" s="3">
        <f t="shared" si="8"/>
        <v>4.4088133943278</v>
      </c>
    </row>
    <row r="33" ht="18.6" customHeight="1" spans="1:38">
      <c r="A33" s="6">
        <v>29</v>
      </c>
      <c r="B33" s="263">
        <v>19.3</v>
      </c>
      <c r="C33" s="264" t="s">
        <v>42</v>
      </c>
      <c r="D33" s="265">
        <v>167621</v>
      </c>
      <c r="E33" s="266">
        <v>0</v>
      </c>
      <c r="F33" s="266">
        <v>80.8</v>
      </c>
      <c r="G33" s="266">
        <v>0</v>
      </c>
      <c r="H33" s="267">
        <v>100</v>
      </c>
      <c r="I33" s="6">
        <v>4330</v>
      </c>
      <c r="J33" s="64">
        <v>50900.0000000015</v>
      </c>
      <c r="K33" s="274">
        <v>0</v>
      </c>
      <c r="L33" s="274">
        <v>0</v>
      </c>
      <c r="M33" s="274">
        <v>3195</v>
      </c>
      <c r="N33" s="274">
        <v>1104</v>
      </c>
      <c r="O33" s="275">
        <v>4.56</v>
      </c>
      <c r="P33" s="275">
        <v>0</v>
      </c>
      <c r="Q33" s="284">
        <v>5525</v>
      </c>
      <c r="R33" s="285">
        <f t="shared" si="0"/>
        <v>162096</v>
      </c>
      <c r="S33" s="286"/>
      <c r="T33" s="287"/>
      <c r="U33" s="305" t="s">
        <v>67</v>
      </c>
      <c r="V33" s="304">
        <f>ROUND(V32/R37*1000000,2)</f>
        <v>24.03</v>
      </c>
      <c r="W33" s="57"/>
      <c r="X33" s="57"/>
      <c r="AB33" s="318">
        <f t="shared" si="1"/>
        <v>80.8</v>
      </c>
      <c r="AD33" s="3">
        <f t="shared" si="2"/>
        <v>0</v>
      </c>
      <c r="AE33" s="3">
        <f t="shared" si="3"/>
        <v>0.0172983910768927</v>
      </c>
      <c r="AF33" s="3">
        <f t="shared" si="4"/>
        <v>0</v>
      </c>
      <c r="AG33" s="3">
        <f t="shared" si="5"/>
        <v>0.00847553301747113</v>
      </c>
      <c r="AH33" s="3">
        <f t="shared" si="6"/>
        <v>0.0611471720461948</v>
      </c>
      <c r="AI33" s="3">
        <f t="shared" si="7"/>
        <v>0.0869210961405587</v>
      </c>
      <c r="AK33" s="3">
        <f>AB33*(100-进出水!T35)/100</f>
        <v>17.6144</v>
      </c>
      <c r="AL33" s="3">
        <f t="shared" si="8"/>
        <v>5.67717322190935</v>
      </c>
    </row>
    <row r="34" ht="18.6" customHeight="1" spans="1:38">
      <c r="A34" s="6">
        <v>30</v>
      </c>
      <c r="B34" s="263">
        <v>19.5</v>
      </c>
      <c r="C34" s="264" t="s">
        <v>42</v>
      </c>
      <c r="D34" s="265">
        <v>153109</v>
      </c>
      <c r="E34" s="266">
        <v>0</v>
      </c>
      <c r="F34" s="266">
        <v>33.48</v>
      </c>
      <c r="G34" s="266">
        <v>30</v>
      </c>
      <c r="H34" s="267">
        <v>100</v>
      </c>
      <c r="I34" s="6">
        <v>4792</v>
      </c>
      <c r="J34" s="64">
        <v>47600.0000000204</v>
      </c>
      <c r="K34" s="274">
        <v>0</v>
      </c>
      <c r="L34" s="274">
        <v>0</v>
      </c>
      <c r="M34" s="274">
        <v>3408</v>
      </c>
      <c r="N34" s="274">
        <v>1176</v>
      </c>
      <c r="O34" s="275">
        <v>4.57</v>
      </c>
      <c r="P34" s="275">
        <v>0</v>
      </c>
      <c r="Q34" s="284">
        <v>5655</v>
      </c>
      <c r="R34" s="285">
        <f t="shared" si="0"/>
        <v>147454</v>
      </c>
      <c r="S34" s="286"/>
      <c r="T34" s="287"/>
      <c r="U34" s="305"/>
      <c r="V34" s="304"/>
      <c r="W34" s="57"/>
      <c r="X34" s="57"/>
      <c r="AB34" s="318">
        <f t="shared" si="1"/>
        <v>63.48</v>
      </c>
      <c r="AD34" s="3">
        <f t="shared" si="2"/>
        <v>0</v>
      </c>
      <c r="AE34" s="3">
        <f t="shared" si="3"/>
        <v>0.0190160999362513</v>
      </c>
      <c r="AF34" s="3">
        <f t="shared" si="4"/>
        <v>0</v>
      </c>
      <c r="AG34" s="3">
        <f t="shared" si="5"/>
        <v>0.00993828583829533</v>
      </c>
      <c r="AH34" s="3">
        <f t="shared" si="6"/>
        <v>0.0716028591967665</v>
      </c>
      <c r="AI34" s="3">
        <f t="shared" si="7"/>
        <v>0.100557244971313</v>
      </c>
      <c r="AK34" s="3">
        <f>AB34*(100-进出水!T36)/100</f>
        <v>13.9656</v>
      </c>
      <c r="AL34" s="3">
        <f t="shared" si="8"/>
        <v>7.16045139485593</v>
      </c>
    </row>
    <row r="35" ht="18.6" customHeight="1" spans="1:38">
      <c r="A35" s="6">
        <v>31</v>
      </c>
      <c r="B35" s="263">
        <v>18.8</v>
      </c>
      <c r="C35" s="264" t="s">
        <v>42</v>
      </c>
      <c r="D35" s="265">
        <v>151950</v>
      </c>
      <c r="E35" s="266">
        <v>0</v>
      </c>
      <c r="F35" s="266">
        <v>18.28</v>
      </c>
      <c r="G35" s="266">
        <v>60</v>
      </c>
      <c r="H35" s="267">
        <v>100</v>
      </c>
      <c r="I35" s="6">
        <v>4610</v>
      </c>
      <c r="J35" s="64">
        <v>46699.9999999825</v>
      </c>
      <c r="K35" s="274">
        <v>0</v>
      </c>
      <c r="L35" s="274">
        <v>0</v>
      </c>
      <c r="M35" s="274">
        <v>2698</v>
      </c>
      <c r="N35" s="274">
        <v>960</v>
      </c>
      <c r="O35" s="275">
        <v>4.5</v>
      </c>
      <c r="P35" s="275">
        <v>0</v>
      </c>
      <c r="Q35" s="284">
        <v>5497</v>
      </c>
      <c r="R35" s="285">
        <f t="shared" si="0"/>
        <v>146453</v>
      </c>
      <c r="S35" s="286"/>
      <c r="T35" s="287"/>
      <c r="U35" s="305"/>
      <c r="V35" s="57"/>
      <c r="W35" s="57"/>
      <c r="X35" s="57"/>
      <c r="AB35" s="318">
        <f t="shared" si="1"/>
        <v>78.28</v>
      </c>
      <c r="AD35" s="3">
        <f t="shared" si="2"/>
        <v>0</v>
      </c>
      <c r="AE35" s="3">
        <f t="shared" si="3"/>
        <v>0.0191460741671389</v>
      </c>
      <c r="AF35" s="3">
        <f t="shared" si="4"/>
        <v>0</v>
      </c>
      <c r="AG35" s="3">
        <f t="shared" si="5"/>
        <v>0.00792158576471633</v>
      </c>
      <c r="AH35" s="3">
        <f t="shared" si="6"/>
        <v>0.058850825862222</v>
      </c>
      <c r="AI35" s="3">
        <f t="shared" si="7"/>
        <v>0.0859184857940772</v>
      </c>
      <c r="AK35" s="3">
        <f>AB35*(100-进出水!T37)/100</f>
        <v>17.69128</v>
      </c>
      <c r="AL35" s="3">
        <f t="shared" si="8"/>
        <v>5.6525022496959</v>
      </c>
    </row>
    <row r="36" ht="19" customHeight="1" spans="1:20">
      <c r="A36" s="5" t="s">
        <v>70</v>
      </c>
      <c r="B36" s="61">
        <f>AVERAGE(B5:B35)</f>
        <v>21.2032258064516</v>
      </c>
      <c r="C36" s="8" t="s">
        <v>71</v>
      </c>
      <c r="D36" s="268">
        <f>AVERAGE(D5:D35)</f>
        <v>160242.870967742</v>
      </c>
      <c r="E36" s="169">
        <f>AVERAGE(E5:E35)</f>
        <v>104.953548387097</v>
      </c>
      <c r="F36" s="169">
        <f>AVERAGE(F5:F35)</f>
        <v>26.8251612903226</v>
      </c>
      <c r="G36" s="169">
        <f>AVERAGE(G5:G35)</f>
        <v>7.14645161290323</v>
      </c>
      <c r="H36" s="268">
        <f t="shared" ref="H36:Q36" si="9">AVERAGE(H5:H35)</f>
        <v>145.161290322581</v>
      </c>
      <c r="I36" s="268">
        <f t="shared" si="9"/>
        <v>4644.06451612903</v>
      </c>
      <c r="J36" s="268">
        <f t="shared" si="9"/>
        <v>48577.4193548388</v>
      </c>
      <c r="K36" s="268">
        <f t="shared" si="9"/>
        <v>4799.61290322581</v>
      </c>
      <c r="L36" s="268">
        <f t="shared" si="9"/>
        <v>22.4516129032258</v>
      </c>
      <c r="M36" s="268">
        <f t="shared" si="9"/>
        <v>3282.03225806452</v>
      </c>
      <c r="N36" s="268">
        <f t="shared" si="9"/>
        <v>1141.16129032258</v>
      </c>
      <c r="O36" s="278">
        <f t="shared" si="9"/>
        <v>3.71645161290323</v>
      </c>
      <c r="P36" s="169">
        <f t="shared" si="9"/>
        <v>0</v>
      </c>
      <c r="Q36" s="268">
        <f t="shared" si="9"/>
        <v>5570.22580645161</v>
      </c>
      <c r="R36" s="308">
        <f t="shared" si="0"/>
        <v>154672.64516129</v>
      </c>
      <c r="S36" s="309"/>
      <c r="T36" s="310"/>
    </row>
    <row r="37" ht="17" customHeight="1" spans="1:28">
      <c r="A37" s="5" t="s">
        <v>28</v>
      </c>
      <c r="B37" s="6" t="s">
        <v>71</v>
      </c>
      <c r="C37" s="6" t="s">
        <v>71</v>
      </c>
      <c r="D37" s="269">
        <f>SUM(D5:D35)</f>
        <v>4967529</v>
      </c>
      <c r="E37" s="270">
        <f>SUM(E5:E35)</f>
        <v>3253.56</v>
      </c>
      <c r="F37" s="270">
        <f>SUM(F5:F35)</f>
        <v>831.58</v>
      </c>
      <c r="G37" s="270">
        <f>SUM(G5:G35)</f>
        <v>221.54</v>
      </c>
      <c r="H37" s="269">
        <f>SUM(H5:H35)</f>
        <v>4500</v>
      </c>
      <c r="I37" s="6" t="s">
        <v>71</v>
      </c>
      <c r="J37" s="268">
        <f t="shared" ref="J37:R37" si="10">SUM(J5:J35)</f>
        <v>1505900</v>
      </c>
      <c r="K37" s="268">
        <f t="shared" si="10"/>
        <v>148788</v>
      </c>
      <c r="L37" s="268">
        <f t="shared" si="10"/>
        <v>696</v>
      </c>
      <c r="M37" s="268">
        <f t="shared" si="10"/>
        <v>101743</v>
      </c>
      <c r="N37" s="268">
        <f t="shared" si="10"/>
        <v>35376</v>
      </c>
      <c r="O37" s="169">
        <f t="shared" si="10"/>
        <v>115.21</v>
      </c>
      <c r="P37" s="169">
        <f t="shared" si="10"/>
        <v>0</v>
      </c>
      <c r="Q37" s="268">
        <f t="shared" si="10"/>
        <v>172677</v>
      </c>
      <c r="R37" s="268">
        <f t="shared" si="10"/>
        <v>4794852</v>
      </c>
      <c r="S37" s="311"/>
      <c r="T37" s="312"/>
      <c r="AB37" s="3">
        <f>SUM(AB5:AB36)</f>
        <v>4306.68</v>
      </c>
    </row>
    <row r="38" ht="18.6" customHeight="1" spans="1:18">
      <c r="A38" s="271" t="s">
        <v>72</v>
      </c>
      <c r="B38" s="271"/>
      <c r="C38" s="271"/>
      <c r="D38" s="271"/>
      <c r="E38" s="272"/>
      <c r="F38" s="272"/>
      <c r="I38" s="279" t="s">
        <v>73</v>
      </c>
      <c r="Q38" s="313" t="s">
        <v>74</v>
      </c>
      <c r="R38" s="314">
        <v>44565</v>
      </c>
    </row>
    <row r="39" ht="18.6" customHeight="1" spans="13:13">
      <c r="M39" s="254">
        <f>M37*0.31</f>
        <v>31540.33</v>
      </c>
    </row>
    <row r="40" spans="7:28">
      <c r="G40" s="254"/>
      <c r="H40" s="254"/>
      <c r="Q40" s="254" t="s">
        <v>75</v>
      </c>
      <c r="R40" s="254">
        <f>MAX(R5:R35)</f>
        <v>186448</v>
      </c>
      <c r="AB40" s="3">
        <f>(100-进出水!T38)*AB37/100</f>
        <v>959.097636</v>
      </c>
    </row>
    <row r="41" spans="7:18">
      <c r="G41" s="254"/>
      <c r="H41" s="254"/>
      <c r="O41" s="254">
        <f>O37*1000</f>
        <v>115210</v>
      </c>
      <c r="Q41" s="254" t="s">
        <v>76</v>
      </c>
      <c r="R41" s="254">
        <f>MIN(R5:R35)</f>
        <v>119958</v>
      </c>
    </row>
    <row r="42" spans="12:12">
      <c r="L42" s="254">
        <f>L37*1000/R37</f>
        <v>0.145155679466228</v>
      </c>
    </row>
    <row r="44" spans="18:18">
      <c r="R44" s="254">
        <f>L37/R37*1000</f>
        <v>0.145155679466228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3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J23" sqref="J2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4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7" t="s">
        <v>77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44531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22">
      <c r="A3" s="199" t="s">
        <v>78</v>
      </c>
      <c r="B3" s="200" t="s">
        <v>79</v>
      </c>
      <c r="C3" s="201">
        <f>处理量!R37</f>
        <v>4794852</v>
      </c>
      <c r="D3" s="202" t="s">
        <v>80</v>
      </c>
      <c r="E3" s="200" t="s">
        <v>81</v>
      </c>
      <c r="F3" s="203">
        <f>处理量!E37+处理量!F37+处理量!G37</f>
        <v>4306.68</v>
      </c>
      <c r="G3" s="199" t="s">
        <v>82</v>
      </c>
      <c r="H3" s="200" t="s">
        <v>83</v>
      </c>
      <c r="I3" s="200"/>
      <c r="J3" s="37">
        <f>处理量!J37</f>
        <v>1505900</v>
      </c>
      <c r="K3" s="202" t="s">
        <v>84</v>
      </c>
      <c r="L3" s="200" t="s">
        <v>85</v>
      </c>
      <c r="M3" s="237">
        <f>J3/C3</f>
        <v>0.314066002454299</v>
      </c>
      <c r="P3" s="193" t="s">
        <v>86</v>
      </c>
      <c r="Q3" s="252">
        <v>1773.2</v>
      </c>
      <c r="R3" s="193">
        <f>J5-Q3</f>
        <v>3373.8</v>
      </c>
      <c r="V3" s="193">
        <v>188314</v>
      </c>
    </row>
    <row r="4" s="193" customFormat="1" ht="24" customHeight="1" spans="1:22">
      <c r="A4" s="199"/>
      <c r="B4" s="200" t="s">
        <v>87</v>
      </c>
      <c r="C4" s="204">
        <f>处理量!R36</f>
        <v>154672.64516129</v>
      </c>
      <c r="D4" s="205"/>
      <c r="E4" s="200" t="s">
        <v>88</v>
      </c>
      <c r="F4" s="206">
        <f>处理量!H37</f>
        <v>4500</v>
      </c>
      <c r="G4" s="199"/>
      <c r="H4" s="200" t="s">
        <v>89</v>
      </c>
      <c r="I4" s="200"/>
      <c r="J4" s="206">
        <f>J3/M15</f>
        <v>48577.4193548388</v>
      </c>
      <c r="K4" s="205"/>
      <c r="L4" s="200" t="s">
        <v>90</v>
      </c>
      <c r="M4" s="238">
        <f>J3/I12</f>
        <v>1.45805943572098</v>
      </c>
      <c r="P4" s="193" t="s">
        <v>91</v>
      </c>
      <c r="Q4" s="252">
        <v>50535.9999999999</v>
      </c>
      <c r="V4" s="193">
        <v>193894</v>
      </c>
    </row>
    <row r="5" s="193" customFormat="1" ht="24" customHeight="1" spans="1:22">
      <c r="A5" s="199"/>
      <c r="B5" s="200"/>
      <c r="C5" s="207"/>
      <c r="D5" s="205"/>
      <c r="E5" s="200" t="s">
        <v>92</v>
      </c>
      <c r="F5" s="208">
        <f>进出水!T38</f>
        <v>77.73</v>
      </c>
      <c r="G5" s="199"/>
      <c r="H5" s="200" t="s">
        <v>93</v>
      </c>
      <c r="I5" s="200"/>
      <c r="J5" s="239">
        <v>5147</v>
      </c>
      <c r="K5" s="205"/>
      <c r="L5" s="200"/>
      <c r="M5" s="240"/>
      <c r="V5" s="193">
        <f>V4-V3</f>
        <v>5580</v>
      </c>
    </row>
    <row r="6" s="193" customFormat="1" ht="24" customHeight="1" spans="1:13">
      <c r="A6" s="199"/>
      <c r="B6" s="200" t="s">
        <v>94</v>
      </c>
      <c r="C6" s="209">
        <f>处理量!R40</f>
        <v>186448</v>
      </c>
      <c r="D6" s="205"/>
      <c r="E6" s="199" t="s">
        <v>95</v>
      </c>
      <c r="F6" s="203">
        <f>F4/(F3*(100-F5)/100)</f>
        <v>4.69191021965985</v>
      </c>
      <c r="G6" s="202" t="s">
        <v>96</v>
      </c>
      <c r="H6" s="200" t="s">
        <v>97</v>
      </c>
      <c r="I6" s="200"/>
      <c r="J6" s="212">
        <f>处理量!M37/1000</f>
        <v>101.743</v>
      </c>
      <c r="K6" s="205"/>
      <c r="L6" s="200" t="s">
        <v>98</v>
      </c>
      <c r="M6" s="212">
        <f>J3/I13</f>
        <v>2.45364064417421</v>
      </c>
    </row>
    <row r="7" s="193" customFormat="1" ht="24" customHeight="1" spans="1:13">
      <c r="A7" s="199"/>
      <c r="B7" s="200" t="s">
        <v>99</v>
      </c>
      <c r="C7" s="37">
        <f>处理量!R41</f>
        <v>119958</v>
      </c>
      <c r="D7" s="210"/>
      <c r="E7" s="199" t="s">
        <v>100</v>
      </c>
      <c r="F7" s="211">
        <f>F3*(100-F5)/100*1000/(C3/1000)</f>
        <v>200.026535959817</v>
      </c>
      <c r="G7" s="205"/>
      <c r="H7" s="200" t="s">
        <v>101</v>
      </c>
      <c r="I7" s="200"/>
      <c r="J7" s="226">
        <f>J6*1000/(C3/1000)</f>
        <v>21.2192159424316</v>
      </c>
      <c r="K7" s="205"/>
      <c r="L7" s="241" t="s">
        <v>102</v>
      </c>
      <c r="M7" s="212">
        <f>J3/I14</f>
        <v>2.31322090634381</v>
      </c>
    </row>
    <row r="8" s="193" customFormat="1" ht="24" customHeight="1" spans="1:13">
      <c r="A8" s="199"/>
      <c r="B8" s="200" t="s">
        <v>103</v>
      </c>
      <c r="C8" s="212">
        <f>C4/200000*100</f>
        <v>77.3363225806452</v>
      </c>
      <c r="D8" s="199" t="s">
        <v>104</v>
      </c>
      <c r="E8" s="200" t="s">
        <v>105</v>
      </c>
      <c r="F8" s="212">
        <f>处理量!K37/1000</f>
        <v>148.788</v>
      </c>
      <c r="G8" s="205"/>
      <c r="H8" s="200" t="s">
        <v>106</v>
      </c>
      <c r="I8" s="200"/>
      <c r="J8" s="212">
        <f>处理量!N37/1000</f>
        <v>35.376</v>
      </c>
      <c r="K8" s="242" t="s">
        <v>107</v>
      </c>
      <c r="L8" s="221" t="s">
        <v>108</v>
      </c>
      <c r="M8" s="243">
        <f>处理量!O37</f>
        <v>115.21</v>
      </c>
    </row>
    <row r="9" s="193" customFormat="1" ht="24" customHeight="1" spans="1:13">
      <c r="A9" s="199"/>
      <c r="B9" s="213" t="s">
        <v>109</v>
      </c>
      <c r="C9" s="214">
        <f>处理量!B36</f>
        <v>21.2032258064516</v>
      </c>
      <c r="D9" s="199"/>
      <c r="E9" s="200" t="s">
        <v>101</v>
      </c>
      <c r="F9" s="212">
        <f>F8*1000/(C3/1000)</f>
        <v>31.0307805120992</v>
      </c>
      <c r="G9" s="210"/>
      <c r="H9" s="200" t="s">
        <v>101</v>
      </c>
      <c r="I9" s="200"/>
      <c r="J9" s="203">
        <f>J8*1000/(C3/1000)</f>
        <v>7.37791281149032</v>
      </c>
      <c r="K9" s="218"/>
      <c r="L9" s="37" t="s">
        <v>101</v>
      </c>
      <c r="M9" s="243">
        <f>M8*1000000/C3</f>
        <v>24.0278532058967</v>
      </c>
    </row>
    <row r="10" s="193" customFormat="1" ht="24" customHeight="1" spans="1:13">
      <c r="A10" s="199" t="s">
        <v>110</v>
      </c>
      <c r="B10" s="215" t="s">
        <v>111</v>
      </c>
      <c r="C10" s="216" t="s">
        <v>112</v>
      </c>
      <c r="D10" s="217"/>
      <c r="E10" s="216" t="s">
        <v>113</v>
      </c>
      <c r="F10" s="217"/>
      <c r="G10" s="216" t="s">
        <v>114</v>
      </c>
      <c r="H10" s="217"/>
      <c r="I10" s="216" t="s">
        <v>115</v>
      </c>
      <c r="J10" s="217"/>
      <c r="K10" s="202" t="s">
        <v>116</v>
      </c>
      <c r="L10" s="221" t="s">
        <v>108</v>
      </c>
      <c r="M10" s="37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7" t="s">
        <v>101</v>
      </c>
      <c r="M11" s="37">
        <v>0</v>
      </c>
    </row>
    <row r="12" s="193" customFormat="1" ht="24" customHeight="1" spans="1:19">
      <c r="A12" s="199"/>
      <c r="B12" s="221" t="s">
        <v>117</v>
      </c>
      <c r="C12" s="206">
        <f>进出水!B38</f>
        <v>245</v>
      </c>
      <c r="D12" s="206"/>
      <c r="E12" s="222">
        <f>进出水!N38</f>
        <v>29.6</v>
      </c>
      <c r="F12" s="223"/>
      <c r="G12" s="222">
        <f t="shared" ref="G12:G17" si="0">(C12-E12)/C12*100</f>
        <v>87.9183673469388</v>
      </c>
      <c r="H12" s="223"/>
      <c r="I12" s="206">
        <f>$C$3*(C12-E12)/1000</f>
        <v>1032811.1208</v>
      </c>
      <c r="J12" s="206"/>
      <c r="K12" s="199" t="s">
        <v>118</v>
      </c>
      <c r="L12" s="200" t="s">
        <v>32</v>
      </c>
      <c r="M12" s="203">
        <f>处理量!V16</f>
        <v>3253.56</v>
      </c>
      <c r="P12" s="244">
        <f t="shared" ref="P12:P17" si="1">ROUND(E12,1)</f>
        <v>29.6</v>
      </c>
      <c r="Q12" s="253">
        <f>C3</f>
        <v>4794852</v>
      </c>
      <c r="R12" s="244">
        <f t="shared" ref="R12:R17" si="2">P12*Q12/1000000</f>
        <v>141.9276192</v>
      </c>
      <c r="S12" s="221" t="s">
        <v>117</v>
      </c>
    </row>
    <row r="13" s="193" customFormat="1" ht="24" customHeight="1" spans="1:19">
      <c r="A13" s="199"/>
      <c r="B13" s="221" t="s">
        <v>119</v>
      </c>
      <c r="C13" s="206">
        <f>进出水!C38</f>
        <v>129</v>
      </c>
      <c r="D13" s="206"/>
      <c r="E13" s="224" t="str">
        <f>[1]进出水!O38</f>
        <v>&lt;2</v>
      </c>
      <c r="F13" s="225"/>
      <c r="G13" s="222">
        <f>(C13-1)/C13*100</f>
        <v>99.2248062015504</v>
      </c>
      <c r="H13" s="223"/>
      <c r="I13" s="206">
        <f>$C$3*(C13-1)/1000</f>
        <v>613741.056</v>
      </c>
      <c r="J13" s="206"/>
      <c r="K13" s="199"/>
      <c r="L13" s="34" t="s">
        <v>33</v>
      </c>
      <c r="M13" s="245">
        <f>处理量!U16</f>
        <v>831.58</v>
      </c>
      <c r="P13" s="246">
        <v>1</v>
      </c>
      <c r="Q13" s="253">
        <f t="shared" ref="Q13:Q17" si="3">Q12</f>
        <v>4794852</v>
      </c>
      <c r="R13" s="244">
        <f t="shared" si="2"/>
        <v>4.794852</v>
      </c>
      <c r="S13" s="221" t="s">
        <v>119</v>
      </c>
    </row>
    <row r="14" s="193" customFormat="1" ht="24" customHeight="1" spans="1:19">
      <c r="A14" s="199"/>
      <c r="B14" s="221" t="s">
        <v>120</v>
      </c>
      <c r="C14" s="206">
        <f>进出水!D38</f>
        <v>141</v>
      </c>
      <c r="D14" s="206"/>
      <c r="E14" s="224">
        <f>进出水!P38</f>
        <v>5.23</v>
      </c>
      <c r="F14" s="225"/>
      <c r="G14" s="222">
        <f t="shared" si="0"/>
        <v>96.290780141844</v>
      </c>
      <c r="H14" s="223"/>
      <c r="I14" s="206">
        <f>$C$3*(C14-E14)/1000</f>
        <v>650997.05604</v>
      </c>
      <c r="J14" s="206"/>
      <c r="K14" s="199"/>
      <c r="L14" s="34" t="s">
        <v>121</v>
      </c>
      <c r="M14" s="245">
        <f>处理量!W16</f>
        <v>221.54</v>
      </c>
      <c r="P14" s="244">
        <f t="shared" si="1"/>
        <v>5.2</v>
      </c>
      <c r="Q14" s="253">
        <f t="shared" si="3"/>
        <v>4794852</v>
      </c>
      <c r="R14" s="244">
        <f t="shared" si="2"/>
        <v>24.9332304</v>
      </c>
      <c r="S14" s="221" t="s">
        <v>120</v>
      </c>
    </row>
    <row r="15" s="193" customFormat="1" ht="24" customHeight="1" spans="1:19">
      <c r="A15" s="199"/>
      <c r="B15" s="221" t="s">
        <v>122</v>
      </c>
      <c r="C15" s="203">
        <f>进出水!E38</f>
        <v>2.88</v>
      </c>
      <c r="D15" s="203"/>
      <c r="E15" s="224">
        <f>进出水!Q38</f>
        <v>0.14</v>
      </c>
      <c r="F15" s="225"/>
      <c r="G15" s="222">
        <f t="shared" si="0"/>
        <v>95.1388888888889</v>
      </c>
      <c r="H15" s="223"/>
      <c r="I15" s="206">
        <f>$C$3*(C15-E15)/1000</f>
        <v>13137.89448</v>
      </c>
      <c r="J15" s="206"/>
      <c r="K15" s="202" t="s">
        <v>123</v>
      </c>
      <c r="L15" s="247" t="s">
        <v>124</v>
      </c>
      <c r="M15" s="36">
        <v>31</v>
      </c>
      <c r="P15" s="244">
        <f t="shared" si="1"/>
        <v>0.1</v>
      </c>
      <c r="Q15" s="253">
        <f t="shared" si="3"/>
        <v>4794852</v>
      </c>
      <c r="R15" s="244">
        <f t="shared" si="2"/>
        <v>0.4794852</v>
      </c>
      <c r="S15" s="221" t="s">
        <v>122</v>
      </c>
    </row>
    <row r="16" s="193" customFormat="1" ht="24" customHeight="1" spans="1:19">
      <c r="A16" s="199"/>
      <c r="B16" s="221" t="s">
        <v>125</v>
      </c>
      <c r="C16" s="226">
        <f>进出水!G38</f>
        <v>30.9</v>
      </c>
      <c r="D16" s="226"/>
      <c r="E16" s="224">
        <f>进出水!S38</f>
        <v>7.95</v>
      </c>
      <c r="F16" s="225"/>
      <c r="G16" s="222">
        <f t="shared" si="0"/>
        <v>74.2718446601942</v>
      </c>
      <c r="H16" s="223"/>
      <c r="I16" s="206">
        <f>$C$3*(C16-E16)/1000</f>
        <v>110041.8534</v>
      </c>
      <c r="J16" s="206"/>
      <c r="K16" s="205"/>
      <c r="L16" s="248" t="s">
        <v>126</v>
      </c>
      <c r="M16" s="37">
        <v>31</v>
      </c>
      <c r="P16" s="244">
        <f t="shared" si="1"/>
        <v>8</v>
      </c>
      <c r="Q16" s="253">
        <f t="shared" si="3"/>
        <v>4794852</v>
      </c>
      <c r="R16" s="244">
        <f t="shared" si="2"/>
        <v>38.358816</v>
      </c>
      <c r="S16" s="221" t="s">
        <v>125</v>
      </c>
    </row>
    <row r="17" s="193" customFormat="1" ht="24" customHeight="1" spans="1:19">
      <c r="A17" s="199"/>
      <c r="B17" s="221" t="s">
        <v>127</v>
      </c>
      <c r="C17" s="226">
        <f>进出水!F38</f>
        <v>24.5</v>
      </c>
      <c r="D17" s="226"/>
      <c r="E17" s="224">
        <f>进出水!R38</f>
        <v>0.47</v>
      </c>
      <c r="F17" s="225"/>
      <c r="G17" s="222">
        <f t="shared" si="0"/>
        <v>98.0816326530612</v>
      </c>
      <c r="H17" s="223"/>
      <c r="I17" s="206">
        <f>$C$3*(C17-E17)/1000</f>
        <v>115220.29356</v>
      </c>
      <c r="J17" s="206"/>
      <c r="K17" s="205"/>
      <c r="L17" s="248" t="s">
        <v>128</v>
      </c>
      <c r="M17" s="36">
        <v>31</v>
      </c>
      <c r="P17" s="244">
        <f t="shared" si="1"/>
        <v>0.5</v>
      </c>
      <c r="Q17" s="253">
        <f t="shared" si="3"/>
        <v>4794852</v>
      </c>
      <c r="R17" s="244">
        <f t="shared" si="2"/>
        <v>2.397426</v>
      </c>
      <c r="S17" s="221" t="s">
        <v>127</v>
      </c>
    </row>
    <row r="18" s="193" customFormat="1" ht="24" customHeight="1" spans="1:13">
      <c r="A18" s="199"/>
      <c r="B18" s="213" t="s">
        <v>129</v>
      </c>
      <c r="C18" s="227"/>
      <c r="D18" s="228"/>
      <c r="E18" s="229" t="s">
        <v>130</v>
      </c>
      <c r="F18" s="230"/>
      <c r="G18" s="227"/>
      <c r="H18" s="228"/>
      <c r="I18" s="227"/>
      <c r="J18" s="228"/>
      <c r="K18" s="210"/>
      <c r="L18" s="241" t="s">
        <v>131</v>
      </c>
      <c r="M18" s="37">
        <v>100</v>
      </c>
    </row>
    <row r="19" s="193" customFormat="1" ht="20.1" customHeight="1" spans="1:16">
      <c r="A19" s="199" t="s">
        <v>132</v>
      </c>
      <c r="B19" s="231" t="s">
        <v>133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  <c r="P19" s="193">
        <f>F3*(100-F5)/100</f>
        <v>959.097636</v>
      </c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134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20" workbookViewId="0">
      <selection activeCell="P42" sqref="P42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135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1"/>
      <c r="J2" s="161"/>
      <c r="K2" s="95"/>
      <c r="L2" s="94"/>
      <c r="M2" s="94"/>
      <c r="N2" s="94"/>
      <c r="O2" s="94"/>
      <c r="P2" s="94"/>
      <c r="Q2" s="94"/>
      <c r="R2" s="94"/>
      <c r="S2" s="94"/>
      <c r="T2" s="94"/>
      <c r="U2" s="27"/>
    </row>
    <row r="3" spans="1:21">
      <c r="A3" s="33" t="s">
        <v>136</v>
      </c>
      <c r="B3" s="33"/>
      <c r="C3" s="33"/>
      <c r="D3" s="33"/>
      <c r="E3" s="33"/>
      <c r="F3" s="33"/>
      <c r="G3" s="33"/>
      <c r="H3" s="96"/>
      <c r="I3" s="162"/>
      <c r="J3" s="163">
        <v>44531</v>
      </c>
      <c r="K3" s="164"/>
      <c r="L3" s="33"/>
      <c r="M3" s="33"/>
      <c r="N3" s="33"/>
      <c r="O3" s="33"/>
      <c r="P3" s="33"/>
      <c r="Q3" s="33"/>
      <c r="R3" s="33"/>
      <c r="S3" s="33"/>
      <c r="T3" s="187"/>
      <c r="U3" s="27"/>
    </row>
    <row r="4" ht="12.75" customHeight="1" spans="1:21">
      <c r="A4" s="97" t="s">
        <v>137</v>
      </c>
      <c r="B4" s="98" t="s">
        <v>112</v>
      </c>
      <c r="C4" s="99"/>
      <c r="D4" s="99"/>
      <c r="E4" s="99"/>
      <c r="F4" s="99"/>
      <c r="G4" s="100"/>
      <c r="H4" s="101" t="s">
        <v>138</v>
      </c>
      <c r="I4" s="101"/>
      <c r="J4" s="101"/>
      <c r="K4" s="101"/>
      <c r="L4" s="101"/>
      <c r="M4" s="101"/>
      <c r="N4" s="165" t="s">
        <v>139</v>
      </c>
      <c r="O4" s="165"/>
      <c r="P4" s="165"/>
      <c r="Q4" s="165"/>
      <c r="R4" s="165"/>
      <c r="S4" s="165"/>
      <c r="T4" s="188" t="s">
        <v>140</v>
      </c>
      <c r="U4" s="188" t="s">
        <v>141</v>
      </c>
    </row>
    <row r="5" ht="15" customHeight="1" spans="1:21">
      <c r="A5" s="102"/>
      <c r="B5" s="103" t="s">
        <v>142</v>
      </c>
      <c r="C5" s="103" t="s">
        <v>119</v>
      </c>
      <c r="D5" s="103" t="s">
        <v>120</v>
      </c>
      <c r="E5" s="103" t="s">
        <v>122</v>
      </c>
      <c r="F5" s="103" t="s">
        <v>127</v>
      </c>
      <c r="G5" s="103" t="s">
        <v>125</v>
      </c>
      <c r="H5" s="104" t="s">
        <v>142</v>
      </c>
      <c r="I5" s="104" t="s">
        <v>119</v>
      </c>
      <c r="J5" s="104" t="s">
        <v>120</v>
      </c>
      <c r="K5" s="104" t="s">
        <v>122</v>
      </c>
      <c r="L5" s="103" t="s">
        <v>127</v>
      </c>
      <c r="M5" s="103" t="s">
        <v>125</v>
      </c>
      <c r="N5" s="97" t="s">
        <v>143</v>
      </c>
      <c r="O5" s="97" t="s">
        <v>144</v>
      </c>
      <c r="P5" s="97" t="s">
        <v>120</v>
      </c>
      <c r="Q5" s="97" t="s">
        <v>122</v>
      </c>
      <c r="R5" s="97" t="s">
        <v>145</v>
      </c>
      <c r="S5" s="97" t="s">
        <v>125</v>
      </c>
      <c r="T5" s="189"/>
      <c r="U5" s="189"/>
    </row>
    <row r="6" ht="22.5" customHeight="1" spans="1:21">
      <c r="A6" s="105"/>
      <c r="B6" s="106" t="s">
        <v>146</v>
      </c>
      <c r="C6" s="106" t="s">
        <v>146</v>
      </c>
      <c r="D6" s="106" t="s">
        <v>146</v>
      </c>
      <c r="E6" s="106" t="s">
        <v>146</v>
      </c>
      <c r="F6" s="106" t="s">
        <v>146</v>
      </c>
      <c r="G6" s="106" t="s">
        <v>146</v>
      </c>
      <c r="H6" s="107" t="s">
        <v>146</v>
      </c>
      <c r="I6" s="107" t="s">
        <v>146</v>
      </c>
      <c r="J6" s="107" t="s">
        <v>146</v>
      </c>
      <c r="K6" s="107" t="s">
        <v>146</v>
      </c>
      <c r="L6" s="106" t="s">
        <v>146</v>
      </c>
      <c r="M6" s="106" t="s">
        <v>146</v>
      </c>
      <c r="N6" s="106" t="s">
        <v>146</v>
      </c>
      <c r="O6" s="106" t="s">
        <v>146</v>
      </c>
      <c r="P6" s="106" t="s">
        <v>146</v>
      </c>
      <c r="Q6" s="106" t="s">
        <v>146</v>
      </c>
      <c r="R6" s="106" t="s">
        <v>146</v>
      </c>
      <c r="S6" s="106" t="s">
        <v>146</v>
      </c>
      <c r="T6" s="105" t="s">
        <v>147</v>
      </c>
      <c r="U6" s="105" t="s">
        <v>148</v>
      </c>
    </row>
    <row r="7" ht="12.95" customHeight="1" spans="1:23">
      <c r="A7" s="108">
        <v>1</v>
      </c>
      <c r="B7" s="109">
        <v>243</v>
      </c>
      <c r="C7" s="110">
        <v>127</v>
      </c>
      <c r="D7" s="111">
        <v>150</v>
      </c>
      <c r="E7" s="112">
        <v>2.93</v>
      </c>
      <c r="F7" s="113">
        <v>26.3</v>
      </c>
      <c r="G7" s="114">
        <v>31.4</v>
      </c>
      <c r="H7" s="115">
        <v>32</v>
      </c>
      <c r="I7" s="112" t="s">
        <v>149</v>
      </c>
      <c r="J7" s="115">
        <v>20</v>
      </c>
      <c r="K7" s="112">
        <v>0.53</v>
      </c>
      <c r="L7" s="166">
        <v>0.51</v>
      </c>
      <c r="M7" s="166">
        <v>8.82</v>
      </c>
      <c r="N7" s="111">
        <v>28</v>
      </c>
      <c r="O7" s="167" t="s">
        <v>149</v>
      </c>
      <c r="P7" s="111">
        <v>7</v>
      </c>
      <c r="Q7" s="166">
        <v>0.1</v>
      </c>
      <c r="R7" s="170">
        <v>0.38</v>
      </c>
      <c r="S7" s="166">
        <v>8.22</v>
      </c>
      <c r="T7" s="118">
        <v>78</v>
      </c>
      <c r="U7" s="116" t="s">
        <v>130</v>
      </c>
      <c r="V7" s="190"/>
      <c r="W7" s="191">
        <f>1-S7/G7</f>
        <v>0.738216560509554</v>
      </c>
    </row>
    <row r="8" ht="12.95" customHeight="1" spans="1:23">
      <c r="A8" s="108">
        <v>2</v>
      </c>
      <c r="B8" s="109">
        <v>288</v>
      </c>
      <c r="C8" s="110">
        <v>151</v>
      </c>
      <c r="D8" s="111">
        <v>180</v>
      </c>
      <c r="E8" s="116">
        <v>2.39</v>
      </c>
      <c r="F8" s="114">
        <v>22.9</v>
      </c>
      <c r="G8" s="114">
        <v>28.6</v>
      </c>
      <c r="H8" s="115">
        <v>38</v>
      </c>
      <c r="I8" s="112" t="s">
        <v>149</v>
      </c>
      <c r="J8" s="115">
        <v>20</v>
      </c>
      <c r="K8" s="112">
        <v>0.49</v>
      </c>
      <c r="L8" s="166">
        <v>0.54</v>
      </c>
      <c r="M8" s="166">
        <v>8.22</v>
      </c>
      <c r="N8" s="111">
        <v>31</v>
      </c>
      <c r="O8" s="167" t="s">
        <v>149</v>
      </c>
      <c r="P8" s="111">
        <v>5</v>
      </c>
      <c r="Q8" s="166">
        <v>0.13</v>
      </c>
      <c r="R8" s="170">
        <v>0.39</v>
      </c>
      <c r="S8" s="166">
        <v>7.7</v>
      </c>
      <c r="T8" s="118">
        <v>77.5</v>
      </c>
      <c r="U8" s="116" t="s">
        <v>130</v>
      </c>
      <c r="V8" s="190"/>
      <c r="W8" s="191">
        <f t="shared" ref="W8:W37" si="0">1-S8/G8</f>
        <v>0.730769230769231</v>
      </c>
    </row>
    <row r="9" ht="12.95" customHeight="1" spans="1:23">
      <c r="A9" s="108">
        <v>3</v>
      </c>
      <c r="B9" s="109">
        <v>234</v>
      </c>
      <c r="C9" s="110">
        <v>124</v>
      </c>
      <c r="D9" s="111">
        <v>144</v>
      </c>
      <c r="E9" s="112">
        <v>2.63</v>
      </c>
      <c r="F9" s="114">
        <v>23.9</v>
      </c>
      <c r="G9" s="114">
        <v>28.8</v>
      </c>
      <c r="H9" s="115">
        <v>34</v>
      </c>
      <c r="I9" s="112" t="s">
        <v>149</v>
      </c>
      <c r="J9" s="115">
        <v>18</v>
      </c>
      <c r="K9" s="112">
        <v>0.51</v>
      </c>
      <c r="L9" s="166">
        <v>0.52</v>
      </c>
      <c r="M9" s="166">
        <v>7.83</v>
      </c>
      <c r="N9" s="111">
        <v>29</v>
      </c>
      <c r="O9" s="167" t="s">
        <v>149</v>
      </c>
      <c r="P9" s="111">
        <v>5</v>
      </c>
      <c r="Q9" s="166">
        <v>0.08</v>
      </c>
      <c r="R9" s="170">
        <v>0.46</v>
      </c>
      <c r="S9" s="166">
        <v>6.98</v>
      </c>
      <c r="T9" s="118">
        <v>77.8</v>
      </c>
      <c r="U9" s="116" t="s">
        <v>130</v>
      </c>
      <c r="V9" s="190"/>
      <c r="W9" s="191">
        <f t="shared" si="0"/>
        <v>0.757638888888889</v>
      </c>
    </row>
    <row r="10" ht="12.95" customHeight="1" spans="1:23">
      <c r="A10" s="108">
        <v>4</v>
      </c>
      <c r="B10" s="109">
        <v>260</v>
      </c>
      <c r="C10" s="110">
        <v>138</v>
      </c>
      <c r="D10" s="111">
        <v>152</v>
      </c>
      <c r="E10" s="112">
        <v>2.44</v>
      </c>
      <c r="F10" s="114">
        <v>24.5</v>
      </c>
      <c r="G10" s="114">
        <v>30.8</v>
      </c>
      <c r="H10" s="115">
        <v>38</v>
      </c>
      <c r="I10" s="112" t="s">
        <v>149</v>
      </c>
      <c r="J10" s="115">
        <v>17</v>
      </c>
      <c r="K10" s="112">
        <v>0.52</v>
      </c>
      <c r="L10" s="166">
        <v>0.54</v>
      </c>
      <c r="M10" s="166">
        <v>6.93</v>
      </c>
      <c r="N10" s="111">
        <v>29</v>
      </c>
      <c r="O10" s="167" t="s">
        <v>149</v>
      </c>
      <c r="P10" s="111">
        <v>5</v>
      </c>
      <c r="Q10" s="166">
        <v>0.09</v>
      </c>
      <c r="R10" s="170">
        <v>0.28</v>
      </c>
      <c r="S10" s="166">
        <v>6.58</v>
      </c>
      <c r="T10" s="118">
        <v>77.4</v>
      </c>
      <c r="U10" s="116"/>
      <c r="V10" s="190"/>
      <c r="W10" s="191">
        <f t="shared" si="0"/>
        <v>0.786363636363636</v>
      </c>
    </row>
    <row r="11" ht="12.95" customHeight="1" spans="1:23">
      <c r="A11" s="108">
        <v>5</v>
      </c>
      <c r="B11" s="109">
        <v>230</v>
      </c>
      <c r="C11" s="110">
        <v>120</v>
      </c>
      <c r="D11" s="111">
        <v>122</v>
      </c>
      <c r="E11" s="112">
        <v>3.01</v>
      </c>
      <c r="F11" s="117">
        <v>28</v>
      </c>
      <c r="G11" s="114">
        <v>34.7</v>
      </c>
      <c r="H11" s="115">
        <v>36</v>
      </c>
      <c r="I11" s="112" t="s">
        <v>149</v>
      </c>
      <c r="J11" s="115">
        <v>17</v>
      </c>
      <c r="K11" s="112">
        <v>0.52</v>
      </c>
      <c r="L11" s="166">
        <v>0.6</v>
      </c>
      <c r="M11" s="113">
        <v>10.5</v>
      </c>
      <c r="N11" s="111">
        <v>27</v>
      </c>
      <c r="O11" s="167" t="s">
        <v>149</v>
      </c>
      <c r="P11" s="111">
        <v>5</v>
      </c>
      <c r="Q11" s="166">
        <v>0.13</v>
      </c>
      <c r="R11" s="170">
        <v>0.52</v>
      </c>
      <c r="S11" s="166">
        <v>8.47</v>
      </c>
      <c r="T11" s="118">
        <v>77.8</v>
      </c>
      <c r="U11" s="116"/>
      <c r="V11" s="190"/>
      <c r="W11" s="191">
        <f t="shared" si="0"/>
        <v>0.755907780979827</v>
      </c>
    </row>
    <row r="12" ht="12.95" customHeight="1" spans="1:23">
      <c r="A12" s="108">
        <v>6</v>
      </c>
      <c r="B12" s="109">
        <v>213</v>
      </c>
      <c r="C12" s="110">
        <v>113</v>
      </c>
      <c r="D12" s="111">
        <v>130</v>
      </c>
      <c r="E12" s="112">
        <v>2.44</v>
      </c>
      <c r="F12" s="113">
        <v>24.5</v>
      </c>
      <c r="G12" s="114">
        <v>31.7</v>
      </c>
      <c r="H12" s="115">
        <v>32</v>
      </c>
      <c r="I12" s="112" t="s">
        <v>149</v>
      </c>
      <c r="J12" s="115">
        <v>15</v>
      </c>
      <c r="K12" s="112">
        <v>0.5</v>
      </c>
      <c r="L12" s="166">
        <v>0.68</v>
      </c>
      <c r="M12" s="166">
        <v>8.17</v>
      </c>
      <c r="N12" s="111">
        <v>26</v>
      </c>
      <c r="O12" s="167" t="s">
        <v>149</v>
      </c>
      <c r="P12" s="111">
        <v>5</v>
      </c>
      <c r="Q12" s="166">
        <v>0.1</v>
      </c>
      <c r="R12" s="170">
        <v>0.55</v>
      </c>
      <c r="S12" s="166">
        <v>7.88</v>
      </c>
      <c r="T12" s="118">
        <v>77.9</v>
      </c>
      <c r="U12" s="116">
        <v>70</v>
      </c>
      <c r="V12" s="190"/>
      <c r="W12" s="191">
        <f t="shared" si="0"/>
        <v>0.751419558359621</v>
      </c>
    </row>
    <row r="13" ht="12.95" customHeight="1" spans="1:23">
      <c r="A13" s="108">
        <v>7</v>
      </c>
      <c r="B13" s="109">
        <v>268</v>
      </c>
      <c r="C13" s="110">
        <v>141</v>
      </c>
      <c r="D13" s="111">
        <v>198</v>
      </c>
      <c r="E13" s="112">
        <v>3.06</v>
      </c>
      <c r="F13" s="113">
        <v>22.8</v>
      </c>
      <c r="G13" s="114">
        <v>28.2</v>
      </c>
      <c r="H13" s="115">
        <v>30</v>
      </c>
      <c r="I13" s="112" t="s">
        <v>149</v>
      </c>
      <c r="J13" s="115">
        <v>13</v>
      </c>
      <c r="K13" s="112">
        <v>0.51</v>
      </c>
      <c r="L13" s="166">
        <v>0.46</v>
      </c>
      <c r="M13" s="166">
        <v>8.22</v>
      </c>
      <c r="N13" s="111">
        <v>27</v>
      </c>
      <c r="O13" s="167" t="s">
        <v>149</v>
      </c>
      <c r="P13" s="111">
        <v>5</v>
      </c>
      <c r="Q13" s="166">
        <v>0.09</v>
      </c>
      <c r="R13" s="170">
        <v>0.36</v>
      </c>
      <c r="S13" s="166">
        <v>7.7</v>
      </c>
      <c r="T13" s="118">
        <v>77.7</v>
      </c>
      <c r="U13" s="116" t="s">
        <v>130</v>
      </c>
      <c r="V13" s="190"/>
      <c r="W13" s="191">
        <f t="shared" si="0"/>
        <v>0.726950354609929</v>
      </c>
    </row>
    <row r="14" ht="12.95" customHeight="1" spans="1:23">
      <c r="A14" s="108">
        <v>8</v>
      </c>
      <c r="B14" s="109">
        <v>332</v>
      </c>
      <c r="C14" s="110">
        <v>177</v>
      </c>
      <c r="D14" s="111">
        <v>244</v>
      </c>
      <c r="E14" s="112">
        <v>3.06</v>
      </c>
      <c r="F14" s="118">
        <v>20.6</v>
      </c>
      <c r="G14" s="114">
        <v>29.4</v>
      </c>
      <c r="H14" s="115">
        <v>33</v>
      </c>
      <c r="I14" s="112" t="s">
        <v>149</v>
      </c>
      <c r="J14" s="115">
        <v>17</v>
      </c>
      <c r="K14" s="112">
        <v>0.51</v>
      </c>
      <c r="L14" s="166">
        <v>0.48</v>
      </c>
      <c r="M14" s="166">
        <v>7.73</v>
      </c>
      <c r="N14" s="111">
        <v>26</v>
      </c>
      <c r="O14" s="167" t="s">
        <v>149</v>
      </c>
      <c r="P14" s="111">
        <v>5</v>
      </c>
      <c r="Q14" s="166">
        <v>0.1</v>
      </c>
      <c r="R14" s="170">
        <v>0.38</v>
      </c>
      <c r="S14" s="166">
        <v>7.36</v>
      </c>
      <c r="T14" s="118">
        <v>77.7</v>
      </c>
      <c r="U14" s="116" t="s">
        <v>130</v>
      </c>
      <c r="V14" s="190"/>
      <c r="W14" s="191">
        <f t="shared" si="0"/>
        <v>0.749659863945578</v>
      </c>
    </row>
    <row r="15" ht="12.95" customHeight="1" spans="1:23">
      <c r="A15" s="108">
        <v>9</v>
      </c>
      <c r="B15" s="109">
        <v>250</v>
      </c>
      <c r="C15" s="110">
        <v>133</v>
      </c>
      <c r="D15" s="111">
        <v>160</v>
      </c>
      <c r="E15" s="112">
        <v>3.24</v>
      </c>
      <c r="F15" s="114">
        <v>26.9</v>
      </c>
      <c r="G15" s="114">
        <v>33.9</v>
      </c>
      <c r="H15" s="115">
        <v>43</v>
      </c>
      <c r="I15" s="112" t="s">
        <v>149</v>
      </c>
      <c r="J15" s="115">
        <v>20</v>
      </c>
      <c r="K15" s="112">
        <v>0.54</v>
      </c>
      <c r="L15" s="166">
        <v>0.54</v>
      </c>
      <c r="M15" s="166">
        <v>8.42</v>
      </c>
      <c r="N15" s="111">
        <v>34</v>
      </c>
      <c r="O15" s="167" t="s">
        <v>149</v>
      </c>
      <c r="P15" s="111">
        <v>6</v>
      </c>
      <c r="Q15" s="166">
        <v>0.12</v>
      </c>
      <c r="R15" s="170">
        <v>0.43</v>
      </c>
      <c r="S15" s="166">
        <v>8.22</v>
      </c>
      <c r="T15" s="118">
        <v>77.7</v>
      </c>
      <c r="U15" s="116" t="s">
        <v>130</v>
      </c>
      <c r="V15" s="190"/>
      <c r="W15" s="191">
        <f t="shared" si="0"/>
        <v>0.757522123893805</v>
      </c>
    </row>
    <row r="16" ht="12.95" customHeight="1" spans="1:23">
      <c r="A16" s="108">
        <v>10</v>
      </c>
      <c r="B16" s="109">
        <v>160</v>
      </c>
      <c r="C16" s="119">
        <v>86.3</v>
      </c>
      <c r="D16" s="111">
        <v>76</v>
      </c>
      <c r="E16" s="112">
        <v>2.48</v>
      </c>
      <c r="F16" s="114">
        <v>23.8</v>
      </c>
      <c r="G16" s="114">
        <v>29.8</v>
      </c>
      <c r="H16" s="115">
        <v>39</v>
      </c>
      <c r="I16" s="168" t="s">
        <v>149</v>
      </c>
      <c r="J16" s="115">
        <v>18</v>
      </c>
      <c r="K16" s="112">
        <v>0.51</v>
      </c>
      <c r="L16" s="166">
        <v>0.5</v>
      </c>
      <c r="M16" s="166">
        <v>8.92</v>
      </c>
      <c r="N16" s="111">
        <v>31</v>
      </c>
      <c r="O16" s="167" t="s">
        <v>149</v>
      </c>
      <c r="P16" s="111">
        <v>6</v>
      </c>
      <c r="Q16" s="166">
        <v>0.12</v>
      </c>
      <c r="R16" s="170">
        <v>0.36</v>
      </c>
      <c r="S16" s="166">
        <v>8.22</v>
      </c>
      <c r="T16" s="118">
        <v>77.4</v>
      </c>
      <c r="U16" s="116" t="s">
        <v>130</v>
      </c>
      <c r="V16" s="190"/>
      <c r="W16" s="191">
        <f t="shared" si="0"/>
        <v>0.724161073825503</v>
      </c>
    </row>
    <row r="17" ht="12.95" customHeight="1" spans="1:23">
      <c r="A17" s="108">
        <v>11</v>
      </c>
      <c r="B17" s="109">
        <v>272</v>
      </c>
      <c r="C17" s="110">
        <v>141</v>
      </c>
      <c r="D17" s="111">
        <v>128</v>
      </c>
      <c r="E17" s="112">
        <v>3.62</v>
      </c>
      <c r="F17" s="113">
        <v>24.4</v>
      </c>
      <c r="G17" s="114">
        <v>30.8</v>
      </c>
      <c r="H17" s="115">
        <v>39</v>
      </c>
      <c r="I17" s="112" t="s">
        <v>149</v>
      </c>
      <c r="J17" s="115">
        <v>18</v>
      </c>
      <c r="K17" s="112">
        <v>0.49</v>
      </c>
      <c r="L17" s="166">
        <v>0.56</v>
      </c>
      <c r="M17" s="166">
        <v>8.32</v>
      </c>
      <c r="N17" s="111">
        <v>30</v>
      </c>
      <c r="O17" s="167" t="s">
        <v>149</v>
      </c>
      <c r="P17" s="111">
        <v>5</v>
      </c>
      <c r="Q17" s="166">
        <v>0.09</v>
      </c>
      <c r="R17" s="170">
        <v>0.43</v>
      </c>
      <c r="S17" s="166">
        <v>8.08</v>
      </c>
      <c r="T17" s="118">
        <v>77.2</v>
      </c>
      <c r="U17" s="116"/>
      <c r="V17" s="190"/>
      <c r="W17" s="191">
        <f t="shared" si="0"/>
        <v>0.737662337662338</v>
      </c>
    </row>
    <row r="18" ht="12.95" customHeight="1" spans="1:23">
      <c r="A18" s="108">
        <v>12</v>
      </c>
      <c r="B18" s="111">
        <v>296</v>
      </c>
      <c r="C18" s="110">
        <v>160</v>
      </c>
      <c r="D18" s="120">
        <v>168</v>
      </c>
      <c r="E18" s="112">
        <v>3.11</v>
      </c>
      <c r="F18" s="114">
        <v>29</v>
      </c>
      <c r="G18" s="114">
        <v>38.5</v>
      </c>
      <c r="H18" s="115">
        <v>34</v>
      </c>
      <c r="I18" s="112" t="s">
        <v>149</v>
      </c>
      <c r="J18" s="61">
        <v>18</v>
      </c>
      <c r="K18" s="112">
        <v>0.53</v>
      </c>
      <c r="L18" s="166">
        <v>0.72</v>
      </c>
      <c r="M18" s="166">
        <v>9.87</v>
      </c>
      <c r="N18" s="111">
        <v>30</v>
      </c>
      <c r="O18" s="167" t="s">
        <v>149</v>
      </c>
      <c r="P18" s="111">
        <v>6</v>
      </c>
      <c r="Q18" s="166">
        <v>0.13</v>
      </c>
      <c r="R18" s="170">
        <v>0.65</v>
      </c>
      <c r="S18" s="169">
        <v>8.37</v>
      </c>
      <c r="T18" s="118">
        <v>77.5</v>
      </c>
      <c r="U18" s="116"/>
      <c r="V18" s="190"/>
      <c r="W18" s="191">
        <f t="shared" si="0"/>
        <v>0.782597402597403</v>
      </c>
    </row>
    <row r="19" ht="12.95" customHeight="1" spans="1:23">
      <c r="A19" s="108">
        <v>13</v>
      </c>
      <c r="B19" s="109">
        <v>318</v>
      </c>
      <c r="C19" s="110">
        <v>168</v>
      </c>
      <c r="D19" s="120">
        <v>154</v>
      </c>
      <c r="E19" s="112">
        <v>3.52</v>
      </c>
      <c r="F19" s="114">
        <v>27.1</v>
      </c>
      <c r="G19" s="114">
        <v>35.1</v>
      </c>
      <c r="H19" s="115">
        <v>44</v>
      </c>
      <c r="I19" s="112">
        <v>2.16</v>
      </c>
      <c r="J19" s="61">
        <v>20</v>
      </c>
      <c r="K19" s="112">
        <v>0.57</v>
      </c>
      <c r="L19" s="166">
        <v>0.74</v>
      </c>
      <c r="M19" s="166">
        <v>9.8</v>
      </c>
      <c r="N19" s="111">
        <v>28</v>
      </c>
      <c r="O19" s="167" t="s">
        <v>149</v>
      </c>
      <c r="P19" s="111">
        <v>5</v>
      </c>
      <c r="Q19" s="166">
        <v>0.13</v>
      </c>
      <c r="R19" s="170">
        <v>0.34</v>
      </c>
      <c r="S19" s="166">
        <v>8.03</v>
      </c>
      <c r="T19" s="118">
        <v>78</v>
      </c>
      <c r="U19" s="116" t="s">
        <v>130</v>
      </c>
      <c r="V19" s="190"/>
      <c r="W19" s="191">
        <f t="shared" si="0"/>
        <v>0.771225071225071</v>
      </c>
    </row>
    <row r="20" ht="12.95" customHeight="1" spans="1:23">
      <c r="A20" s="108">
        <v>14</v>
      </c>
      <c r="B20" s="109">
        <v>252</v>
      </c>
      <c r="C20" s="119">
        <v>131</v>
      </c>
      <c r="D20" s="111">
        <v>122</v>
      </c>
      <c r="E20" s="112">
        <v>2.62</v>
      </c>
      <c r="F20" s="118">
        <v>31.9</v>
      </c>
      <c r="G20" s="114">
        <v>37.4</v>
      </c>
      <c r="H20" s="115">
        <v>39</v>
      </c>
      <c r="I20" s="168" t="s">
        <v>149</v>
      </c>
      <c r="J20" s="115">
        <v>18</v>
      </c>
      <c r="K20" s="112">
        <v>0.51</v>
      </c>
      <c r="L20" s="166">
        <v>0.53</v>
      </c>
      <c r="M20" s="113">
        <v>10.5</v>
      </c>
      <c r="N20" s="111">
        <v>28</v>
      </c>
      <c r="O20" s="167" t="s">
        <v>149</v>
      </c>
      <c r="P20" s="111">
        <v>5</v>
      </c>
      <c r="Q20" s="166">
        <v>0.14</v>
      </c>
      <c r="R20" s="170">
        <v>0.44</v>
      </c>
      <c r="S20" s="166">
        <v>8.97</v>
      </c>
      <c r="T20" s="118">
        <v>77.6</v>
      </c>
      <c r="U20" s="116" t="s">
        <v>130</v>
      </c>
      <c r="V20" s="190"/>
      <c r="W20" s="191">
        <f t="shared" si="0"/>
        <v>0.760160427807487</v>
      </c>
    </row>
    <row r="21" ht="12.95" customHeight="1" spans="1:23">
      <c r="A21" s="108">
        <v>15</v>
      </c>
      <c r="B21" s="109">
        <v>170</v>
      </c>
      <c r="C21" s="110">
        <v>90.6</v>
      </c>
      <c r="D21" s="111">
        <v>98</v>
      </c>
      <c r="E21" s="112">
        <v>2.41</v>
      </c>
      <c r="F21" s="113">
        <v>23.1</v>
      </c>
      <c r="G21" s="114">
        <v>27.9</v>
      </c>
      <c r="H21" s="115">
        <v>29</v>
      </c>
      <c r="I21" s="112" t="s">
        <v>149</v>
      </c>
      <c r="J21" s="115">
        <v>12</v>
      </c>
      <c r="K21" s="112">
        <v>0.51</v>
      </c>
      <c r="L21" s="166">
        <v>0.51</v>
      </c>
      <c r="M21" s="166">
        <v>8.17</v>
      </c>
      <c r="N21" s="111">
        <v>26</v>
      </c>
      <c r="O21" s="167" t="s">
        <v>149</v>
      </c>
      <c r="P21" s="111">
        <v>5</v>
      </c>
      <c r="Q21" s="166">
        <v>0.15</v>
      </c>
      <c r="R21" s="170">
        <v>0.36</v>
      </c>
      <c r="S21" s="166">
        <v>7.18</v>
      </c>
      <c r="T21" s="118">
        <v>77.9</v>
      </c>
      <c r="U21" s="116" t="s">
        <v>130</v>
      </c>
      <c r="V21" s="190"/>
      <c r="W21" s="191">
        <f t="shared" si="0"/>
        <v>0.742652329749104</v>
      </c>
    </row>
    <row r="22" ht="12" customHeight="1" spans="1:23">
      <c r="A22" s="108">
        <v>16</v>
      </c>
      <c r="B22" s="109">
        <v>250</v>
      </c>
      <c r="C22" s="110">
        <v>135</v>
      </c>
      <c r="D22" s="111">
        <v>222</v>
      </c>
      <c r="E22" s="112">
        <v>2.93</v>
      </c>
      <c r="F22" s="113">
        <v>22.3</v>
      </c>
      <c r="G22" s="114">
        <v>27.4</v>
      </c>
      <c r="H22" s="115">
        <v>32</v>
      </c>
      <c r="I22" s="112" t="s">
        <v>149</v>
      </c>
      <c r="J22" s="115">
        <v>18</v>
      </c>
      <c r="K22" s="112">
        <v>0.48</v>
      </c>
      <c r="L22" s="166">
        <v>0.6</v>
      </c>
      <c r="M22" s="166">
        <v>8.02</v>
      </c>
      <c r="N22" s="111">
        <v>25</v>
      </c>
      <c r="O22" s="167" t="s">
        <v>149</v>
      </c>
      <c r="P22" s="111">
        <v>6</v>
      </c>
      <c r="Q22" s="166">
        <v>0.19</v>
      </c>
      <c r="R22" s="170">
        <v>0.48</v>
      </c>
      <c r="S22" s="166">
        <v>7.27</v>
      </c>
      <c r="T22" s="118">
        <v>77.3</v>
      </c>
      <c r="U22" s="116" t="s">
        <v>130</v>
      </c>
      <c r="V22" s="190"/>
      <c r="W22" s="191">
        <f t="shared" si="0"/>
        <v>0.734671532846715</v>
      </c>
    </row>
    <row r="23" ht="12.95" customHeight="1" spans="1:23">
      <c r="A23" s="108">
        <v>17</v>
      </c>
      <c r="B23" s="109">
        <v>184</v>
      </c>
      <c r="C23" s="110">
        <v>99.2</v>
      </c>
      <c r="D23" s="111">
        <v>102</v>
      </c>
      <c r="E23" s="112">
        <v>2</v>
      </c>
      <c r="F23" s="113">
        <v>16.5</v>
      </c>
      <c r="G23" s="114">
        <v>21.8</v>
      </c>
      <c r="H23" s="115">
        <v>36</v>
      </c>
      <c r="I23" s="112" t="s">
        <v>149</v>
      </c>
      <c r="J23" s="115">
        <v>18</v>
      </c>
      <c r="K23" s="112">
        <v>0.52</v>
      </c>
      <c r="L23" s="166">
        <v>0.51</v>
      </c>
      <c r="M23" s="166">
        <v>8.22</v>
      </c>
      <c r="N23" s="111">
        <v>28</v>
      </c>
      <c r="O23" s="167" t="s">
        <v>149</v>
      </c>
      <c r="P23" s="111">
        <v>5</v>
      </c>
      <c r="Q23" s="166">
        <v>0.19</v>
      </c>
      <c r="R23" s="170">
        <v>0.41</v>
      </c>
      <c r="S23" s="166">
        <v>6.87</v>
      </c>
      <c r="T23" s="118">
        <v>77.6</v>
      </c>
      <c r="U23" s="116" t="s">
        <v>130</v>
      </c>
      <c r="V23" s="190"/>
      <c r="W23" s="191">
        <f t="shared" si="0"/>
        <v>0.684862385321101</v>
      </c>
    </row>
    <row r="24" ht="12.95" customHeight="1" spans="1:23">
      <c r="A24" s="108">
        <v>18</v>
      </c>
      <c r="B24" s="116">
        <v>191</v>
      </c>
      <c r="C24" s="110">
        <v>103</v>
      </c>
      <c r="D24" s="111">
        <v>106</v>
      </c>
      <c r="E24" s="112">
        <v>2.67</v>
      </c>
      <c r="F24" s="113">
        <v>17.3</v>
      </c>
      <c r="G24" s="114">
        <v>24.2</v>
      </c>
      <c r="H24" s="115">
        <v>41</v>
      </c>
      <c r="I24" s="112">
        <v>2.24</v>
      </c>
      <c r="J24" s="115">
        <v>19</v>
      </c>
      <c r="K24" s="112">
        <v>0.54</v>
      </c>
      <c r="L24" s="166">
        <v>0.53</v>
      </c>
      <c r="M24" s="166">
        <v>7.62</v>
      </c>
      <c r="N24" s="111">
        <v>32</v>
      </c>
      <c r="O24" s="167" t="s">
        <v>149</v>
      </c>
      <c r="P24" s="111">
        <v>5</v>
      </c>
      <c r="Q24" s="166">
        <v>0.19</v>
      </c>
      <c r="R24" s="170">
        <v>0.44</v>
      </c>
      <c r="S24" s="166">
        <v>7.17</v>
      </c>
      <c r="T24" s="118">
        <v>78.1</v>
      </c>
      <c r="U24" s="116"/>
      <c r="V24" s="190"/>
      <c r="W24" s="191">
        <f t="shared" si="0"/>
        <v>0.703719008264463</v>
      </c>
    </row>
    <row r="25" ht="12.95" customHeight="1" spans="1:23">
      <c r="A25" s="108">
        <v>19</v>
      </c>
      <c r="B25" s="116">
        <v>210</v>
      </c>
      <c r="C25" s="119">
        <v>111</v>
      </c>
      <c r="D25" s="111">
        <v>96</v>
      </c>
      <c r="E25" s="112">
        <v>2.78</v>
      </c>
      <c r="F25" s="114">
        <v>32.1</v>
      </c>
      <c r="G25" s="114">
        <v>37.1</v>
      </c>
      <c r="H25" s="115">
        <v>41</v>
      </c>
      <c r="I25" s="168" t="s">
        <v>149</v>
      </c>
      <c r="J25" s="115">
        <v>19</v>
      </c>
      <c r="K25" s="112">
        <v>0.53</v>
      </c>
      <c r="L25" s="166">
        <v>0.73</v>
      </c>
      <c r="M25" s="113">
        <v>10.3</v>
      </c>
      <c r="N25" s="111">
        <v>31</v>
      </c>
      <c r="O25" s="167" t="s">
        <v>149</v>
      </c>
      <c r="P25" s="111">
        <v>5</v>
      </c>
      <c r="Q25" s="166">
        <v>0.18</v>
      </c>
      <c r="R25" s="170">
        <v>0.62</v>
      </c>
      <c r="S25" s="166">
        <v>9.07</v>
      </c>
      <c r="T25" s="118">
        <v>78.4</v>
      </c>
      <c r="U25" s="116"/>
      <c r="V25" s="190"/>
      <c r="W25" s="191">
        <f t="shared" si="0"/>
        <v>0.755525606469003</v>
      </c>
    </row>
    <row r="26" ht="12.95" customHeight="1" spans="1:23">
      <c r="A26" s="108">
        <v>20</v>
      </c>
      <c r="B26" s="116">
        <v>225</v>
      </c>
      <c r="C26" s="110">
        <v>122</v>
      </c>
      <c r="D26" s="111">
        <v>118</v>
      </c>
      <c r="E26" s="112">
        <v>2.45</v>
      </c>
      <c r="F26" s="114">
        <v>24.2</v>
      </c>
      <c r="G26" s="114">
        <v>29.3</v>
      </c>
      <c r="H26" s="115">
        <v>34</v>
      </c>
      <c r="I26" s="112" t="s">
        <v>149</v>
      </c>
      <c r="J26" s="115">
        <v>11</v>
      </c>
      <c r="K26" s="112">
        <v>0.56</v>
      </c>
      <c r="L26" s="166">
        <v>0.73</v>
      </c>
      <c r="M26" s="166">
        <v>9.3</v>
      </c>
      <c r="N26" s="111">
        <v>30</v>
      </c>
      <c r="O26" s="167" t="s">
        <v>149</v>
      </c>
      <c r="P26" s="111">
        <v>5</v>
      </c>
      <c r="Q26" s="166">
        <v>0.19</v>
      </c>
      <c r="R26" s="170">
        <v>0.68</v>
      </c>
      <c r="S26" s="166">
        <v>8.67</v>
      </c>
      <c r="T26" s="118">
        <v>77.8</v>
      </c>
      <c r="U26" s="116" t="s">
        <v>130</v>
      </c>
      <c r="V26" s="190"/>
      <c r="W26" s="191">
        <f t="shared" si="0"/>
        <v>0.704095563139932</v>
      </c>
    </row>
    <row r="27" ht="12.95" customHeight="1" spans="1:23">
      <c r="A27" s="108">
        <v>21</v>
      </c>
      <c r="B27" s="116">
        <v>237</v>
      </c>
      <c r="C27" s="110">
        <v>125</v>
      </c>
      <c r="D27" s="111">
        <v>122</v>
      </c>
      <c r="E27" s="112">
        <v>1.87</v>
      </c>
      <c r="F27" s="118">
        <v>20</v>
      </c>
      <c r="G27" s="114">
        <v>25.2</v>
      </c>
      <c r="H27" s="115">
        <v>39</v>
      </c>
      <c r="I27" s="112" t="s">
        <v>149</v>
      </c>
      <c r="J27" s="115">
        <v>16</v>
      </c>
      <c r="K27" s="112">
        <v>0.51</v>
      </c>
      <c r="L27" s="166">
        <v>0.72</v>
      </c>
      <c r="M27" s="166">
        <v>9.92</v>
      </c>
      <c r="N27" s="111">
        <v>26</v>
      </c>
      <c r="O27" s="167" t="s">
        <v>149</v>
      </c>
      <c r="P27" s="111">
        <v>5</v>
      </c>
      <c r="Q27" s="166">
        <v>0.15</v>
      </c>
      <c r="R27" s="170">
        <v>0.53</v>
      </c>
      <c r="S27" s="166">
        <v>8.84</v>
      </c>
      <c r="T27" s="118">
        <v>77.6</v>
      </c>
      <c r="U27" s="116" t="s">
        <v>130</v>
      </c>
      <c r="V27" s="190"/>
      <c r="W27" s="191">
        <f t="shared" si="0"/>
        <v>0.649206349206349</v>
      </c>
    </row>
    <row r="28" ht="12.95" customHeight="1" spans="1:23">
      <c r="A28" s="108">
        <v>22</v>
      </c>
      <c r="B28" s="116">
        <v>244</v>
      </c>
      <c r="C28" s="110">
        <v>129</v>
      </c>
      <c r="D28" s="111">
        <v>136</v>
      </c>
      <c r="E28" s="112">
        <v>2.27</v>
      </c>
      <c r="F28" s="118">
        <v>23.8</v>
      </c>
      <c r="G28" s="114">
        <v>29.9</v>
      </c>
      <c r="H28" s="115">
        <v>39</v>
      </c>
      <c r="I28" s="112" t="s">
        <v>149</v>
      </c>
      <c r="J28" s="115">
        <v>12</v>
      </c>
      <c r="K28" s="112">
        <v>0.5</v>
      </c>
      <c r="L28" s="166">
        <v>0.66</v>
      </c>
      <c r="M28" s="166">
        <v>8.27</v>
      </c>
      <c r="N28" s="111">
        <v>32</v>
      </c>
      <c r="O28" s="167" t="s">
        <v>149</v>
      </c>
      <c r="P28" s="111">
        <v>5</v>
      </c>
      <c r="Q28" s="166">
        <v>0.19</v>
      </c>
      <c r="R28" s="170">
        <v>0.5</v>
      </c>
      <c r="S28" s="166">
        <v>7.97</v>
      </c>
      <c r="T28" s="118">
        <v>77.4</v>
      </c>
      <c r="U28" s="116" t="s">
        <v>130</v>
      </c>
      <c r="V28" s="190"/>
      <c r="W28" s="191">
        <f t="shared" si="0"/>
        <v>0.733444816053512</v>
      </c>
    </row>
    <row r="29" ht="12.95" customHeight="1" spans="1:23">
      <c r="A29" s="108">
        <v>23</v>
      </c>
      <c r="B29" s="116">
        <v>188</v>
      </c>
      <c r="C29" s="119">
        <v>102</v>
      </c>
      <c r="D29" s="111">
        <v>96</v>
      </c>
      <c r="E29" s="112">
        <v>1.97</v>
      </c>
      <c r="F29" s="118">
        <v>20.6</v>
      </c>
      <c r="G29" s="114">
        <v>26.7</v>
      </c>
      <c r="H29" s="115">
        <v>34</v>
      </c>
      <c r="I29" s="168" t="s">
        <v>149</v>
      </c>
      <c r="J29" s="115">
        <v>17</v>
      </c>
      <c r="K29" s="112">
        <v>0.53</v>
      </c>
      <c r="L29" s="166">
        <v>0.56</v>
      </c>
      <c r="M29" s="166">
        <v>8.22</v>
      </c>
      <c r="N29" s="111">
        <v>30</v>
      </c>
      <c r="O29" s="167" t="s">
        <v>149</v>
      </c>
      <c r="P29" s="111">
        <v>5</v>
      </c>
      <c r="Q29" s="166">
        <v>0.17</v>
      </c>
      <c r="R29" s="170">
        <v>0.4</v>
      </c>
      <c r="S29" s="166">
        <v>7.4</v>
      </c>
      <c r="T29" s="118">
        <v>77.8</v>
      </c>
      <c r="U29" s="116" t="s">
        <v>130</v>
      </c>
      <c r="V29" s="190"/>
      <c r="W29" s="191">
        <f t="shared" si="0"/>
        <v>0.722846441947566</v>
      </c>
    </row>
    <row r="30" ht="12.95" customHeight="1" spans="1:23">
      <c r="A30" s="108">
        <v>24</v>
      </c>
      <c r="B30" s="116">
        <v>228</v>
      </c>
      <c r="C30" s="110">
        <v>123</v>
      </c>
      <c r="D30" s="111">
        <v>132</v>
      </c>
      <c r="E30" s="112">
        <v>2.59</v>
      </c>
      <c r="F30" s="121">
        <v>23</v>
      </c>
      <c r="G30" s="122">
        <v>32.3</v>
      </c>
      <c r="H30" s="115">
        <v>41</v>
      </c>
      <c r="I30" s="112">
        <v>2.06</v>
      </c>
      <c r="J30" s="115">
        <v>18</v>
      </c>
      <c r="K30" s="112">
        <v>0.51</v>
      </c>
      <c r="L30" s="166">
        <v>0.92</v>
      </c>
      <c r="M30" s="166">
        <v>8.42</v>
      </c>
      <c r="N30" s="111">
        <v>34</v>
      </c>
      <c r="O30" s="167" t="s">
        <v>149</v>
      </c>
      <c r="P30" s="111">
        <v>6</v>
      </c>
      <c r="Q30" s="166">
        <v>0.12</v>
      </c>
      <c r="R30" s="166">
        <v>0.49</v>
      </c>
      <c r="S30" s="166">
        <v>7.82</v>
      </c>
      <c r="T30" s="121">
        <v>77.9</v>
      </c>
      <c r="U30" s="116" t="s">
        <v>130</v>
      </c>
      <c r="V30" s="190"/>
      <c r="W30" s="191">
        <f t="shared" si="0"/>
        <v>0.757894736842105</v>
      </c>
    </row>
    <row r="31" ht="12.95" customHeight="1" spans="1:23">
      <c r="A31" s="108">
        <v>25</v>
      </c>
      <c r="B31" s="116">
        <v>230</v>
      </c>
      <c r="C31" s="110">
        <v>120</v>
      </c>
      <c r="D31" s="111">
        <v>122</v>
      </c>
      <c r="E31" s="112">
        <v>2.91</v>
      </c>
      <c r="F31" s="114">
        <v>21.1</v>
      </c>
      <c r="G31" s="122">
        <v>28.8</v>
      </c>
      <c r="H31" s="115">
        <v>41</v>
      </c>
      <c r="I31" s="112" t="s">
        <v>149</v>
      </c>
      <c r="J31" s="115">
        <v>16</v>
      </c>
      <c r="K31" s="112">
        <v>0.56</v>
      </c>
      <c r="L31" s="166">
        <v>0.7</v>
      </c>
      <c r="M31" s="169">
        <v>9.77</v>
      </c>
      <c r="N31" s="111">
        <v>33</v>
      </c>
      <c r="O31" s="167" t="s">
        <v>149</v>
      </c>
      <c r="P31" s="111">
        <v>5</v>
      </c>
      <c r="Q31" s="166">
        <v>0.12</v>
      </c>
      <c r="R31" s="166">
        <v>0.55</v>
      </c>
      <c r="S31" s="169">
        <v>8.22</v>
      </c>
      <c r="T31" s="118">
        <v>78.3</v>
      </c>
      <c r="U31" s="116"/>
      <c r="V31" s="190"/>
      <c r="W31" s="191">
        <f t="shared" si="0"/>
        <v>0.714583333333333</v>
      </c>
    </row>
    <row r="32" ht="12.95" customHeight="1" spans="1:23">
      <c r="A32" s="108">
        <v>26</v>
      </c>
      <c r="B32" s="116">
        <v>198</v>
      </c>
      <c r="C32" s="110">
        <v>105</v>
      </c>
      <c r="D32" s="111">
        <v>102</v>
      </c>
      <c r="E32" s="112">
        <v>3.17</v>
      </c>
      <c r="F32" s="113">
        <v>27.8</v>
      </c>
      <c r="G32" s="114">
        <v>33.8</v>
      </c>
      <c r="H32" s="115">
        <v>40</v>
      </c>
      <c r="I32" s="112" t="s">
        <v>149</v>
      </c>
      <c r="J32" s="115">
        <v>17</v>
      </c>
      <c r="K32" s="112">
        <v>0.53</v>
      </c>
      <c r="L32" s="166">
        <v>0.77</v>
      </c>
      <c r="M32" s="166">
        <v>9.52</v>
      </c>
      <c r="N32" s="111">
        <v>30</v>
      </c>
      <c r="O32" s="167" t="s">
        <v>149</v>
      </c>
      <c r="P32" s="111">
        <v>5</v>
      </c>
      <c r="Q32" s="166">
        <v>0.11</v>
      </c>
      <c r="R32" s="166">
        <v>0.76</v>
      </c>
      <c r="S32" s="166">
        <v>8.82</v>
      </c>
      <c r="T32" s="118">
        <v>77.7</v>
      </c>
      <c r="U32" s="116"/>
      <c r="V32" s="190"/>
      <c r="W32" s="191">
        <f t="shared" si="0"/>
        <v>0.73905325443787</v>
      </c>
    </row>
    <row r="33" ht="12.95" customHeight="1" spans="1:23">
      <c r="A33" s="108">
        <v>27</v>
      </c>
      <c r="B33" s="116">
        <v>304</v>
      </c>
      <c r="C33" s="110">
        <v>160</v>
      </c>
      <c r="D33" s="111">
        <v>198</v>
      </c>
      <c r="E33" s="112">
        <v>3.49</v>
      </c>
      <c r="F33" s="118">
        <v>29.8</v>
      </c>
      <c r="G33" s="114">
        <v>35.1</v>
      </c>
      <c r="H33" s="115">
        <v>44</v>
      </c>
      <c r="I33" s="112" t="s">
        <v>149</v>
      </c>
      <c r="J33" s="115">
        <v>19</v>
      </c>
      <c r="K33" s="112">
        <v>0.56</v>
      </c>
      <c r="L33" s="166">
        <v>0.73</v>
      </c>
      <c r="M33" s="113">
        <v>10.1</v>
      </c>
      <c r="N33" s="111">
        <v>32</v>
      </c>
      <c r="O33" s="167" t="s">
        <v>149</v>
      </c>
      <c r="P33" s="111">
        <v>5</v>
      </c>
      <c r="Q33" s="166">
        <v>0.13</v>
      </c>
      <c r="R33" s="166">
        <v>0.56</v>
      </c>
      <c r="S33" s="166">
        <v>8.42</v>
      </c>
      <c r="T33" s="118">
        <v>77.8</v>
      </c>
      <c r="U33" s="116" t="s">
        <v>130</v>
      </c>
      <c r="V33" s="190"/>
      <c r="W33" s="191">
        <f t="shared" si="0"/>
        <v>0.76011396011396</v>
      </c>
    </row>
    <row r="34" ht="12.95" customHeight="1" spans="1:23">
      <c r="A34" s="108">
        <v>28</v>
      </c>
      <c r="B34" s="116">
        <v>325</v>
      </c>
      <c r="C34" s="110">
        <v>169</v>
      </c>
      <c r="D34" s="111">
        <v>132</v>
      </c>
      <c r="E34" s="112">
        <v>4.18</v>
      </c>
      <c r="F34" s="113">
        <v>31.2</v>
      </c>
      <c r="G34" s="114">
        <v>38</v>
      </c>
      <c r="H34" s="115">
        <v>42</v>
      </c>
      <c r="I34" s="112" t="s">
        <v>149</v>
      </c>
      <c r="J34" s="115">
        <v>12</v>
      </c>
      <c r="K34" s="112">
        <v>0.52</v>
      </c>
      <c r="L34" s="166">
        <v>0.8</v>
      </c>
      <c r="M34" s="166">
        <v>9.77</v>
      </c>
      <c r="N34" s="111">
        <v>35</v>
      </c>
      <c r="O34" s="167" t="s">
        <v>149</v>
      </c>
      <c r="P34" s="111">
        <v>5</v>
      </c>
      <c r="Q34" s="166">
        <v>0.15</v>
      </c>
      <c r="R34" s="166">
        <v>0.5</v>
      </c>
      <c r="S34" s="166">
        <v>8.52</v>
      </c>
      <c r="T34" s="118">
        <v>77.3</v>
      </c>
      <c r="U34" s="116" t="s">
        <v>130</v>
      </c>
      <c r="V34" s="190"/>
      <c r="W34" s="191">
        <f t="shared" si="0"/>
        <v>0.775789473684211</v>
      </c>
    </row>
    <row r="35" ht="12.95" customHeight="1" spans="1:23">
      <c r="A35" s="108">
        <v>29</v>
      </c>
      <c r="B35" s="116">
        <v>246</v>
      </c>
      <c r="C35" s="110">
        <v>130</v>
      </c>
      <c r="D35" s="111">
        <v>134</v>
      </c>
      <c r="E35" s="112">
        <v>3.79</v>
      </c>
      <c r="F35" s="113">
        <v>24.3</v>
      </c>
      <c r="G35" s="114">
        <v>29.7</v>
      </c>
      <c r="H35" s="115">
        <v>44</v>
      </c>
      <c r="I35" s="112">
        <v>2.06</v>
      </c>
      <c r="J35" s="115">
        <v>16</v>
      </c>
      <c r="K35" s="112">
        <v>0.52</v>
      </c>
      <c r="L35" s="166">
        <v>0.54</v>
      </c>
      <c r="M35" s="166">
        <v>9.02</v>
      </c>
      <c r="N35" s="111">
        <v>26</v>
      </c>
      <c r="O35" s="167" t="s">
        <v>149</v>
      </c>
      <c r="P35" s="111">
        <v>5</v>
      </c>
      <c r="Q35" s="166">
        <v>0.16</v>
      </c>
      <c r="R35" s="166">
        <v>0.46</v>
      </c>
      <c r="S35" s="166">
        <v>8.44</v>
      </c>
      <c r="T35" s="118">
        <v>78.2</v>
      </c>
      <c r="U35" s="116" t="s">
        <v>130</v>
      </c>
      <c r="V35" s="190"/>
      <c r="W35" s="191">
        <f t="shared" si="0"/>
        <v>0.715824915824916</v>
      </c>
    </row>
    <row r="36" ht="12.95" customHeight="1" spans="1:23">
      <c r="A36" s="108">
        <v>30</v>
      </c>
      <c r="B36" s="116">
        <v>258</v>
      </c>
      <c r="C36" s="110">
        <v>136</v>
      </c>
      <c r="D36" s="111">
        <v>168</v>
      </c>
      <c r="E36" s="112">
        <v>3.88</v>
      </c>
      <c r="F36" s="113">
        <v>25.3</v>
      </c>
      <c r="G36" s="114">
        <v>30.7</v>
      </c>
      <c r="H36" s="115">
        <v>41</v>
      </c>
      <c r="I36" s="112" t="s">
        <v>149</v>
      </c>
      <c r="J36" s="115">
        <v>18</v>
      </c>
      <c r="K36" s="112">
        <v>0.51</v>
      </c>
      <c r="L36" s="166">
        <v>0.71</v>
      </c>
      <c r="M36" s="113">
        <v>11.3</v>
      </c>
      <c r="N36" s="111">
        <v>31</v>
      </c>
      <c r="O36" s="167" t="s">
        <v>149</v>
      </c>
      <c r="P36" s="111">
        <v>5</v>
      </c>
      <c r="Q36" s="166">
        <v>0.18</v>
      </c>
      <c r="R36" s="166">
        <v>0.44</v>
      </c>
      <c r="S36" s="166">
        <v>8.22</v>
      </c>
      <c r="T36" s="118">
        <v>78</v>
      </c>
      <c r="U36" s="116" t="s">
        <v>130</v>
      </c>
      <c r="V36" s="190"/>
      <c r="W36" s="191">
        <f t="shared" si="0"/>
        <v>0.732247557003257</v>
      </c>
    </row>
    <row r="37" ht="12.95" customHeight="1" spans="1:23">
      <c r="A37" s="108">
        <v>31</v>
      </c>
      <c r="B37" s="116">
        <v>277</v>
      </c>
      <c r="C37" s="110">
        <v>144</v>
      </c>
      <c r="D37" s="111">
        <v>162</v>
      </c>
      <c r="E37" s="112">
        <v>3.22</v>
      </c>
      <c r="F37" s="113">
        <v>19.7</v>
      </c>
      <c r="G37" s="114">
        <v>29.8</v>
      </c>
      <c r="H37" s="115">
        <v>44</v>
      </c>
      <c r="I37" s="112">
        <v>2.18</v>
      </c>
      <c r="J37" s="115">
        <v>16</v>
      </c>
      <c r="K37" s="112">
        <v>0.5</v>
      </c>
      <c r="L37" s="166">
        <v>0.74</v>
      </c>
      <c r="M37" s="170">
        <v>8.72</v>
      </c>
      <c r="N37" s="111">
        <v>32</v>
      </c>
      <c r="O37" s="167" t="s">
        <v>149</v>
      </c>
      <c r="P37" s="111">
        <v>5</v>
      </c>
      <c r="Q37" s="166">
        <v>0.17</v>
      </c>
      <c r="R37" s="166">
        <v>0.55</v>
      </c>
      <c r="S37" s="166">
        <v>6.9</v>
      </c>
      <c r="T37" s="118">
        <v>77.4</v>
      </c>
      <c r="U37" s="116" t="s">
        <v>130</v>
      </c>
      <c r="V37" s="190"/>
      <c r="W37" s="191">
        <f t="shared" si="0"/>
        <v>0.768456375838926</v>
      </c>
    </row>
    <row r="38" ht="12.95" customHeight="1" spans="1:21">
      <c r="A38" s="108" t="s">
        <v>70</v>
      </c>
      <c r="B38" s="111">
        <f>ROUND(AVERAGE(B7:B37),0)</f>
        <v>245</v>
      </c>
      <c r="C38" s="111">
        <f>ROUND(AVERAGE(C7:C37),0)</f>
        <v>129</v>
      </c>
      <c r="D38" s="111">
        <f>ROUND(AVERAGE(D7:D37),0)</f>
        <v>141</v>
      </c>
      <c r="E38" s="112">
        <f>ROUND(AVERAGE(E7:E37),2)</f>
        <v>2.88</v>
      </c>
      <c r="F38" s="118">
        <f>ROUND(AVERAGE(F7:F37),1)</f>
        <v>24.5</v>
      </c>
      <c r="G38" s="118">
        <f>ROUND(AVERAGE(G7:G37),1)</f>
        <v>30.9</v>
      </c>
      <c r="H38" s="123">
        <f>ROUND(AVERAGE(H7:H37),1)</f>
        <v>37.8</v>
      </c>
      <c r="I38" s="171">
        <f>ROUND(AVERAGE(I7:I37),2)</f>
        <v>2.14</v>
      </c>
      <c r="J38" s="172">
        <f>ROUND(AVERAGE(J7:J37),2)</f>
        <v>16.87</v>
      </c>
      <c r="K38" s="171">
        <f>ROUND(AVERAGE(K7:K37),2)</f>
        <v>0.52</v>
      </c>
      <c r="L38" s="171">
        <f>ROUND(AVERAGE(L7:L37),2)</f>
        <v>0.63</v>
      </c>
      <c r="M38" s="170">
        <f>ROUND(AVERAGE(M7:M37),1)</f>
        <v>8.9</v>
      </c>
      <c r="N38" s="111">
        <f>ROUND(AVERAGE(N7:N37),1)</f>
        <v>29.6</v>
      </c>
      <c r="O38" s="167" t="s">
        <v>149</v>
      </c>
      <c r="P38" s="111">
        <f>ROUND(AVERAGE(P7:P37),2)</f>
        <v>5.23</v>
      </c>
      <c r="Q38" s="166">
        <f>ROUND(AVERAGE(Q7:Q37),2)</f>
        <v>0.14</v>
      </c>
      <c r="R38" s="112">
        <f>ROUND(AVERAGE(R7:R37),2)</f>
        <v>0.47</v>
      </c>
      <c r="S38" s="170">
        <f>ROUND(AVERAGE(S7:S37),2)</f>
        <v>7.95</v>
      </c>
      <c r="T38" s="114">
        <f>ROUND(AVERAGE(T7:T37),2)</f>
        <v>77.73</v>
      </c>
      <c r="U38" s="116" t="s">
        <v>130</v>
      </c>
    </row>
    <row r="39" ht="21" customHeight="1" spans="1:21">
      <c r="A39" s="124" t="s">
        <v>72</v>
      </c>
      <c r="B39" s="125"/>
      <c r="C39" s="125"/>
      <c r="D39" s="126"/>
      <c r="E39" s="127"/>
      <c r="F39" s="128"/>
      <c r="H39"/>
      <c r="I39"/>
      <c r="J39" s="124" t="s">
        <v>73</v>
      </c>
      <c r="K39" s="173"/>
      <c r="L39" s="173"/>
      <c r="M39" s="173"/>
      <c r="N39" s="124"/>
      <c r="O39" s="174"/>
      <c r="P39" s="174"/>
      <c r="Q39" s="192" t="s">
        <v>150</v>
      </c>
      <c r="R39" s="192"/>
      <c r="S39" s="192"/>
      <c r="T39" s="192"/>
      <c r="U39" s="193"/>
    </row>
    <row r="40" ht="21" customHeight="1" spans="1:21">
      <c r="A40" s="129"/>
      <c r="B40" s="130"/>
      <c r="C40" s="131"/>
      <c r="D40" s="132"/>
      <c r="E40" s="133"/>
      <c r="F40" s="134"/>
      <c r="H40"/>
      <c r="I40"/>
      <c r="J40" s="174"/>
      <c r="K40" s="174"/>
      <c r="L40" s="174"/>
      <c r="M40" s="174"/>
      <c r="N40" s="129"/>
      <c r="O40" s="174"/>
      <c r="P40" s="174"/>
      <c r="Q40" s="194"/>
      <c r="R40" s="194"/>
      <c r="S40" s="194"/>
      <c r="T40" s="194"/>
      <c r="U40" s="193"/>
    </row>
    <row r="41" ht="15.75" spans="2:19">
      <c r="B41" s="135" t="s">
        <v>111</v>
      </c>
      <c r="C41" s="135" t="s">
        <v>151</v>
      </c>
      <c r="D41" s="136" t="s">
        <v>152</v>
      </c>
      <c r="E41" s="135" t="s">
        <v>153</v>
      </c>
      <c r="F41" s="135" t="s">
        <v>154</v>
      </c>
      <c r="G41" s="136" t="s">
        <v>152</v>
      </c>
      <c r="H41" s="135" t="s">
        <v>153</v>
      </c>
      <c r="I41" s="136" t="s">
        <v>155</v>
      </c>
      <c r="J41" s="174"/>
      <c r="K41" s="174"/>
      <c r="L41" s="174"/>
      <c r="S41" s="195"/>
    </row>
    <row r="42" ht="30" spans="2:20">
      <c r="B42" s="135"/>
      <c r="C42" s="135"/>
      <c r="D42" s="137" t="s">
        <v>156</v>
      </c>
      <c r="E42" s="135"/>
      <c r="F42" s="135"/>
      <c r="G42" s="137" t="s">
        <v>156</v>
      </c>
      <c r="H42" s="135"/>
      <c r="I42" s="137" t="s">
        <v>157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38" t="s">
        <v>158</v>
      </c>
      <c r="C43" s="139">
        <f>B38</f>
        <v>245</v>
      </c>
      <c r="D43" s="140">
        <f>MAX(B7:B37)</f>
        <v>332</v>
      </c>
      <c r="E43" s="140">
        <f>MIN(B7:B37)</f>
        <v>160</v>
      </c>
      <c r="F43" s="141">
        <f>N38</f>
        <v>29.6</v>
      </c>
      <c r="G43" s="142">
        <f>MAX(N7:N37)</f>
        <v>35</v>
      </c>
      <c r="H43" s="140">
        <f>MIN(N7:N37)</f>
        <v>25</v>
      </c>
      <c r="I43" s="176">
        <f t="shared" ref="I43:I48" si="1">1-F43/C43</f>
        <v>0.879183673469388</v>
      </c>
      <c r="J43" s="158"/>
      <c r="K43" s="138" t="s">
        <v>159</v>
      </c>
      <c r="L43" s="177">
        <f>C44/C43</f>
        <v>0.526530612244898</v>
      </c>
      <c r="M43" s="178"/>
      <c r="N43" s="179"/>
      <c r="O43" s="179"/>
      <c r="P43" s="179"/>
      <c r="Q43" s="178"/>
      <c r="R43" s="183"/>
    </row>
    <row r="44" ht="17.25" spans="2:18">
      <c r="B44" s="143" t="s">
        <v>160</v>
      </c>
      <c r="C44" s="144">
        <f>C38</f>
        <v>129</v>
      </c>
      <c r="D44" s="145">
        <f>MAX(C7:C37)</f>
        <v>177</v>
      </c>
      <c r="E44" s="146">
        <f>MIN(C7:C37)</f>
        <v>86.3</v>
      </c>
      <c r="F44" s="147" t="s">
        <v>149</v>
      </c>
      <c r="G44" s="146" t="s">
        <v>149</v>
      </c>
      <c r="H44" s="146" t="s">
        <v>149</v>
      </c>
      <c r="I44" s="180">
        <f>1-2/C44</f>
        <v>0.984496124031008</v>
      </c>
      <c r="J44" s="158"/>
      <c r="K44" s="143" t="s">
        <v>161</v>
      </c>
      <c r="L44" s="181">
        <f>C44/C48</f>
        <v>4.1747572815534</v>
      </c>
      <c r="M44" s="178"/>
      <c r="N44" s="179"/>
      <c r="O44" s="179"/>
      <c r="P44" s="179"/>
      <c r="Q44" s="178"/>
      <c r="R44" s="183"/>
    </row>
    <row r="45" ht="17.25" spans="2:18">
      <c r="B45" s="143" t="s">
        <v>120</v>
      </c>
      <c r="C45" s="148">
        <f>D38</f>
        <v>141</v>
      </c>
      <c r="D45" s="146">
        <f>MAX(D7:D37)</f>
        <v>244</v>
      </c>
      <c r="E45" s="149">
        <f>MIN(D7:D37)</f>
        <v>76</v>
      </c>
      <c r="F45" s="150">
        <f>P38</f>
        <v>5.23</v>
      </c>
      <c r="G45" s="151">
        <f>MAX(P7:P37)</f>
        <v>7</v>
      </c>
      <c r="H45" s="151">
        <f>MIN(P7:P37)</f>
        <v>5</v>
      </c>
      <c r="I45" s="180">
        <f t="shared" si="1"/>
        <v>0.96290780141844</v>
      </c>
      <c r="J45" s="158"/>
      <c r="K45" s="143" t="s">
        <v>162</v>
      </c>
      <c r="L45" s="182">
        <f>C44/C46</f>
        <v>44.7916666666667</v>
      </c>
      <c r="M45" s="183"/>
      <c r="N45" s="183"/>
      <c r="O45" s="183"/>
      <c r="P45" s="183"/>
      <c r="Q45" s="183"/>
      <c r="R45" s="183"/>
    </row>
    <row r="46" ht="17.25" spans="2:12">
      <c r="B46" s="143" t="s">
        <v>122</v>
      </c>
      <c r="C46" s="150">
        <f>E38</f>
        <v>2.88</v>
      </c>
      <c r="D46" s="146">
        <f>MAX(E7:E37)</f>
        <v>4.18</v>
      </c>
      <c r="E46" s="146">
        <f>MIN(E7:E37)</f>
        <v>1.87</v>
      </c>
      <c r="F46" s="150">
        <f>Q38</f>
        <v>0.14</v>
      </c>
      <c r="G46" s="151">
        <f>MAX(Q7:Q37)</f>
        <v>0.19</v>
      </c>
      <c r="H46" s="151">
        <f>MIN(Q7:Q37)</f>
        <v>0.08</v>
      </c>
      <c r="I46" s="180">
        <f t="shared" si="1"/>
        <v>0.951388888888889</v>
      </c>
      <c r="J46" s="158"/>
      <c r="K46" s="143"/>
      <c r="L46" s="184"/>
    </row>
    <row r="47" ht="17.25" spans="2:12">
      <c r="B47" s="143" t="s">
        <v>163</v>
      </c>
      <c r="C47" s="144">
        <f>F38</f>
        <v>24.5</v>
      </c>
      <c r="D47" s="146">
        <f>MAX(F7:F37)</f>
        <v>32.1</v>
      </c>
      <c r="E47" s="146">
        <f>MIN(F7:F37)</f>
        <v>16.5</v>
      </c>
      <c r="F47" s="150">
        <f>R38</f>
        <v>0.47</v>
      </c>
      <c r="G47" s="146">
        <f>MAX(R7:R37)</f>
        <v>0.76</v>
      </c>
      <c r="H47" s="151">
        <f>MIN(R7:R37)</f>
        <v>0.28</v>
      </c>
      <c r="I47" s="180">
        <f t="shared" si="1"/>
        <v>0.980816326530612</v>
      </c>
      <c r="J47" s="158"/>
      <c r="K47" s="143"/>
      <c r="L47" s="184"/>
    </row>
    <row r="48" ht="17.25" spans="2:12">
      <c r="B48" s="152" t="s">
        <v>125</v>
      </c>
      <c r="C48" s="153">
        <f>G38</f>
        <v>30.9</v>
      </c>
      <c r="D48" s="154">
        <f>MAX(G7:G37)</f>
        <v>38.5</v>
      </c>
      <c r="E48" s="154">
        <f>MIN(G7:G37)</f>
        <v>21.8</v>
      </c>
      <c r="F48" s="155">
        <f>S38</f>
        <v>7.95</v>
      </c>
      <c r="G48" s="156">
        <f>MAX(S7:S37)</f>
        <v>9.07</v>
      </c>
      <c r="H48" s="154">
        <f>MIN(S7:S37)</f>
        <v>6.58</v>
      </c>
      <c r="I48" s="185">
        <f t="shared" si="1"/>
        <v>0.742718446601942</v>
      </c>
      <c r="J48" s="158"/>
      <c r="K48" s="152"/>
      <c r="L48" s="186"/>
    </row>
    <row r="49" ht="17.25" spans="2:12">
      <c r="B49" s="157"/>
      <c r="C49" s="158"/>
      <c r="D49" s="158"/>
      <c r="E49" s="158"/>
      <c r="F49" s="158"/>
      <c r="G49" s="158"/>
      <c r="H49" s="159"/>
      <c r="I49" s="158"/>
      <c r="J49" s="158"/>
      <c r="K49" s="159"/>
      <c r="L49" s="158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  <row r="68" spans="2:2">
      <c r="B68" s="160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287" workbookViewId="0">
      <selection activeCell="J307" sqref="J307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164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44531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165</v>
      </c>
      <c r="B3" s="6" t="s">
        <v>166</v>
      </c>
      <c r="C3" s="6" t="s">
        <v>167</v>
      </c>
      <c r="D3" s="6" t="s">
        <v>168</v>
      </c>
      <c r="E3" s="60" t="s">
        <v>169</v>
      </c>
      <c r="F3" s="60" t="s">
        <v>170</v>
      </c>
      <c r="G3" s="61" t="s">
        <v>171</v>
      </c>
      <c r="H3" s="62" t="s">
        <v>172</v>
      </c>
      <c r="I3" s="60" t="s">
        <v>173</v>
      </c>
      <c r="J3" s="6" t="s">
        <v>174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175</v>
      </c>
      <c r="E5" s="60" t="s">
        <v>176</v>
      </c>
      <c r="F5" s="60" t="s">
        <v>177</v>
      </c>
      <c r="G5" s="61" t="s">
        <v>177</v>
      </c>
      <c r="H5" s="62" t="s">
        <v>178</v>
      </c>
      <c r="I5" s="60" t="s">
        <v>178</v>
      </c>
      <c r="J5" s="6"/>
    </row>
    <row r="6" customHeight="1" spans="1:10">
      <c r="A6" s="64" t="s">
        <v>179</v>
      </c>
      <c r="B6" s="65" t="s">
        <v>180</v>
      </c>
      <c r="C6" s="65" t="s">
        <v>181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 t="s">
        <v>182</v>
      </c>
    </row>
    <row r="7" customHeight="1" spans="1:10">
      <c r="A7" s="64"/>
      <c r="B7" s="65"/>
      <c r="C7" s="65" t="s">
        <v>183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 t="s">
        <v>182</v>
      </c>
    </row>
    <row r="8" customHeight="1" spans="1:10">
      <c r="A8" s="64"/>
      <c r="B8" s="65" t="s">
        <v>184</v>
      </c>
      <c r="C8" s="65" t="s">
        <v>71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 t="s">
        <v>182</v>
      </c>
    </row>
    <row r="9" customHeight="1" spans="1:10">
      <c r="A9" s="64"/>
      <c r="B9" s="65" t="s">
        <v>185</v>
      </c>
      <c r="C9" s="65" t="s">
        <v>71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 t="s">
        <v>182</v>
      </c>
    </row>
    <row r="10" customHeight="1" spans="1:10">
      <c r="A10" s="64"/>
      <c r="B10" s="65" t="s">
        <v>186</v>
      </c>
      <c r="C10" s="65" t="s">
        <v>181</v>
      </c>
      <c r="D10" s="65">
        <v>31</v>
      </c>
      <c r="E10" s="65">
        <v>24</v>
      </c>
      <c r="F10" s="65">
        <v>744</v>
      </c>
      <c r="G10" s="65">
        <v>598</v>
      </c>
      <c r="H10" s="66">
        <v>0.803763440860215</v>
      </c>
      <c r="I10" s="66">
        <v>1</v>
      </c>
      <c r="J10" s="65"/>
    </row>
    <row r="11" customHeight="1" spans="1:10">
      <c r="A11" s="64"/>
      <c r="B11" s="65"/>
      <c r="C11" s="65" t="s">
        <v>183</v>
      </c>
      <c r="D11" s="65">
        <v>31</v>
      </c>
      <c r="E11" s="65">
        <v>24</v>
      </c>
      <c r="F11" s="65">
        <v>744</v>
      </c>
      <c r="G11" s="65">
        <v>496</v>
      </c>
      <c r="H11" s="66">
        <v>0.666666666666667</v>
      </c>
      <c r="I11" s="66">
        <v>1</v>
      </c>
      <c r="J11" s="65"/>
    </row>
    <row r="12" customHeight="1" spans="1:10">
      <c r="A12" s="64"/>
      <c r="B12" s="65"/>
      <c r="C12" s="65" t="s">
        <v>187</v>
      </c>
      <c r="D12" s="65">
        <v>31</v>
      </c>
      <c r="E12" s="65">
        <v>24</v>
      </c>
      <c r="F12" s="65">
        <v>744</v>
      </c>
      <c r="G12" s="65">
        <v>72</v>
      </c>
      <c r="H12" s="66">
        <v>0.0967741935483871</v>
      </c>
      <c r="I12" s="66">
        <v>1</v>
      </c>
      <c r="J12" s="65"/>
    </row>
    <row r="13" customHeight="1" spans="1:10">
      <c r="A13" s="64"/>
      <c r="B13" s="65"/>
      <c r="C13" s="65" t="s">
        <v>188</v>
      </c>
      <c r="D13" s="65">
        <v>31</v>
      </c>
      <c r="E13" s="65">
        <v>24</v>
      </c>
      <c r="F13" s="65">
        <v>744</v>
      </c>
      <c r="G13" s="65">
        <v>6</v>
      </c>
      <c r="H13" s="66">
        <v>0.00806451612903226</v>
      </c>
      <c r="I13" s="66">
        <v>1</v>
      </c>
      <c r="J13" s="65"/>
    </row>
    <row r="14" customHeight="1" spans="1:10">
      <c r="A14" s="64"/>
      <c r="B14" s="65"/>
      <c r="C14" s="65" t="s">
        <v>189</v>
      </c>
      <c r="D14" s="65">
        <v>31</v>
      </c>
      <c r="E14" s="65">
        <v>24</v>
      </c>
      <c r="F14" s="65">
        <v>744</v>
      </c>
      <c r="G14" s="65">
        <v>740</v>
      </c>
      <c r="H14" s="66">
        <v>0.994623655913978</v>
      </c>
      <c r="I14" s="66">
        <v>1</v>
      </c>
      <c r="J14" s="65"/>
    </row>
    <row r="15" customHeight="1" spans="1:10">
      <c r="A15" s="64"/>
      <c r="B15" s="65" t="s">
        <v>190</v>
      </c>
      <c r="C15" s="65" t="s">
        <v>181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183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187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188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189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191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184</v>
      </c>
      <c r="C21" s="65" t="s">
        <v>181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183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/>
    </row>
    <row r="23" customHeight="1" spans="1:10">
      <c r="A23" s="64"/>
      <c r="B23" s="65" t="s">
        <v>185</v>
      </c>
      <c r="C23" s="65" t="s">
        <v>181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183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/>
    </row>
    <row r="25" customHeight="1" spans="1:10">
      <c r="A25" s="64"/>
      <c r="B25" s="65" t="s">
        <v>192</v>
      </c>
      <c r="C25" s="65" t="s">
        <v>181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1</v>
      </c>
      <c r="J25" s="65"/>
    </row>
    <row r="26" customHeight="1" spans="1:10">
      <c r="A26" s="64"/>
      <c r="B26" s="65" t="s">
        <v>193</v>
      </c>
      <c r="C26" s="65" t="s">
        <v>181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192</v>
      </c>
      <c r="C27" s="65" t="s">
        <v>183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/>
    </row>
    <row r="28" customHeight="1" spans="1:10">
      <c r="A28" s="64"/>
      <c r="B28" s="65" t="s">
        <v>193</v>
      </c>
      <c r="C28" s="65" t="s">
        <v>183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192</v>
      </c>
      <c r="C29" s="65" t="s">
        <v>187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193</v>
      </c>
      <c r="C30" s="65" t="s">
        <v>187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192</v>
      </c>
      <c r="C31" s="65" t="s">
        <v>188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1</v>
      </c>
      <c r="J31" s="65"/>
    </row>
    <row r="32" customHeight="1" spans="1:10">
      <c r="A32" s="64"/>
      <c r="B32" s="65" t="s">
        <v>193</v>
      </c>
      <c r="C32" s="65" t="s">
        <v>188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194</v>
      </c>
      <c r="C33" s="65" t="s">
        <v>181</v>
      </c>
      <c r="D33" s="65">
        <v>31</v>
      </c>
      <c r="E33" s="65">
        <v>24</v>
      </c>
      <c r="F33" s="65">
        <v>744</v>
      </c>
      <c r="G33" s="65">
        <v>455</v>
      </c>
      <c r="H33" s="66">
        <v>0.611559139784946</v>
      </c>
      <c r="I33" s="66">
        <v>1</v>
      </c>
      <c r="J33" s="65" t="s">
        <v>195</v>
      </c>
    </row>
    <row r="34" customHeight="1" spans="1:10">
      <c r="A34" s="64"/>
      <c r="B34" s="65"/>
      <c r="C34" s="65" t="s">
        <v>183</v>
      </c>
      <c r="D34" s="65">
        <v>31</v>
      </c>
      <c r="E34" s="65">
        <v>24</v>
      </c>
      <c r="F34" s="65">
        <v>744</v>
      </c>
      <c r="G34" s="65">
        <v>218</v>
      </c>
      <c r="H34" s="66">
        <v>0.293010752688172</v>
      </c>
      <c r="I34" s="66">
        <v>1</v>
      </c>
      <c r="J34" s="65" t="s">
        <v>196</v>
      </c>
    </row>
    <row r="35" customHeight="1" spans="1:10">
      <c r="A35" s="64"/>
      <c r="B35" s="65"/>
      <c r="C35" s="65" t="s">
        <v>187</v>
      </c>
      <c r="D35" s="65">
        <v>31</v>
      </c>
      <c r="E35" s="65">
        <v>24</v>
      </c>
      <c r="F35" s="65">
        <v>744</v>
      </c>
      <c r="G35" s="65">
        <v>6</v>
      </c>
      <c r="H35" s="66">
        <v>0.00806451612903226</v>
      </c>
      <c r="I35" s="66">
        <v>1</v>
      </c>
      <c r="J35" s="65" t="s">
        <v>195</v>
      </c>
    </row>
    <row r="36" customHeight="1" spans="1:10">
      <c r="A36" s="64"/>
      <c r="B36" s="65"/>
      <c r="C36" s="65" t="s">
        <v>188</v>
      </c>
      <c r="D36" s="65">
        <v>31</v>
      </c>
      <c r="E36" s="65">
        <v>24</v>
      </c>
      <c r="F36" s="65">
        <v>744</v>
      </c>
      <c r="G36" s="65">
        <v>405</v>
      </c>
      <c r="H36" s="66">
        <v>0.544354838709677</v>
      </c>
      <c r="I36" s="66">
        <v>1</v>
      </c>
      <c r="J36" s="65" t="s">
        <v>195</v>
      </c>
    </row>
    <row r="37" customHeight="1" spans="1:10">
      <c r="A37" s="64"/>
      <c r="B37" s="65"/>
      <c r="C37" s="65" t="s">
        <v>189</v>
      </c>
      <c r="D37" s="65">
        <v>31</v>
      </c>
      <c r="E37" s="65">
        <v>24</v>
      </c>
      <c r="F37" s="65">
        <v>744</v>
      </c>
      <c r="G37" s="65">
        <v>448</v>
      </c>
      <c r="H37" s="66">
        <v>0.602150537634409</v>
      </c>
      <c r="I37" s="66">
        <v>1</v>
      </c>
      <c r="J37" s="65" t="s">
        <v>195</v>
      </c>
    </row>
    <row r="38" customHeight="1" spans="1:10">
      <c r="A38" s="67" t="s">
        <v>72</v>
      </c>
      <c r="B38" s="67"/>
      <c r="C38" s="15"/>
      <c r="D38" s="15"/>
      <c r="E38" s="68" t="s">
        <v>73</v>
      </c>
      <c r="F38" s="68"/>
      <c r="G38" s="69"/>
      <c r="H38" s="10" t="s">
        <v>150</v>
      </c>
      <c r="I38" s="10"/>
      <c r="J38" s="10"/>
    </row>
    <row r="39" ht="34" customHeight="1"/>
    <row r="46" ht="33" customHeight="1" spans="1:10">
      <c r="A46" s="57" t="s">
        <v>164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44531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165</v>
      </c>
      <c r="B48" s="6" t="s">
        <v>166</v>
      </c>
      <c r="C48" s="6" t="s">
        <v>167</v>
      </c>
      <c r="D48" s="6" t="s">
        <v>168</v>
      </c>
      <c r="E48" s="60" t="s">
        <v>169</v>
      </c>
      <c r="F48" s="60" t="s">
        <v>170</v>
      </c>
      <c r="G48" s="61" t="s">
        <v>171</v>
      </c>
      <c r="H48" s="62" t="s">
        <v>172</v>
      </c>
      <c r="I48" s="60" t="s">
        <v>173</v>
      </c>
      <c r="J48" s="6" t="s">
        <v>174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175</v>
      </c>
      <c r="E50" s="72" t="s">
        <v>176</v>
      </c>
      <c r="F50" s="72" t="s">
        <v>177</v>
      </c>
      <c r="G50" s="73" t="s">
        <v>177</v>
      </c>
      <c r="H50" s="74" t="s">
        <v>178</v>
      </c>
      <c r="I50" s="60" t="s">
        <v>178</v>
      </c>
      <c r="J50" s="6"/>
    </row>
    <row r="51" customHeight="1" spans="1:10">
      <c r="A51" s="75" t="s">
        <v>197</v>
      </c>
      <c r="B51" s="64" t="s">
        <v>198</v>
      </c>
      <c r="C51" s="65" t="s">
        <v>181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183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187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188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189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191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199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200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201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202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203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204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205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206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207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208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209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210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211</v>
      </c>
      <c r="C69" s="65" t="s">
        <v>212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213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214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215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216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217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218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219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220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221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222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223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224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225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226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227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228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229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72</v>
      </c>
      <c r="B87" s="67"/>
      <c r="C87" s="15"/>
      <c r="D87" s="15"/>
      <c r="E87" s="68" t="s">
        <v>73</v>
      </c>
      <c r="F87" s="68"/>
      <c r="G87" s="69"/>
      <c r="H87" s="10" t="str">
        <f>H38</f>
        <v>制表时间：2022/1/4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164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44531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165</v>
      </c>
      <c r="B93" s="6" t="s">
        <v>166</v>
      </c>
      <c r="C93" s="6" t="s">
        <v>167</v>
      </c>
      <c r="D93" s="6" t="s">
        <v>168</v>
      </c>
      <c r="E93" s="60" t="s">
        <v>169</v>
      </c>
      <c r="F93" s="60" t="s">
        <v>170</v>
      </c>
      <c r="G93" s="61" t="s">
        <v>171</v>
      </c>
      <c r="H93" s="62" t="s">
        <v>172</v>
      </c>
      <c r="I93" s="60" t="s">
        <v>173</v>
      </c>
      <c r="J93" s="6" t="s">
        <v>174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175</v>
      </c>
      <c r="E95" s="60" t="s">
        <v>176</v>
      </c>
      <c r="F95" s="60" t="s">
        <v>177</v>
      </c>
      <c r="G95" s="61" t="s">
        <v>177</v>
      </c>
      <c r="H95" s="62" t="s">
        <v>178</v>
      </c>
      <c r="I95" s="60" t="s">
        <v>178</v>
      </c>
      <c r="J95" s="6"/>
    </row>
    <row r="96" customHeight="1" spans="1:10">
      <c r="A96" s="64" t="s">
        <v>197</v>
      </c>
      <c r="B96" s="64" t="s">
        <v>230</v>
      </c>
      <c r="C96" s="65" t="s">
        <v>181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183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231</v>
      </c>
      <c r="C98" s="65" t="s">
        <v>181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183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187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188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189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191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232</v>
      </c>
      <c r="C104" s="65" t="s">
        <v>181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183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187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233</v>
      </c>
      <c r="C107" s="65" t="s">
        <v>181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183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187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188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234</v>
      </c>
      <c r="B111" s="80" t="s">
        <v>235</v>
      </c>
      <c r="C111" s="65" t="s">
        <v>181</v>
      </c>
      <c r="D111" s="65">
        <v>31</v>
      </c>
      <c r="E111" s="65">
        <v>24</v>
      </c>
      <c r="F111" s="65">
        <v>744</v>
      </c>
      <c r="G111" s="65">
        <v>722</v>
      </c>
      <c r="H111" s="66">
        <v>0.970430107526882</v>
      </c>
      <c r="I111" s="66">
        <v>1</v>
      </c>
      <c r="J111" s="65"/>
    </row>
    <row r="112" customHeight="1" spans="1:10">
      <c r="A112" s="81"/>
      <c r="B112" s="82"/>
      <c r="C112" s="65" t="s">
        <v>183</v>
      </c>
      <c r="D112" s="65">
        <v>31</v>
      </c>
      <c r="E112" s="65">
        <v>24</v>
      </c>
      <c r="F112" s="65">
        <v>744</v>
      </c>
      <c r="G112" s="65">
        <v>718</v>
      </c>
      <c r="H112" s="66">
        <v>0.96505376344086</v>
      </c>
      <c r="I112" s="66">
        <v>1</v>
      </c>
      <c r="J112" s="65"/>
    </row>
    <row r="113" customHeight="1" spans="1:10">
      <c r="A113" s="81"/>
      <c r="B113" s="82"/>
      <c r="C113" s="65" t="s">
        <v>187</v>
      </c>
      <c r="D113" s="65">
        <v>31</v>
      </c>
      <c r="E113" s="65">
        <v>24</v>
      </c>
      <c r="F113" s="65">
        <v>744</v>
      </c>
      <c r="G113" s="65">
        <v>722</v>
      </c>
      <c r="H113" s="66">
        <v>0.970430107526882</v>
      </c>
      <c r="I113" s="66">
        <v>1</v>
      </c>
      <c r="J113" s="65"/>
    </row>
    <row r="114" customHeight="1" spans="1:10">
      <c r="A114" s="81"/>
      <c r="B114" s="82"/>
      <c r="C114" s="65" t="s">
        <v>188</v>
      </c>
      <c r="D114" s="65">
        <v>31</v>
      </c>
      <c r="E114" s="65">
        <v>24</v>
      </c>
      <c r="F114" s="65">
        <v>744</v>
      </c>
      <c r="G114" s="65">
        <v>718</v>
      </c>
      <c r="H114" s="66">
        <v>0.96505376344086</v>
      </c>
      <c r="I114" s="66">
        <v>1</v>
      </c>
      <c r="J114" s="65" t="s">
        <v>236</v>
      </c>
    </row>
    <row r="115" customHeight="1" spans="1:10">
      <c r="A115" s="81"/>
      <c r="B115" s="82"/>
      <c r="C115" s="65" t="s">
        <v>189</v>
      </c>
      <c r="D115" s="65">
        <v>31</v>
      </c>
      <c r="E115" s="65">
        <v>24</v>
      </c>
      <c r="F115" s="65">
        <v>744</v>
      </c>
      <c r="G115" s="65">
        <v>722</v>
      </c>
      <c r="H115" s="66">
        <v>0.970430107526882</v>
      </c>
      <c r="I115" s="66">
        <v>1</v>
      </c>
      <c r="J115" s="65"/>
    </row>
    <row r="116" customHeight="1" spans="1:10">
      <c r="A116" s="81"/>
      <c r="B116" s="82"/>
      <c r="C116" s="65" t="s">
        <v>191</v>
      </c>
      <c r="D116" s="65">
        <v>31</v>
      </c>
      <c r="E116" s="65">
        <v>24</v>
      </c>
      <c r="F116" s="65">
        <v>744</v>
      </c>
      <c r="G116" s="65">
        <v>720</v>
      </c>
      <c r="H116" s="66">
        <v>0.97</v>
      </c>
      <c r="I116" s="66">
        <v>1</v>
      </c>
      <c r="J116" s="65"/>
    </row>
    <row r="117" customHeight="1" spans="1:10">
      <c r="A117" s="81"/>
      <c r="B117" s="82"/>
      <c r="C117" s="65" t="s">
        <v>199</v>
      </c>
      <c r="D117" s="65">
        <v>31</v>
      </c>
      <c r="E117" s="65">
        <v>24</v>
      </c>
      <c r="F117" s="65">
        <v>744</v>
      </c>
      <c r="G117" s="65">
        <v>722</v>
      </c>
      <c r="H117" s="66">
        <v>0.970430107526882</v>
      </c>
      <c r="I117" s="66">
        <v>1</v>
      </c>
      <c r="J117" s="65"/>
    </row>
    <row r="118" customHeight="1" spans="1:10">
      <c r="A118" s="81"/>
      <c r="B118" s="82"/>
      <c r="C118" s="65" t="s">
        <v>200</v>
      </c>
      <c r="D118" s="65">
        <v>31</v>
      </c>
      <c r="E118" s="65">
        <v>24</v>
      </c>
      <c r="F118" s="65">
        <v>744</v>
      </c>
      <c r="G118" s="65">
        <v>718</v>
      </c>
      <c r="H118" s="66">
        <v>0.96505376344086</v>
      </c>
      <c r="I118" s="66">
        <v>1</v>
      </c>
      <c r="J118" s="65"/>
    </row>
    <row r="119" customHeight="1" spans="1:10">
      <c r="A119" s="81"/>
      <c r="B119" s="82"/>
      <c r="C119" s="65" t="s">
        <v>201</v>
      </c>
      <c r="D119" s="65">
        <v>31</v>
      </c>
      <c r="E119" s="65">
        <v>24</v>
      </c>
      <c r="F119" s="65">
        <v>744</v>
      </c>
      <c r="G119" s="65">
        <v>722</v>
      </c>
      <c r="H119" s="66">
        <v>0.970430107526882</v>
      </c>
      <c r="I119" s="66">
        <v>1</v>
      </c>
      <c r="J119" s="65"/>
    </row>
    <row r="120" customHeight="1" spans="1:10">
      <c r="A120" s="81"/>
      <c r="B120" s="82"/>
      <c r="C120" s="65" t="s">
        <v>202</v>
      </c>
      <c r="D120" s="65">
        <v>31</v>
      </c>
      <c r="E120" s="65">
        <v>24</v>
      </c>
      <c r="F120" s="65">
        <v>744</v>
      </c>
      <c r="G120" s="65">
        <v>718</v>
      </c>
      <c r="H120" s="66">
        <v>0.96505376344086</v>
      </c>
      <c r="I120" s="66">
        <v>1</v>
      </c>
      <c r="J120" s="65"/>
    </row>
    <row r="121" customHeight="1" spans="1:10">
      <c r="A121" s="81"/>
      <c r="B121" s="82"/>
      <c r="C121" s="65" t="s">
        <v>203</v>
      </c>
      <c r="D121" s="65">
        <v>31</v>
      </c>
      <c r="E121" s="65">
        <v>24</v>
      </c>
      <c r="F121" s="65">
        <v>744</v>
      </c>
      <c r="G121" s="65">
        <v>722</v>
      </c>
      <c r="H121" s="66">
        <v>0.970430107526882</v>
      </c>
      <c r="I121" s="66">
        <v>1</v>
      </c>
      <c r="J121" s="65"/>
    </row>
    <row r="122" customHeight="1" spans="1:10">
      <c r="A122" s="81"/>
      <c r="B122" s="82"/>
      <c r="C122" s="65" t="s">
        <v>204</v>
      </c>
      <c r="D122" s="65">
        <v>31</v>
      </c>
      <c r="E122" s="65">
        <v>24</v>
      </c>
      <c r="F122" s="65">
        <v>744</v>
      </c>
      <c r="G122" s="65">
        <v>718</v>
      </c>
      <c r="H122" s="66">
        <v>0.96505376344086</v>
      </c>
      <c r="I122" s="66">
        <v>1</v>
      </c>
      <c r="J122" s="65"/>
    </row>
    <row r="123" customHeight="1" spans="1:10">
      <c r="A123" s="81"/>
      <c r="B123" s="82"/>
      <c r="C123" s="65" t="s">
        <v>205</v>
      </c>
      <c r="D123" s="65">
        <v>31</v>
      </c>
      <c r="E123" s="65">
        <v>24</v>
      </c>
      <c r="F123" s="65">
        <v>744</v>
      </c>
      <c r="G123" s="65">
        <v>722</v>
      </c>
      <c r="H123" s="66">
        <v>0.970430107526882</v>
      </c>
      <c r="I123" s="66">
        <v>1</v>
      </c>
      <c r="J123" s="65"/>
    </row>
    <row r="124" customHeight="1" spans="1:10">
      <c r="A124" s="81"/>
      <c r="B124" s="82"/>
      <c r="C124" s="65" t="s">
        <v>206</v>
      </c>
      <c r="D124" s="65">
        <v>31</v>
      </c>
      <c r="E124" s="65">
        <v>24</v>
      </c>
      <c r="F124" s="65">
        <v>744</v>
      </c>
      <c r="G124" s="65">
        <v>718</v>
      </c>
      <c r="H124" s="66">
        <v>0.96505376344086</v>
      </c>
      <c r="I124" s="66">
        <v>1</v>
      </c>
      <c r="J124" s="65"/>
    </row>
    <row r="125" customHeight="1" spans="1:10">
      <c r="A125" s="81"/>
      <c r="B125" s="82"/>
      <c r="C125" s="65" t="s">
        <v>207</v>
      </c>
      <c r="D125" s="65">
        <v>31</v>
      </c>
      <c r="E125" s="65">
        <v>24</v>
      </c>
      <c r="F125" s="65">
        <v>744</v>
      </c>
      <c r="G125" s="65">
        <v>722</v>
      </c>
      <c r="H125" s="66">
        <v>0.970430107526882</v>
      </c>
      <c r="I125" s="66">
        <v>1</v>
      </c>
      <c r="J125" s="65"/>
    </row>
    <row r="126" customHeight="1" spans="1:10">
      <c r="A126" s="81"/>
      <c r="B126" s="82"/>
      <c r="C126" s="65" t="s">
        <v>208</v>
      </c>
      <c r="D126" s="65">
        <v>31</v>
      </c>
      <c r="E126" s="65">
        <v>24</v>
      </c>
      <c r="F126" s="65">
        <v>744</v>
      </c>
      <c r="G126" s="65">
        <v>718</v>
      </c>
      <c r="H126" s="66">
        <v>0.96505376344086</v>
      </c>
      <c r="I126" s="66">
        <v>1</v>
      </c>
      <c r="J126" s="65"/>
    </row>
    <row r="127" customHeight="1" spans="1:10">
      <c r="A127" s="81"/>
      <c r="B127" s="82"/>
      <c r="C127" s="65" t="s">
        <v>209</v>
      </c>
      <c r="D127" s="65">
        <v>31</v>
      </c>
      <c r="E127" s="65">
        <v>24</v>
      </c>
      <c r="F127" s="65">
        <v>744</v>
      </c>
      <c r="G127" s="65">
        <v>722</v>
      </c>
      <c r="H127" s="66">
        <v>0.970430107526882</v>
      </c>
      <c r="I127" s="66">
        <v>1</v>
      </c>
      <c r="J127" s="65"/>
    </row>
    <row r="128" customHeight="1" spans="1:10">
      <c r="A128" s="81"/>
      <c r="B128" s="82"/>
      <c r="C128" s="65" t="s">
        <v>210</v>
      </c>
      <c r="D128" s="65">
        <v>31</v>
      </c>
      <c r="E128" s="65">
        <v>24</v>
      </c>
      <c r="F128" s="65">
        <v>744</v>
      </c>
      <c r="G128" s="65">
        <v>718</v>
      </c>
      <c r="H128" s="66">
        <v>0.96505376344086</v>
      </c>
      <c r="I128" s="66">
        <v>0.99</v>
      </c>
      <c r="J128" s="65" t="s">
        <v>236</v>
      </c>
    </row>
    <row r="129" customHeight="1" spans="1:10">
      <c r="A129" s="81"/>
      <c r="B129" s="82"/>
      <c r="C129" s="65" t="s">
        <v>212</v>
      </c>
      <c r="D129" s="65">
        <v>31</v>
      </c>
      <c r="E129" s="65">
        <v>24</v>
      </c>
      <c r="F129" s="65">
        <v>744</v>
      </c>
      <c r="G129" s="65">
        <v>722</v>
      </c>
      <c r="H129" s="66">
        <v>0.970430107526882</v>
      </c>
      <c r="I129" s="66">
        <v>1</v>
      </c>
      <c r="J129" s="65"/>
    </row>
    <row r="130" customHeight="1" spans="1:10">
      <c r="A130" s="81"/>
      <c r="B130" s="82"/>
      <c r="C130" s="65" t="s">
        <v>213</v>
      </c>
      <c r="D130" s="65">
        <v>31</v>
      </c>
      <c r="E130" s="65">
        <v>24</v>
      </c>
      <c r="F130" s="65">
        <v>744</v>
      </c>
      <c r="G130" s="65">
        <v>718</v>
      </c>
      <c r="H130" s="66">
        <v>0.96505376344086</v>
      </c>
      <c r="I130" s="66">
        <v>1</v>
      </c>
      <c r="J130" s="65"/>
    </row>
    <row r="131" customHeight="1" spans="1:10">
      <c r="A131" s="81"/>
      <c r="B131" s="82"/>
      <c r="C131" s="65" t="s">
        <v>214</v>
      </c>
      <c r="D131" s="65">
        <v>31</v>
      </c>
      <c r="E131" s="65">
        <v>24</v>
      </c>
      <c r="F131" s="65">
        <v>744</v>
      </c>
      <c r="G131" s="65">
        <v>720</v>
      </c>
      <c r="H131" s="66">
        <v>0.97</v>
      </c>
      <c r="I131" s="66">
        <v>1</v>
      </c>
      <c r="J131" s="65"/>
    </row>
    <row r="132" customHeight="1" spans="1:10">
      <c r="A132" s="83"/>
      <c r="B132" s="84"/>
      <c r="C132" s="65" t="s">
        <v>215</v>
      </c>
      <c r="D132" s="65">
        <v>31</v>
      </c>
      <c r="E132" s="65">
        <v>24</v>
      </c>
      <c r="F132" s="65">
        <v>744</v>
      </c>
      <c r="G132" s="65">
        <v>718</v>
      </c>
      <c r="H132" s="66">
        <v>0.96505376344086</v>
      </c>
      <c r="I132" s="66">
        <v>1</v>
      </c>
      <c r="J132" s="65"/>
    </row>
    <row r="133" ht="14.25" spans="1:10">
      <c r="A133" s="67" t="s">
        <v>72</v>
      </c>
      <c r="B133" s="67"/>
      <c r="C133" s="15"/>
      <c r="D133" s="15"/>
      <c r="E133" s="68" t="s">
        <v>73</v>
      </c>
      <c r="F133" s="68"/>
      <c r="G133" s="69"/>
      <c r="H133" s="10" t="str">
        <f>H38</f>
        <v>制表时间：2022/1/4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164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44531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165</v>
      </c>
      <c r="B138" s="6" t="s">
        <v>166</v>
      </c>
      <c r="C138" s="6" t="s">
        <v>167</v>
      </c>
      <c r="D138" s="6" t="s">
        <v>168</v>
      </c>
      <c r="E138" s="60" t="s">
        <v>169</v>
      </c>
      <c r="F138" s="60" t="s">
        <v>170</v>
      </c>
      <c r="G138" s="61" t="s">
        <v>171</v>
      </c>
      <c r="H138" s="62" t="s">
        <v>172</v>
      </c>
      <c r="I138" s="60" t="s">
        <v>173</v>
      </c>
      <c r="J138" s="6" t="s">
        <v>174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175</v>
      </c>
      <c r="E140" s="60" t="s">
        <v>176</v>
      </c>
      <c r="F140" s="60" t="s">
        <v>177</v>
      </c>
      <c r="G140" s="61" t="s">
        <v>177</v>
      </c>
      <c r="H140" s="62" t="s">
        <v>178</v>
      </c>
      <c r="I140" s="60" t="s">
        <v>178</v>
      </c>
      <c r="J140" s="6"/>
    </row>
    <row r="141" customHeight="1" spans="1:10">
      <c r="A141" s="64" t="s">
        <v>234</v>
      </c>
      <c r="B141" s="64" t="s">
        <v>237</v>
      </c>
      <c r="C141" s="65" t="s">
        <v>216</v>
      </c>
      <c r="D141" s="65">
        <v>31</v>
      </c>
      <c r="E141" s="65">
        <v>24</v>
      </c>
      <c r="F141" s="65">
        <v>744</v>
      </c>
      <c r="G141" s="65">
        <v>722</v>
      </c>
      <c r="H141" s="66">
        <v>0.970430107526882</v>
      </c>
      <c r="I141" s="66">
        <v>1</v>
      </c>
      <c r="J141" s="65"/>
    </row>
    <row r="142" customHeight="1" spans="1:10">
      <c r="A142" s="65"/>
      <c r="B142" s="65"/>
      <c r="C142" s="65" t="s">
        <v>217</v>
      </c>
      <c r="D142" s="65">
        <v>31</v>
      </c>
      <c r="E142" s="65">
        <v>24</v>
      </c>
      <c r="F142" s="65">
        <v>744</v>
      </c>
      <c r="G142" s="65">
        <v>718</v>
      </c>
      <c r="H142" s="66">
        <v>0.96505376344086</v>
      </c>
      <c r="I142" s="66">
        <v>1</v>
      </c>
      <c r="J142" s="65"/>
    </row>
    <row r="143" customHeight="1" spans="1:10">
      <c r="A143" s="65"/>
      <c r="B143" s="65"/>
      <c r="C143" s="65" t="s">
        <v>218</v>
      </c>
      <c r="D143" s="65">
        <v>31</v>
      </c>
      <c r="E143" s="65">
        <v>24</v>
      </c>
      <c r="F143" s="65">
        <v>744</v>
      </c>
      <c r="G143" s="65">
        <v>722</v>
      </c>
      <c r="H143" s="66">
        <v>0.970430107526882</v>
      </c>
      <c r="I143" s="66">
        <v>1</v>
      </c>
      <c r="J143" s="65"/>
    </row>
    <row r="144" customHeight="1" spans="1:10">
      <c r="A144" s="65"/>
      <c r="B144" s="65"/>
      <c r="C144" s="65" t="s">
        <v>219</v>
      </c>
      <c r="D144" s="65">
        <v>31</v>
      </c>
      <c r="E144" s="65">
        <v>24</v>
      </c>
      <c r="F144" s="65">
        <v>744</v>
      </c>
      <c r="G144" s="65">
        <v>718</v>
      </c>
      <c r="H144" s="66">
        <v>0.96505376344086</v>
      </c>
      <c r="I144" s="66">
        <v>1</v>
      </c>
      <c r="J144" s="65"/>
    </row>
    <row r="145" customHeight="1" spans="1:10">
      <c r="A145" s="65"/>
      <c r="B145" s="65"/>
      <c r="C145" s="65" t="s">
        <v>220</v>
      </c>
      <c r="D145" s="65">
        <v>31</v>
      </c>
      <c r="E145" s="65">
        <v>24</v>
      </c>
      <c r="F145" s="65">
        <v>744</v>
      </c>
      <c r="G145" s="65">
        <v>722</v>
      </c>
      <c r="H145" s="66">
        <v>0.970430107526882</v>
      </c>
      <c r="I145" s="66">
        <v>1</v>
      </c>
      <c r="J145" s="65"/>
    </row>
    <row r="146" customHeight="1" spans="1:10">
      <c r="A146" s="65"/>
      <c r="B146" s="65"/>
      <c r="C146" s="65" t="s">
        <v>221</v>
      </c>
      <c r="D146" s="65">
        <v>31</v>
      </c>
      <c r="E146" s="65">
        <v>24</v>
      </c>
      <c r="F146" s="65">
        <v>744</v>
      </c>
      <c r="G146" s="65">
        <v>718</v>
      </c>
      <c r="H146" s="66">
        <v>0.96505376344086</v>
      </c>
      <c r="I146" s="66">
        <v>1</v>
      </c>
      <c r="J146" s="65"/>
    </row>
    <row r="147" customHeight="1" spans="1:10">
      <c r="A147" s="65"/>
      <c r="B147" s="64" t="s">
        <v>238</v>
      </c>
      <c r="C147" s="65" t="s">
        <v>181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183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239</v>
      </c>
      <c r="C149" s="65" t="s">
        <v>181</v>
      </c>
      <c r="D149" s="65">
        <v>31</v>
      </c>
      <c r="E149" s="65">
        <v>24</v>
      </c>
      <c r="F149" s="65">
        <v>744</v>
      </c>
      <c r="G149" s="65">
        <v>48</v>
      </c>
      <c r="H149" s="66">
        <v>0.0645161290322581</v>
      </c>
      <c r="I149" s="66">
        <v>1</v>
      </c>
      <c r="J149" s="65"/>
    </row>
    <row r="150" customHeight="1" spans="1:10">
      <c r="A150" s="65"/>
      <c r="B150" s="65"/>
      <c r="C150" s="65" t="s">
        <v>183</v>
      </c>
      <c r="D150" s="65">
        <v>31</v>
      </c>
      <c r="E150" s="65">
        <v>24</v>
      </c>
      <c r="F150" s="65">
        <v>744</v>
      </c>
      <c r="G150" s="65">
        <v>152</v>
      </c>
      <c r="H150" s="66">
        <v>0.204301075268817</v>
      </c>
      <c r="I150" s="66">
        <v>1</v>
      </c>
      <c r="J150" s="65"/>
    </row>
    <row r="151" customHeight="1" spans="1:10">
      <c r="A151" s="65"/>
      <c r="B151" s="65"/>
      <c r="C151" s="65" t="s">
        <v>187</v>
      </c>
      <c r="D151" s="65">
        <v>31</v>
      </c>
      <c r="E151" s="65">
        <v>24</v>
      </c>
      <c r="F151" s="65">
        <v>744</v>
      </c>
      <c r="G151" s="65">
        <v>607</v>
      </c>
      <c r="H151" s="66">
        <v>0.815860215053763</v>
      </c>
      <c r="I151" s="66">
        <v>1</v>
      </c>
      <c r="J151" s="65"/>
    </row>
    <row r="152" customHeight="1" spans="1:10">
      <c r="A152" s="65"/>
      <c r="B152" s="64" t="s">
        <v>240</v>
      </c>
      <c r="C152" s="65" t="s">
        <v>181</v>
      </c>
      <c r="D152" s="65">
        <v>31</v>
      </c>
      <c r="E152" s="65">
        <v>24</v>
      </c>
      <c r="F152" s="65">
        <v>744</v>
      </c>
      <c r="G152" s="65">
        <v>578</v>
      </c>
      <c r="H152" s="66">
        <v>0.776881720430108</v>
      </c>
      <c r="I152" s="66">
        <v>1</v>
      </c>
      <c r="J152" s="65" t="s">
        <v>241</v>
      </c>
    </row>
    <row r="153" customHeight="1" spans="1:10">
      <c r="A153" s="65"/>
      <c r="B153" s="65"/>
      <c r="C153" s="65" t="s">
        <v>183</v>
      </c>
      <c r="D153" s="65">
        <v>31</v>
      </c>
      <c r="E153" s="65">
        <v>24</v>
      </c>
      <c r="F153" s="65">
        <v>744</v>
      </c>
      <c r="G153" s="65">
        <v>706</v>
      </c>
      <c r="H153" s="66">
        <v>0.948924731182796</v>
      </c>
      <c r="I153" s="66">
        <v>1</v>
      </c>
      <c r="J153" s="65" t="s">
        <v>241</v>
      </c>
    </row>
    <row r="154" customHeight="1" spans="1:10">
      <c r="A154" s="65"/>
      <c r="B154" s="65"/>
      <c r="C154" s="65" t="s">
        <v>187</v>
      </c>
      <c r="D154" s="65">
        <v>31</v>
      </c>
      <c r="E154" s="65">
        <v>24</v>
      </c>
      <c r="F154" s="65">
        <v>744</v>
      </c>
      <c r="G154" s="65">
        <v>706</v>
      </c>
      <c r="H154" s="66">
        <v>0.948924731182796</v>
      </c>
      <c r="I154" s="66">
        <v>1</v>
      </c>
      <c r="J154" s="65" t="s">
        <v>241</v>
      </c>
    </row>
    <row r="155" customHeight="1" spans="1:10">
      <c r="A155" s="65"/>
      <c r="B155" s="87" t="s">
        <v>242</v>
      </c>
      <c r="C155" s="88" t="s">
        <v>181</v>
      </c>
      <c r="D155" s="88">
        <v>31</v>
      </c>
      <c r="E155" s="88">
        <v>24</v>
      </c>
      <c r="F155" s="88">
        <v>744</v>
      </c>
      <c r="G155" s="88">
        <v>700</v>
      </c>
      <c r="H155" s="89">
        <v>0.940860215053763</v>
      </c>
      <c r="I155" s="89">
        <v>1</v>
      </c>
      <c r="J155" s="65"/>
    </row>
    <row r="156" customHeight="1" spans="1:10">
      <c r="A156" s="65"/>
      <c r="B156" s="88"/>
      <c r="C156" s="88" t="s">
        <v>183</v>
      </c>
      <c r="D156" s="88">
        <v>31</v>
      </c>
      <c r="E156" s="88">
        <v>24</v>
      </c>
      <c r="F156" s="88">
        <v>744</v>
      </c>
      <c r="G156" s="88">
        <v>592</v>
      </c>
      <c r="H156" s="89">
        <v>0.795698924731183</v>
      </c>
      <c r="I156" s="89">
        <v>0.99</v>
      </c>
      <c r="J156" s="65" t="s">
        <v>243</v>
      </c>
    </row>
    <row r="157" customHeight="1" spans="1:10">
      <c r="A157" s="65"/>
      <c r="B157" s="88"/>
      <c r="C157" s="88" t="s">
        <v>187</v>
      </c>
      <c r="D157" s="88">
        <v>31</v>
      </c>
      <c r="E157" s="88">
        <v>24</v>
      </c>
      <c r="F157" s="88">
        <v>744</v>
      </c>
      <c r="G157" s="88">
        <v>688</v>
      </c>
      <c r="H157" s="89">
        <v>0.924731182795699</v>
      </c>
      <c r="I157" s="89">
        <v>1</v>
      </c>
      <c r="J157" s="65"/>
    </row>
    <row r="158" customHeight="1" spans="1:10">
      <c r="A158" s="65"/>
      <c r="B158" s="88"/>
      <c r="C158" s="88" t="s">
        <v>188</v>
      </c>
      <c r="D158" s="88">
        <v>31</v>
      </c>
      <c r="E158" s="88">
        <v>24</v>
      </c>
      <c r="F158" s="88">
        <v>744</v>
      </c>
      <c r="G158" s="88">
        <v>696</v>
      </c>
      <c r="H158" s="89">
        <v>0.935483870967742</v>
      </c>
      <c r="I158" s="89">
        <v>1</v>
      </c>
      <c r="J158" s="65"/>
    </row>
    <row r="159" customHeight="1" spans="1:10">
      <c r="A159" s="65"/>
      <c r="B159" s="88"/>
      <c r="C159" s="88" t="s">
        <v>189</v>
      </c>
      <c r="D159" s="88">
        <v>31</v>
      </c>
      <c r="E159" s="88">
        <v>24</v>
      </c>
      <c r="F159" s="88">
        <v>744</v>
      </c>
      <c r="G159" s="88">
        <v>596</v>
      </c>
      <c r="H159" s="89">
        <v>0.801075268817204</v>
      </c>
      <c r="I159" s="89">
        <v>1</v>
      </c>
      <c r="J159" s="65"/>
    </row>
    <row r="160" customHeight="1" spans="1:10">
      <c r="A160" s="65"/>
      <c r="B160" s="88"/>
      <c r="C160" s="88" t="s">
        <v>191</v>
      </c>
      <c r="D160" s="88">
        <v>31</v>
      </c>
      <c r="E160" s="88">
        <v>24</v>
      </c>
      <c r="F160" s="88">
        <v>744</v>
      </c>
      <c r="G160" s="88">
        <v>704</v>
      </c>
      <c r="H160" s="89">
        <v>0.946236559139785</v>
      </c>
      <c r="I160" s="89">
        <v>1</v>
      </c>
      <c r="J160" s="65"/>
    </row>
    <row r="161" customHeight="1" spans="1:10">
      <c r="A161" s="64" t="s">
        <v>244</v>
      </c>
      <c r="B161" s="64" t="s">
        <v>245</v>
      </c>
      <c r="C161" s="65" t="s">
        <v>181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183</v>
      </c>
      <c r="D162" s="65">
        <v>31</v>
      </c>
      <c r="E162" s="65">
        <v>24</v>
      </c>
      <c r="F162" s="65">
        <v>744</v>
      </c>
      <c r="G162" s="65">
        <v>744</v>
      </c>
      <c r="H162" s="66">
        <v>1</v>
      </c>
      <c r="I162" s="66">
        <v>1</v>
      </c>
      <c r="J162" s="65"/>
    </row>
    <row r="163" customHeight="1" spans="1:10">
      <c r="A163" s="65"/>
      <c r="B163" s="65"/>
      <c r="C163" s="65" t="s">
        <v>187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188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189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191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199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200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201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202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203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204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205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206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207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208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209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210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72</v>
      </c>
      <c r="B179" s="67"/>
      <c r="C179" s="15"/>
      <c r="D179" s="15"/>
      <c r="E179" s="68" t="s">
        <v>73</v>
      </c>
      <c r="F179" s="68"/>
      <c r="G179" s="69"/>
      <c r="H179" s="10" t="str">
        <f>H38</f>
        <v>制表时间：2022/1/4</v>
      </c>
      <c r="I179" s="10"/>
      <c r="J179" s="10"/>
    </row>
    <row r="180" ht="23" customHeight="1"/>
    <row r="181" ht="28" customHeight="1" spans="1:10">
      <c r="A181" s="57" t="s">
        <v>164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44531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165</v>
      </c>
      <c r="B183" s="6" t="s">
        <v>166</v>
      </c>
      <c r="C183" s="6" t="s">
        <v>167</v>
      </c>
      <c r="D183" s="6" t="s">
        <v>168</v>
      </c>
      <c r="E183" s="60" t="s">
        <v>169</v>
      </c>
      <c r="F183" s="60" t="s">
        <v>170</v>
      </c>
      <c r="G183" s="61" t="s">
        <v>171</v>
      </c>
      <c r="H183" s="62" t="s">
        <v>172</v>
      </c>
      <c r="I183" s="60" t="s">
        <v>173</v>
      </c>
      <c r="J183" s="6" t="s">
        <v>174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175</v>
      </c>
      <c r="E185" s="60" t="s">
        <v>176</v>
      </c>
      <c r="F185" s="60" t="s">
        <v>177</v>
      </c>
      <c r="G185" s="61" t="s">
        <v>177</v>
      </c>
      <c r="H185" s="62" t="s">
        <v>178</v>
      </c>
      <c r="I185" s="60" t="s">
        <v>178</v>
      </c>
      <c r="J185" s="6"/>
    </row>
    <row r="186" customHeight="1" spans="1:10">
      <c r="A186" s="64" t="s">
        <v>244</v>
      </c>
      <c r="B186" s="64" t="s">
        <v>245</v>
      </c>
      <c r="C186" s="65" t="s">
        <v>212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213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214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215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216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217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218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219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220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221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222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223</v>
      </c>
      <c r="D197" s="65">
        <v>31</v>
      </c>
      <c r="E197" s="65">
        <v>24</v>
      </c>
      <c r="F197" s="65">
        <v>744</v>
      </c>
      <c r="G197" s="65">
        <v>744</v>
      </c>
      <c r="H197" s="66">
        <v>1</v>
      </c>
      <c r="I197" s="66">
        <v>1</v>
      </c>
      <c r="J197" s="65"/>
    </row>
    <row r="198" customHeight="1" spans="1:10">
      <c r="A198" s="65"/>
      <c r="B198" s="65"/>
      <c r="C198" s="65" t="s">
        <v>224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225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226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227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228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229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238</v>
      </c>
      <c r="C204" s="65" t="s">
        <v>187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188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240</v>
      </c>
      <c r="C206" s="65" t="s">
        <v>188</v>
      </c>
      <c r="D206" s="65">
        <v>31</v>
      </c>
      <c r="E206" s="65">
        <v>24</v>
      </c>
      <c r="F206" s="65">
        <v>744</v>
      </c>
      <c r="G206" s="65">
        <v>740</v>
      </c>
      <c r="H206" s="66">
        <v>0.994623655913978</v>
      </c>
      <c r="I206" s="66">
        <v>1</v>
      </c>
      <c r="J206" s="65"/>
    </row>
    <row r="207" customHeight="1" spans="1:10">
      <c r="A207" s="65"/>
      <c r="B207" s="65"/>
      <c r="C207" s="65" t="s">
        <v>189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191</v>
      </c>
      <c r="D208" s="65">
        <v>31</v>
      </c>
      <c r="E208" s="65">
        <v>24</v>
      </c>
      <c r="F208" s="65">
        <v>744</v>
      </c>
      <c r="G208" s="65">
        <v>728</v>
      </c>
      <c r="H208" s="66">
        <v>0.978494623655914</v>
      </c>
      <c r="I208" s="66">
        <v>1</v>
      </c>
      <c r="J208" s="65"/>
    </row>
    <row r="209" customHeight="1" spans="1:10">
      <c r="A209" s="65"/>
      <c r="B209" s="64" t="s">
        <v>242</v>
      </c>
      <c r="C209" s="65" t="s">
        <v>181</v>
      </c>
      <c r="D209" s="65">
        <v>31</v>
      </c>
      <c r="E209" s="65">
        <v>24</v>
      </c>
      <c r="F209" s="65">
        <v>744</v>
      </c>
      <c r="G209" s="65">
        <v>658</v>
      </c>
      <c r="H209" s="66">
        <v>0.884408602150538</v>
      </c>
      <c r="I209" s="66">
        <v>1</v>
      </c>
      <c r="J209" s="65"/>
    </row>
    <row r="210" customHeight="1" spans="1:10">
      <c r="A210" s="65"/>
      <c r="B210" s="65"/>
      <c r="C210" s="65" t="s">
        <v>183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187</v>
      </c>
      <c r="D211" s="65">
        <v>31</v>
      </c>
      <c r="E211" s="65">
        <v>24</v>
      </c>
      <c r="F211" s="65">
        <v>744</v>
      </c>
      <c r="G211" s="65">
        <v>736</v>
      </c>
      <c r="H211" s="66">
        <v>0.989247311827957</v>
      </c>
      <c r="I211" s="66">
        <v>1</v>
      </c>
      <c r="J211" s="65"/>
    </row>
    <row r="212" customHeight="1" spans="1:10">
      <c r="A212" s="65"/>
      <c r="B212" s="65"/>
      <c r="C212" s="65" t="s">
        <v>188</v>
      </c>
      <c r="D212" s="65">
        <v>31</v>
      </c>
      <c r="E212" s="65">
        <v>24</v>
      </c>
      <c r="F212" s="65">
        <v>744</v>
      </c>
      <c r="G212" s="65">
        <v>658</v>
      </c>
      <c r="H212" s="66">
        <v>0.884408602150538</v>
      </c>
      <c r="I212" s="66">
        <v>1</v>
      </c>
      <c r="J212" s="65"/>
    </row>
    <row r="213" customHeight="1" spans="1:10">
      <c r="A213" s="65"/>
      <c r="B213" s="65"/>
      <c r="C213" s="65" t="s">
        <v>189</v>
      </c>
      <c r="D213" s="65">
        <v>31</v>
      </c>
      <c r="E213" s="65">
        <v>24</v>
      </c>
      <c r="F213" s="65">
        <v>744</v>
      </c>
      <c r="G213" s="65">
        <v>744</v>
      </c>
      <c r="H213" s="66">
        <v>1</v>
      </c>
      <c r="I213" s="66">
        <v>1</v>
      </c>
      <c r="J213" s="65"/>
    </row>
    <row r="214" customHeight="1" spans="1:10">
      <c r="A214" s="65"/>
      <c r="B214" s="65"/>
      <c r="C214" s="65" t="s">
        <v>191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0" t="s">
        <v>246</v>
      </c>
      <c r="B215" s="64" t="s">
        <v>247</v>
      </c>
      <c r="C215" s="65" t="s">
        <v>181</v>
      </c>
      <c r="D215" s="65">
        <v>31</v>
      </c>
      <c r="E215" s="65">
        <v>24</v>
      </c>
      <c r="F215" s="65">
        <v>744</v>
      </c>
      <c r="G215" s="65">
        <v>0</v>
      </c>
      <c r="H215" s="66">
        <v>0</v>
      </c>
      <c r="I215" s="66">
        <v>1</v>
      </c>
      <c r="J215" s="65"/>
    </row>
    <row r="216" customHeight="1" spans="1:10">
      <c r="A216" s="81"/>
      <c r="B216" s="65"/>
      <c r="C216" s="65" t="s">
        <v>183</v>
      </c>
      <c r="D216" s="65">
        <v>31</v>
      </c>
      <c r="E216" s="65">
        <v>24</v>
      </c>
      <c r="F216" s="65">
        <v>744</v>
      </c>
      <c r="G216" s="65">
        <v>744</v>
      </c>
      <c r="H216" s="66">
        <v>1</v>
      </c>
      <c r="I216" s="66">
        <v>1</v>
      </c>
      <c r="J216" s="65"/>
    </row>
    <row r="217" customHeight="1" spans="1:10">
      <c r="A217" s="81"/>
      <c r="B217" s="65"/>
      <c r="C217" s="65" t="s">
        <v>187</v>
      </c>
      <c r="D217" s="65">
        <v>31</v>
      </c>
      <c r="E217" s="65">
        <v>24</v>
      </c>
      <c r="F217" s="65">
        <v>744</v>
      </c>
      <c r="G217" s="65">
        <v>740</v>
      </c>
      <c r="H217" s="66">
        <v>0.994623655913978</v>
      </c>
      <c r="I217" s="66">
        <v>1</v>
      </c>
      <c r="J217" s="65"/>
    </row>
    <row r="218" customHeight="1" spans="1:10">
      <c r="A218" s="81"/>
      <c r="B218" s="65"/>
      <c r="C218" s="65" t="s">
        <v>188</v>
      </c>
      <c r="D218" s="65">
        <v>31</v>
      </c>
      <c r="E218" s="65">
        <v>24</v>
      </c>
      <c r="F218" s="65">
        <v>744</v>
      </c>
      <c r="G218" s="65">
        <v>740</v>
      </c>
      <c r="H218" s="66">
        <v>0.994623655913978</v>
      </c>
      <c r="I218" s="66">
        <v>1</v>
      </c>
      <c r="J218" s="65"/>
    </row>
    <row r="219" customHeight="1" spans="1:10">
      <c r="A219" s="81"/>
      <c r="B219" s="64" t="s">
        <v>248</v>
      </c>
      <c r="C219" s="65" t="s">
        <v>181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79">
        <v>1</v>
      </c>
      <c r="J219" s="5"/>
    </row>
    <row r="220" customHeight="1" spans="1:10">
      <c r="A220" s="81"/>
      <c r="B220" s="65"/>
      <c r="C220" s="65" t="s">
        <v>183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79">
        <v>1</v>
      </c>
      <c r="J220" s="5"/>
    </row>
    <row r="221" customHeight="1" spans="1:10">
      <c r="A221" s="81"/>
      <c r="B221" s="65"/>
      <c r="C221" s="65" t="s">
        <v>187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79">
        <v>1</v>
      </c>
      <c r="J221" s="5"/>
    </row>
    <row r="222" ht="14.25" spans="1:10">
      <c r="A222" s="83"/>
      <c r="B222" s="65"/>
      <c r="C222" s="65" t="s">
        <v>188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79">
        <v>1</v>
      </c>
      <c r="J222" s="5"/>
    </row>
    <row r="223" customHeight="1" spans="1:10">
      <c r="A223" s="67" t="s">
        <v>72</v>
      </c>
      <c r="B223" s="67"/>
      <c r="C223" s="15"/>
      <c r="D223" s="15"/>
      <c r="E223" s="68" t="s">
        <v>73</v>
      </c>
      <c r="F223" s="68"/>
      <c r="G223" s="69"/>
      <c r="H223" s="10" t="str">
        <f>H38</f>
        <v>制表时间：2022/1/4</v>
      </c>
      <c r="I223" s="10"/>
      <c r="J223" s="10"/>
    </row>
    <row r="224" ht="17" customHeight="1"/>
    <row r="225" ht="16" customHeight="1"/>
    <row r="226" ht="27" customHeight="1" spans="1:10">
      <c r="A226" s="57" t="s">
        <v>164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44531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customHeight="1" spans="1:10">
      <c r="A228" s="6" t="s">
        <v>165</v>
      </c>
      <c r="B228" s="6" t="s">
        <v>166</v>
      </c>
      <c r="C228" s="6" t="s">
        <v>167</v>
      </c>
      <c r="D228" s="6" t="s">
        <v>168</v>
      </c>
      <c r="E228" s="60" t="s">
        <v>169</v>
      </c>
      <c r="F228" s="60" t="s">
        <v>170</v>
      </c>
      <c r="G228" s="61" t="s">
        <v>171</v>
      </c>
      <c r="H228" s="62" t="s">
        <v>172</v>
      </c>
      <c r="I228" s="60" t="s">
        <v>173</v>
      </c>
      <c r="J228" s="6" t="s">
        <v>174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175</v>
      </c>
      <c r="E230" s="60" t="s">
        <v>176</v>
      </c>
      <c r="F230" s="60" t="s">
        <v>177</v>
      </c>
      <c r="G230" s="61" t="s">
        <v>177</v>
      </c>
      <c r="H230" s="62" t="s">
        <v>178</v>
      </c>
      <c r="I230" s="60" t="s">
        <v>178</v>
      </c>
      <c r="J230" s="6"/>
    </row>
    <row r="231" customHeight="1" spans="1:10">
      <c r="A231" s="64" t="s">
        <v>246</v>
      </c>
      <c r="B231" s="64" t="s">
        <v>249</v>
      </c>
      <c r="C231" s="65" t="s">
        <v>181</v>
      </c>
      <c r="D231" s="65">
        <v>31</v>
      </c>
      <c r="E231" s="65">
        <v>24</v>
      </c>
      <c r="F231" s="65">
        <v>744</v>
      </c>
      <c r="G231" s="65">
        <v>481</v>
      </c>
      <c r="H231" s="66">
        <v>0.646505376344086</v>
      </c>
      <c r="I231" s="66">
        <v>1</v>
      </c>
      <c r="J231" s="65"/>
    </row>
    <row r="232" customHeight="1" spans="1:10">
      <c r="A232" s="64"/>
      <c r="B232" s="65"/>
      <c r="C232" s="65" t="s">
        <v>183</v>
      </c>
      <c r="D232" s="65">
        <v>31</v>
      </c>
      <c r="E232" s="65">
        <v>24</v>
      </c>
      <c r="F232" s="65">
        <v>744</v>
      </c>
      <c r="G232" s="65">
        <v>481</v>
      </c>
      <c r="H232" s="66">
        <v>0.646505376344086</v>
      </c>
      <c r="I232" s="66">
        <v>1</v>
      </c>
      <c r="J232" s="65"/>
    </row>
    <row r="233" customHeight="1" spans="1:10">
      <c r="A233" s="64"/>
      <c r="B233" s="65"/>
      <c r="C233" s="65" t="s">
        <v>187</v>
      </c>
      <c r="D233" s="65">
        <v>31</v>
      </c>
      <c r="E233" s="65">
        <v>24</v>
      </c>
      <c r="F233" s="65">
        <v>744</v>
      </c>
      <c r="G233" s="65">
        <v>481</v>
      </c>
      <c r="H233" s="66">
        <v>0.646505376344086</v>
      </c>
      <c r="I233" s="66">
        <v>1</v>
      </c>
      <c r="J233" s="65"/>
    </row>
    <row r="234" customHeight="1" spans="1:10">
      <c r="A234" s="64"/>
      <c r="B234" s="65"/>
      <c r="C234" s="65" t="s">
        <v>188</v>
      </c>
      <c r="D234" s="65">
        <v>31</v>
      </c>
      <c r="E234" s="65">
        <v>24</v>
      </c>
      <c r="F234" s="65">
        <v>744</v>
      </c>
      <c r="G234" s="65">
        <v>481</v>
      </c>
      <c r="H234" s="66">
        <v>0.646505376344086</v>
      </c>
      <c r="I234" s="66">
        <v>1</v>
      </c>
      <c r="J234" s="65"/>
    </row>
    <row r="235" customHeight="1" spans="1:10">
      <c r="A235" s="64"/>
      <c r="B235" s="64" t="s">
        <v>250</v>
      </c>
      <c r="C235" s="65" t="s">
        <v>181</v>
      </c>
      <c r="D235" s="65">
        <v>31</v>
      </c>
      <c r="E235" s="65">
        <v>24</v>
      </c>
      <c r="F235" s="65">
        <v>744</v>
      </c>
      <c r="G235" s="65">
        <v>563</v>
      </c>
      <c r="H235" s="66">
        <v>0.756720430107527</v>
      </c>
      <c r="I235" s="66">
        <v>1</v>
      </c>
      <c r="J235" s="65"/>
    </row>
    <row r="236" customHeight="1" spans="1:10">
      <c r="A236" s="64"/>
      <c r="B236" s="65"/>
      <c r="C236" s="65" t="s">
        <v>183</v>
      </c>
      <c r="D236" s="65">
        <v>31</v>
      </c>
      <c r="E236" s="65">
        <v>24</v>
      </c>
      <c r="F236" s="65">
        <v>744</v>
      </c>
      <c r="G236" s="65">
        <v>563</v>
      </c>
      <c r="H236" s="66">
        <v>0.756720430107527</v>
      </c>
      <c r="I236" s="66">
        <v>1</v>
      </c>
      <c r="J236" s="65"/>
    </row>
    <row r="237" customHeight="1" spans="1:10">
      <c r="A237" s="64"/>
      <c r="B237" s="65"/>
      <c r="C237" s="65" t="s">
        <v>187</v>
      </c>
      <c r="D237" s="65">
        <v>31</v>
      </c>
      <c r="E237" s="65">
        <v>24</v>
      </c>
      <c r="F237" s="65">
        <v>744</v>
      </c>
      <c r="G237" s="65">
        <v>400</v>
      </c>
      <c r="H237" s="66">
        <v>0.537634408602151</v>
      </c>
      <c r="I237" s="66">
        <v>0.74</v>
      </c>
      <c r="J237" s="65" t="s">
        <v>251</v>
      </c>
    </row>
    <row r="238" customHeight="1" spans="1:10">
      <c r="A238" s="64"/>
      <c r="B238" s="65"/>
      <c r="C238" s="65" t="s">
        <v>188</v>
      </c>
      <c r="D238" s="65">
        <v>31</v>
      </c>
      <c r="E238" s="65">
        <v>24</v>
      </c>
      <c r="F238" s="65">
        <v>744</v>
      </c>
      <c r="G238" s="65">
        <v>563</v>
      </c>
      <c r="H238" s="66">
        <v>0.756720430107527</v>
      </c>
      <c r="I238" s="66">
        <v>1</v>
      </c>
      <c r="J238" s="65"/>
    </row>
    <row r="239" customHeight="1" spans="1:10">
      <c r="A239" s="64"/>
      <c r="B239" s="65"/>
      <c r="C239" s="65" t="s">
        <v>189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191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252</v>
      </c>
      <c r="C241" s="65" t="s">
        <v>181</v>
      </c>
      <c r="D241" s="65">
        <v>31</v>
      </c>
      <c r="E241" s="65">
        <v>24</v>
      </c>
      <c r="F241" s="65">
        <v>744</v>
      </c>
      <c r="G241" s="65">
        <v>113</v>
      </c>
      <c r="H241" s="66">
        <v>0.151881720430108</v>
      </c>
      <c r="I241" s="66">
        <v>1</v>
      </c>
      <c r="J241" s="65"/>
    </row>
    <row r="242" customHeight="1" spans="1:10">
      <c r="A242" s="64"/>
      <c r="B242" s="65"/>
      <c r="C242" s="65" t="s">
        <v>183</v>
      </c>
      <c r="D242" s="65">
        <v>31</v>
      </c>
      <c r="E242" s="65">
        <v>24</v>
      </c>
      <c r="F242" s="65">
        <v>744</v>
      </c>
      <c r="G242" s="65">
        <v>113</v>
      </c>
      <c r="H242" s="66">
        <v>0.151881720430108</v>
      </c>
      <c r="I242" s="66">
        <v>1</v>
      </c>
      <c r="J242" s="65"/>
    </row>
    <row r="243" customHeight="1" spans="1:10">
      <c r="A243" s="64"/>
      <c r="B243" s="65"/>
      <c r="C243" s="65" t="s">
        <v>187</v>
      </c>
      <c r="D243" s="65">
        <v>31</v>
      </c>
      <c r="E243" s="65">
        <v>24</v>
      </c>
      <c r="F243" s="65">
        <v>744</v>
      </c>
      <c r="G243" s="65">
        <v>113</v>
      </c>
      <c r="H243" s="66">
        <v>0.151881720430108</v>
      </c>
      <c r="I243" s="66">
        <v>1</v>
      </c>
      <c r="J243" s="65"/>
    </row>
    <row r="244" customHeight="1" spans="1:10">
      <c r="A244" s="64"/>
      <c r="B244" s="65"/>
      <c r="C244" s="65" t="s">
        <v>188</v>
      </c>
      <c r="D244" s="65">
        <v>31</v>
      </c>
      <c r="E244" s="65">
        <v>24</v>
      </c>
      <c r="F244" s="65">
        <v>744</v>
      </c>
      <c r="G244" s="65">
        <v>113</v>
      </c>
      <c r="H244" s="66">
        <v>0.151881720430108</v>
      </c>
      <c r="I244" s="66">
        <v>1</v>
      </c>
      <c r="J244" s="65"/>
    </row>
    <row r="245" customHeight="1" spans="1:10">
      <c r="A245" s="64"/>
      <c r="B245" s="64" t="s">
        <v>253</v>
      </c>
      <c r="C245" s="65" t="s">
        <v>181</v>
      </c>
      <c r="D245" s="65">
        <v>31</v>
      </c>
      <c r="E245" s="65">
        <v>24</v>
      </c>
      <c r="F245" s="65">
        <v>744</v>
      </c>
      <c r="G245" s="65">
        <v>595</v>
      </c>
      <c r="H245" s="66">
        <v>0.799731182795699</v>
      </c>
      <c r="I245" s="66">
        <v>1</v>
      </c>
      <c r="J245" s="65"/>
    </row>
    <row r="246" customHeight="1" spans="1:10">
      <c r="A246" s="64"/>
      <c r="B246" s="65"/>
      <c r="C246" s="65" t="s">
        <v>183</v>
      </c>
      <c r="D246" s="65">
        <v>31</v>
      </c>
      <c r="E246" s="65">
        <v>24</v>
      </c>
      <c r="F246" s="65">
        <v>744</v>
      </c>
      <c r="G246" s="65">
        <v>595</v>
      </c>
      <c r="H246" s="66">
        <v>0.799731182795699</v>
      </c>
      <c r="I246" s="66">
        <v>1</v>
      </c>
      <c r="J246" s="65"/>
    </row>
    <row r="247" customHeight="1" spans="1:10">
      <c r="A247" s="64"/>
      <c r="B247" s="65"/>
      <c r="C247" s="65" t="s">
        <v>187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188</v>
      </c>
      <c r="D248" s="65">
        <v>31</v>
      </c>
      <c r="E248" s="65">
        <v>24</v>
      </c>
      <c r="F248" s="65">
        <v>744</v>
      </c>
      <c r="G248" s="65">
        <v>595</v>
      </c>
      <c r="H248" s="66">
        <v>0.799731182795699</v>
      </c>
      <c r="I248" s="66">
        <v>1</v>
      </c>
      <c r="J248" s="65"/>
    </row>
    <row r="249" customHeight="1" spans="1:10">
      <c r="A249" s="64"/>
      <c r="B249" s="65"/>
      <c r="C249" s="65" t="s">
        <v>189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191</v>
      </c>
      <c r="D250" s="65">
        <v>31</v>
      </c>
      <c r="E250" s="65">
        <v>24</v>
      </c>
      <c r="F250" s="65">
        <v>744</v>
      </c>
      <c r="G250" s="65">
        <v>595</v>
      </c>
      <c r="H250" s="66">
        <v>0.799731182795699</v>
      </c>
      <c r="I250" s="66">
        <v>1</v>
      </c>
      <c r="J250" s="65"/>
    </row>
    <row r="251" customHeight="1" spans="1:10">
      <c r="A251" s="64"/>
      <c r="B251" s="65"/>
      <c r="C251" s="65" t="s">
        <v>199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200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201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254</v>
      </c>
      <c r="C254" s="65" t="s">
        <v>181</v>
      </c>
      <c r="D254" s="65">
        <v>31</v>
      </c>
      <c r="E254" s="65">
        <v>24</v>
      </c>
      <c r="F254" s="65">
        <v>744</v>
      </c>
      <c r="G254" s="65">
        <v>481</v>
      </c>
      <c r="H254" s="66">
        <v>0.646505376344086</v>
      </c>
      <c r="I254" s="66">
        <v>1</v>
      </c>
      <c r="J254" s="65"/>
    </row>
    <row r="255" customHeight="1" spans="1:10">
      <c r="A255" s="64"/>
      <c r="B255" s="65"/>
      <c r="C255" s="65" t="s">
        <v>183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187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188</v>
      </c>
      <c r="D257" s="65">
        <v>31</v>
      </c>
      <c r="E257" s="65">
        <v>24</v>
      </c>
      <c r="F257" s="65">
        <v>744</v>
      </c>
      <c r="G257" s="65">
        <v>481</v>
      </c>
      <c r="H257" s="66">
        <v>0.646505376344086</v>
      </c>
      <c r="I257" s="66">
        <v>1</v>
      </c>
      <c r="J257" s="65"/>
    </row>
    <row r="258" customHeight="1" spans="1:10">
      <c r="A258" s="64"/>
      <c r="B258" s="65"/>
      <c r="C258" s="65" t="s">
        <v>189</v>
      </c>
      <c r="D258" s="65">
        <v>31</v>
      </c>
      <c r="E258" s="65">
        <v>24</v>
      </c>
      <c r="F258" s="65">
        <v>744</v>
      </c>
      <c r="G258" s="65">
        <v>405</v>
      </c>
      <c r="H258" s="66">
        <v>0.544354838709677</v>
      </c>
      <c r="I258" s="66">
        <v>1</v>
      </c>
      <c r="J258" s="65"/>
    </row>
    <row r="259" customHeight="1" spans="1:10">
      <c r="A259" s="64"/>
      <c r="B259" s="65"/>
      <c r="C259" s="65" t="s">
        <v>191</v>
      </c>
      <c r="D259" s="65">
        <v>31</v>
      </c>
      <c r="E259" s="65">
        <v>24</v>
      </c>
      <c r="F259" s="65">
        <v>744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199</v>
      </c>
      <c r="D260" s="65">
        <v>31</v>
      </c>
      <c r="E260" s="65">
        <v>24</v>
      </c>
      <c r="F260" s="65">
        <v>744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200</v>
      </c>
      <c r="D261" s="65">
        <v>31</v>
      </c>
      <c r="E261" s="65">
        <v>24</v>
      </c>
      <c r="F261" s="65">
        <v>744</v>
      </c>
      <c r="G261" s="65">
        <v>481</v>
      </c>
      <c r="H261" s="66">
        <v>0.646505376344086</v>
      </c>
      <c r="I261" s="66">
        <v>1</v>
      </c>
      <c r="J261" s="65"/>
    </row>
    <row r="262" customHeight="1" spans="1:10">
      <c r="A262" s="64"/>
      <c r="B262" s="6" t="s">
        <v>255</v>
      </c>
      <c r="C262" s="65" t="s">
        <v>181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183</v>
      </c>
      <c r="D263" s="65">
        <v>31</v>
      </c>
      <c r="E263" s="65">
        <v>24</v>
      </c>
      <c r="F263" s="65">
        <v>744</v>
      </c>
      <c r="G263" s="65">
        <v>720</v>
      </c>
      <c r="H263" s="66">
        <v>0.97</v>
      </c>
      <c r="I263" s="66">
        <v>1</v>
      </c>
      <c r="J263" s="65"/>
    </row>
    <row r="264" customHeight="1" spans="1:10">
      <c r="A264" s="64"/>
      <c r="B264" s="5"/>
      <c r="C264" s="65" t="s">
        <v>187</v>
      </c>
      <c r="D264" s="65">
        <v>31</v>
      </c>
      <c r="E264" s="65">
        <v>24</v>
      </c>
      <c r="F264" s="65">
        <v>744</v>
      </c>
      <c r="G264" s="65">
        <v>0</v>
      </c>
      <c r="H264" s="66">
        <v>0</v>
      </c>
      <c r="I264" s="66">
        <v>1</v>
      </c>
      <c r="J264" s="65"/>
    </row>
    <row r="265" customHeight="1" spans="1:10">
      <c r="A265" s="64"/>
      <c r="B265" s="6" t="s">
        <v>256</v>
      </c>
      <c r="C265" s="65" t="s">
        <v>181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 t="s">
        <v>257</v>
      </c>
    </row>
    <row r="266" customHeight="1" spans="1:10">
      <c r="A266" s="64"/>
      <c r="B266" s="5"/>
      <c r="C266" s="65" t="s">
        <v>183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257</v>
      </c>
    </row>
    <row r="267" customHeight="1" spans="1:10">
      <c r="A267" s="64"/>
      <c r="B267" s="5"/>
      <c r="C267" s="65" t="s">
        <v>187</v>
      </c>
      <c r="D267" s="65">
        <v>31</v>
      </c>
      <c r="E267" s="65">
        <v>24</v>
      </c>
      <c r="F267" s="65">
        <v>744</v>
      </c>
      <c r="G267" s="65">
        <v>744</v>
      </c>
      <c r="H267" s="66">
        <v>1</v>
      </c>
      <c r="I267" s="66">
        <v>1</v>
      </c>
      <c r="J267" s="65" t="s">
        <v>257</v>
      </c>
    </row>
    <row r="268" customHeight="1" spans="1:10">
      <c r="A268" s="64"/>
      <c r="B268" s="5"/>
      <c r="C268" s="65" t="s">
        <v>188</v>
      </c>
      <c r="D268" s="65">
        <v>31</v>
      </c>
      <c r="E268" s="65">
        <v>24</v>
      </c>
      <c r="F268" s="65">
        <v>744</v>
      </c>
      <c r="G268" s="65">
        <v>744</v>
      </c>
      <c r="H268" s="66">
        <v>1</v>
      </c>
      <c r="I268" s="66">
        <v>1</v>
      </c>
      <c r="J268" s="65" t="s">
        <v>257</v>
      </c>
    </row>
    <row r="269" customHeight="1" spans="1:10">
      <c r="A269" s="64"/>
      <c r="B269" s="5"/>
      <c r="C269" s="65" t="s">
        <v>189</v>
      </c>
      <c r="D269" s="65">
        <v>31</v>
      </c>
      <c r="E269" s="65">
        <v>24</v>
      </c>
      <c r="F269" s="65">
        <v>744</v>
      </c>
      <c r="G269" s="65">
        <v>744</v>
      </c>
      <c r="H269" s="66">
        <v>1</v>
      </c>
      <c r="I269" s="66">
        <v>1</v>
      </c>
      <c r="J269" s="65" t="s">
        <v>257</v>
      </c>
    </row>
    <row r="270" ht="19" customHeight="1" spans="1:10">
      <c r="A270" s="67" t="s">
        <v>72</v>
      </c>
      <c r="B270" s="67"/>
      <c r="C270" s="15"/>
      <c r="D270" s="15"/>
      <c r="E270" s="68" t="s">
        <v>73</v>
      </c>
      <c r="F270" s="68"/>
      <c r="G270" s="69"/>
      <c r="H270" s="10" t="str">
        <f>H38</f>
        <v>制表时间：2022/1/4</v>
      </c>
      <c r="I270" s="10"/>
      <c r="J270" s="10"/>
    </row>
    <row r="271" ht="17" customHeight="1" spans="1:10">
      <c r="A271" s="57" t="s">
        <v>164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f>A2</f>
        <v>44531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customHeight="1" spans="1:10">
      <c r="A273" s="6" t="s">
        <v>165</v>
      </c>
      <c r="B273" s="6" t="s">
        <v>166</v>
      </c>
      <c r="C273" s="6" t="s">
        <v>167</v>
      </c>
      <c r="D273" s="6" t="s">
        <v>168</v>
      </c>
      <c r="E273" s="60" t="s">
        <v>169</v>
      </c>
      <c r="F273" s="60" t="s">
        <v>170</v>
      </c>
      <c r="G273" s="61" t="s">
        <v>171</v>
      </c>
      <c r="H273" s="62" t="s">
        <v>172</v>
      </c>
      <c r="I273" s="60" t="s">
        <v>173</v>
      </c>
      <c r="J273" s="6" t="s">
        <v>174</v>
      </c>
    </row>
    <row r="274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customHeight="1" spans="1:10">
      <c r="A275" s="63"/>
      <c r="B275" s="6"/>
      <c r="C275" s="63"/>
      <c r="D275" s="6" t="s">
        <v>175</v>
      </c>
      <c r="E275" s="60" t="s">
        <v>176</v>
      </c>
      <c r="F275" s="60" t="s">
        <v>177</v>
      </c>
      <c r="G275" s="61" t="s">
        <v>177</v>
      </c>
      <c r="H275" s="62" t="s">
        <v>178</v>
      </c>
      <c r="I275" s="60" t="s">
        <v>178</v>
      </c>
      <c r="J275" s="6"/>
    </row>
    <row r="276" customHeight="1" spans="1:10">
      <c r="A276" s="64" t="s">
        <v>246</v>
      </c>
      <c r="B276" s="64" t="s">
        <v>256</v>
      </c>
      <c r="C276" s="65" t="s">
        <v>191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 t="s">
        <v>257</v>
      </c>
    </row>
    <row r="277" customHeight="1" spans="1:10">
      <c r="A277" s="65"/>
      <c r="B277" s="64"/>
      <c r="C277" s="65" t="s">
        <v>199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 t="s">
        <v>257</v>
      </c>
    </row>
    <row r="278" customHeight="1" spans="1:10">
      <c r="A278" s="65"/>
      <c r="B278" s="64"/>
      <c r="C278" s="65" t="s">
        <v>200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 t="s">
        <v>257</v>
      </c>
    </row>
    <row r="279" customHeight="1" spans="1:10">
      <c r="A279" s="65"/>
      <c r="B279" s="64" t="s">
        <v>258</v>
      </c>
      <c r="C279" s="65" t="s">
        <v>201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 t="s">
        <v>257</v>
      </c>
    </row>
    <row r="280" customHeight="1" spans="1:10">
      <c r="A280" s="65"/>
      <c r="B280" s="65"/>
      <c r="C280" s="65" t="s">
        <v>202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 t="s">
        <v>257</v>
      </c>
    </row>
    <row r="281" ht="33" customHeight="1" spans="1:10">
      <c r="A281" s="65"/>
      <c r="B281" s="65"/>
      <c r="C281" s="65" t="s">
        <v>203</v>
      </c>
      <c r="D281" s="65">
        <v>31</v>
      </c>
      <c r="E281" s="65">
        <v>24</v>
      </c>
      <c r="F281" s="65">
        <v>744</v>
      </c>
      <c r="G281" s="65">
        <v>740</v>
      </c>
      <c r="H281" s="66">
        <v>0.99</v>
      </c>
      <c r="I281" s="66">
        <v>1</v>
      </c>
      <c r="J281" s="64" t="s">
        <v>259</v>
      </c>
    </row>
    <row r="282" customHeight="1" spans="1:10">
      <c r="A282" s="65"/>
      <c r="B282" s="65"/>
      <c r="C282" s="65" t="s">
        <v>204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 t="s">
        <v>257</v>
      </c>
    </row>
    <row r="283" customHeight="1" spans="1:10">
      <c r="A283" s="65"/>
      <c r="B283" s="65"/>
      <c r="C283" s="65" t="s">
        <v>205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 t="s">
        <v>257</v>
      </c>
    </row>
    <row r="284" customHeight="1" spans="1:10">
      <c r="A284" s="65"/>
      <c r="B284" s="65"/>
      <c r="C284" s="65" t="s">
        <v>206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 t="s">
        <v>257</v>
      </c>
    </row>
    <row r="285" customHeight="1" spans="1:10">
      <c r="A285" s="65"/>
      <c r="B285" s="65"/>
      <c r="C285" s="65" t="s">
        <v>207</v>
      </c>
      <c r="D285" s="65">
        <v>31</v>
      </c>
      <c r="E285" s="65">
        <v>24</v>
      </c>
      <c r="F285" s="65">
        <v>744</v>
      </c>
      <c r="G285" s="65">
        <v>744</v>
      </c>
      <c r="H285" s="66">
        <v>1</v>
      </c>
      <c r="I285" s="66">
        <v>1</v>
      </c>
      <c r="J285" s="65" t="s">
        <v>257</v>
      </c>
    </row>
    <row r="286" customHeight="1" spans="1:10">
      <c r="A286" s="65"/>
      <c r="B286" s="65"/>
      <c r="C286" s="65" t="s">
        <v>208</v>
      </c>
      <c r="D286" s="65">
        <v>31</v>
      </c>
      <c r="E286" s="65">
        <v>24</v>
      </c>
      <c r="F286" s="65">
        <v>744</v>
      </c>
      <c r="G286" s="65">
        <v>744</v>
      </c>
      <c r="H286" s="66">
        <v>1</v>
      </c>
      <c r="I286" s="66">
        <v>1</v>
      </c>
      <c r="J286" s="65" t="s">
        <v>257</v>
      </c>
    </row>
    <row r="287" customHeight="1" spans="1:10">
      <c r="A287" s="65"/>
      <c r="B287" s="65" t="s">
        <v>260</v>
      </c>
      <c r="C287" s="65" t="s">
        <v>181</v>
      </c>
      <c r="D287" s="65">
        <v>31</v>
      </c>
      <c r="E287" s="65">
        <v>24</v>
      </c>
      <c r="F287" s="65">
        <v>744</v>
      </c>
      <c r="G287" s="65">
        <v>46</v>
      </c>
      <c r="H287" s="66">
        <v>0.0618279569892473</v>
      </c>
      <c r="I287" s="66">
        <v>1</v>
      </c>
      <c r="J287" s="65"/>
    </row>
    <row r="288" customHeight="1" spans="1:10">
      <c r="A288" s="65"/>
      <c r="B288" s="65"/>
      <c r="C288" s="65" t="s">
        <v>183</v>
      </c>
      <c r="D288" s="65">
        <v>31</v>
      </c>
      <c r="E288" s="65">
        <v>24</v>
      </c>
      <c r="F288" s="65">
        <v>744</v>
      </c>
      <c r="G288" s="65">
        <v>0</v>
      </c>
      <c r="H288" s="66">
        <v>0</v>
      </c>
      <c r="I288" s="66">
        <v>1</v>
      </c>
      <c r="J288" s="65"/>
    </row>
    <row r="289" customHeight="1" spans="1:10">
      <c r="A289" s="65"/>
      <c r="B289" s="65"/>
      <c r="C289" s="65" t="s">
        <v>187</v>
      </c>
      <c r="D289" s="65">
        <v>31</v>
      </c>
      <c r="E289" s="65">
        <v>24</v>
      </c>
      <c r="F289" s="65">
        <v>744</v>
      </c>
      <c r="G289" s="65">
        <v>45.2</v>
      </c>
      <c r="H289" s="66">
        <v>0.060752688172043</v>
      </c>
      <c r="I289" s="66">
        <v>1</v>
      </c>
      <c r="J289" s="65"/>
    </row>
    <row r="290" customHeight="1" spans="1:10">
      <c r="A290" s="65"/>
      <c r="B290" s="65" t="s">
        <v>261</v>
      </c>
      <c r="C290" s="65" t="s">
        <v>181</v>
      </c>
      <c r="D290" s="65">
        <v>31</v>
      </c>
      <c r="E290" s="65">
        <v>24</v>
      </c>
      <c r="F290" s="65">
        <v>744</v>
      </c>
      <c r="G290" s="65">
        <v>33.7</v>
      </c>
      <c r="H290" s="66">
        <v>0.0452956989247312</v>
      </c>
      <c r="I290" s="66">
        <v>1</v>
      </c>
      <c r="J290" s="65"/>
    </row>
    <row r="291" customHeight="1" spans="1:10">
      <c r="A291" s="65"/>
      <c r="B291" s="65"/>
      <c r="C291" s="65" t="s">
        <v>183</v>
      </c>
      <c r="D291" s="65">
        <v>31</v>
      </c>
      <c r="E291" s="65">
        <v>24</v>
      </c>
      <c r="F291" s="65">
        <v>744</v>
      </c>
      <c r="G291" s="65">
        <v>32</v>
      </c>
      <c r="H291" s="66">
        <v>0.043010752688172</v>
      </c>
      <c r="I291" s="66">
        <v>1</v>
      </c>
      <c r="J291" s="65"/>
    </row>
    <row r="292" customHeight="1" spans="1:10">
      <c r="A292" s="65"/>
      <c r="B292" s="65"/>
      <c r="C292" s="65" t="s">
        <v>187</v>
      </c>
      <c r="D292" s="65">
        <v>31</v>
      </c>
      <c r="E292" s="65">
        <v>24</v>
      </c>
      <c r="F292" s="65">
        <v>744</v>
      </c>
      <c r="G292" s="65">
        <v>37.6</v>
      </c>
      <c r="H292" s="66">
        <v>0.0505376344086022</v>
      </c>
      <c r="I292" s="66">
        <v>1</v>
      </c>
      <c r="J292" s="65"/>
    </row>
    <row r="293" ht="17" customHeight="1" spans="1:10">
      <c r="A293" s="64" t="s">
        <v>262</v>
      </c>
      <c r="B293" s="80" t="s">
        <v>263</v>
      </c>
      <c r="C293" s="65" t="s">
        <v>181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 t="s">
        <v>264</v>
      </c>
    </row>
    <row r="294" customHeight="1" spans="1:10">
      <c r="A294" s="65"/>
      <c r="B294" s="82"/>
      <c r="C294" s="65" t="s">
        <v>183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 t="s">
        <v>264</v>
      </c>
    </row>
    <row r="295" customHeight="1" spans="1:10">
      <c r="A295" s="65"/>
      <c r="B295" s="82"/>
      <c r="C295" s="65" t="s">
        <v>187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 t="s">
        <v>264</v>
      </c>
    </row>
    <row r="296" customHeight="1" spans="1:10">
      <c r="A296" s="65"/>
      <c r="B296" s="82"/>
      <c r="C296" s="65" t="s">
        <v>188</v>
      </c>
      <c r="D296" s="65">
        <v>31</v>
      </c>
      <c r="E296" s="65">
        <v>24</v>
      </c>
      <c r="F296" s="65">
        <v>744</v>
      </c>
      <c r="G296" s="65">
        <v>744</v>
      </c>
      <c r="H296" s="66">
        <v>1</v>
      </c>
      <c r="I296" s="66">
        <v>1</v>
      </c>
      <c r="J296" s="65" t="s">
        <v>264</v>
      </c>
    </row>
    <row r="297" customHeight="1" spans="1:10">
      <c r="A297" s="65"/>
      <c r="B297" s="82"/>
      <c r="C297" s="65" t="s">
        <v>189</v>
      </c>
      <c r="D297" s="65">
        <v>31</v>
      </c>
      <c r="E297" s="65">
        <v>24</v>
      </c>
      <c r="F297" s="65">
        <v>744</v>
      </c>
      <c r="G297" s="65">
        <v>0</v>
      </c>
      <c r="H297" s="66">
        <v>0</v>
      </c>
      <c r="I297" s="66">
        <v>1</v>
      </c>
      <c r="J297" s="65" t="s">
        <v>264</v>
      </c>
    </row>
    <row r="298" customHeight="1" spans="1:10">
      <c r="A298" s="65"/>
      <c r="B298" s="82"/>
      <c r="C298" s="65" t="s">
        <v>191</v>
      </c>
      <c r="D298" s="65">
        <v>31</v>
      </c>
      <c r="E298" s="65">
        <v>24</v>
      </c>
      <c r="F298" s="65">
        <v>744</v>
      </c>
      <c r="G298" s="65">
        <v>744</v>
      </c>
      <c r="H298" s="66">
        <v>1</v>
      </c>
      <c r="I298" s="66">
        <v>1</v>
      </c>
      <c r="J298" s="65" t="s">
        <v>264</v>
      </c>
    </row>
    <row r="299" customHeight="1" spans="1:10">
      <c r="A299" s="65"/>
      <c r="B299" s="82"/>
      <c r="C299" s="65" t="s">
        <v>199</v>
      </c>
      <c r="D299" s="65">
        <v>31</v>
      </c>
      <c r="E299" s="65">
        <v>24</v>
      </c>
      <c r="F299" s="65">
        <v>744</v>
      </c>
      <c r="G299" s="65">
        <v>298</v>
      </c>
      <c r="H299" s="66">
        <v>0.400537634408602</v>
      </c>
      <c r="I299" s="66">
        <v>1</v>
      </c>
      <c r="J299" s="65" t="s">
        <v>264</v>
      </c>
    </row>
    <row r="300" customHeight="1" spans="1:10">
      <c r="A300" s="65"/>
      <c r="B300" s="84"/>
      <c r="C300" s="65" t="s">
        <v>200</v>
      </c>
      <c r="D300" s="65">
        <v>31</v>
      </c>
      <c r="E300" s="65">
        <v>24</v>
      </c>
      <c r="F300" s="65">
        <v>744</v>
      </c>
      <c r="G300" s="65">
        <v>106</v>
      </c>
      <c r="H300" s="66">
        <v>0.14247311827957</v>
      </c>
      <c r="I300" s="66">
        <v>1</v>
      </c>
      <c r="J300" s="65" t="s">
        <v>264</v>
      </c>
    </row>
    <row r="301" customHeight="1" spans="1:10">
      <c r="A301" s="65"/>
      <c r="B301" s="80" t="s">
        <v>265</v>
      </c>
      <c r="C301" s="65" t="s">
        <v>201</v>
      </c>
      <c r="D301" s="65">
        <v>31</v>
      </c>
      <c r="E301" s="65">
        <v>24</v>
      </c>
      <c r="F301" s="65">
        <v>744</v>
      </c>
      <c r="G301" s="65">
        <v>320</v>
      </c>
      <c r="H301" s="66">
        <v>0.43010752688172</v>
      </c>
      <c r="I301" s="66">
        <v>1</v>
      </c>
      <c r="J301" s="65" t="s">
        <v>264</v>
      </c>
    </row>
    <row r="302" customHeight="1" spans="1:10">
      <c r="A302" s="65"/>
      <c r="B302" s="82"/>
      <c r="C302" s="65" t="s">
        <v>202</v>
      </c>
      <c r="D302" s="65">
        <v>31</v>
      </c>
      <c r="E302" s="65">
        <v>24</v>
      </c>
      <c r="F302" s="65">
        <v>744</v>
      </c>
      <c r="G302" s="65">
        <v>102</v>
      </c>
      <c r="H302" s="66">
        <v>0.137096774193548</v>
      </c>
      <c r="I302" s="66">
        <v>1</v>
      </c>
      <c r="J302" s="65" t="s">
        <v>264</v>
      </c>
    </row>
    <row r="303" customHeight="1" spans="1:10">
      <c r="A303" s="65"/>
      <c r="B303" s="82"/>
      <c r="C303" s="65" t="s">
        <v>203</v>
      </c>
      <c r="D303" s="65">
        <v>31</v>
      </c>
      <c r="E303" s="65">
        <v>24</v>
      </c>
      <c r="F303" s="65">
        <v>744</v>
      </c>
      <c r="G303" s="65">
        <v>736</v>
      </c>
      <c r="H303" s="66">
        <v>0.989247311827957</v>
      </c>
      <c r="I303" s="66">
        <v>0.99</v>
      </c>
      <c r="J303" s="65" t="s">
        <v>266</v>
      </c>
    </row>
    <row r="304" customHeight="1" spans="1:10">
      <c r="A304" s="65"/>
      <c r="B304" s="82"/>
      <c r="C304" s="65" t="s">
        <v>204</v>
      </c>
      <c r="D304" s="65">
        <v>31</v>
      </c>
      <c r="E304" s="65">
        <v>24</v>
      </c>
      <c r="F304" s="65">
        <v>744</v>
      </c>
      <c r="G304" s="65">
        <v>744</v>
      </c>
      <c r="H304" s="66">
        <v>1</v>
      </c>
      <c r="I304" s="66">
        <v>1</v>
      </c>
      <c r="J304" s="65" t="s">
        <v>264</v>
      </c>
    </row>
    <row r="305" customHeight="1" spans="1:10">
      <c r="A305" s="65"/>
      <c r="B305" s="65" t="s">
        <v>267</v>
      </c>
      <c r="C305" s="65" t="s">
        <v>181</v>
      </c>
      <c r="D305" s="65">
        <v>31</v>
      </c>
      <c r="E305" s="65">
        <v>24</v>
      </c>
      <c r="F305" s="65">
        <v>744</v>
      </c>
      <c r="G305" s="65">
        <v>702</v>
      </c>
      <c r="H305" s="66">
        <v>0.93</v>
      </c>
      <c r="I305" s="66">
        <v>1</v>
      </c>
      <c r="J305" s="65" t="s">
        <v>268</v>
      </c>
    </row>
    <row r="306" customHeight="1" spans="1:10">
      <c r="A306" s="65"/>
      <c r="B306" s="65"/>
      <c r="C306" s="65" t="s">
        <v>183</v>
      </c>
      <c r="D306" s="65">
        <v>31</v>
      </c>
      <c r="E306" s="65">
        <v>24</v>
      </c>
      <c r="F306" s="65">
        <v>744</v>
      </c>
      <c r="G306" s="65">
        <v>0</v>
      </c>
      <c r="H306" s="66">
        <v>0</v>
      </c>
      <c r="I306" s="66">
        <v>1</v>
      </c>
      <c r="J306" s="65" t="s">
        <v>264</v>
      </c>
    </row>
    <row r="307" customHeight="1" spans="1:10">
      <c r="A307" s="65"/>
      <c r="B307" s="65"/>
      <c r="C307" s="65" t="s">
        <v>187</v>
      </c>
      <c r="D307" s="65">
        <v>31</v>
      </c>
      <c r="E307" s="65">
        <v>24</v>
      </c>
      <c r="F307" s="65">
        <v>744</v>
      </c>
      <c r="G307" s="65">
        <v>42</v>
      </c>
      <c r="H307" s="66">
        <v>0.07</v>
      </c>
      <c r="I307" s="66">
        <v>1</v>
      </c>
      <c r="J307" s="65" t="s">
        <v>264</v>
      </c>
    </row>
    <row r="308" customHeight="1" spans="1:10">
      <c r="A308" s="64" t="s">
        <v>269</v>
      </c>
      <c r="B308" s="65" t="s">
        <v>270</v>
      </c>
      <c r="C308" s="65" t="s">
        <v>181</v>
      </c>
      <c r="D308" s="65">
        <v>31</v>
      </c>
      <c r="E308" s="65">
        <v>24</v>
      </c>
      <c r="F308" s="65">
        <v>744</v>
      </c>
      <c r="G308" s="65">
        <v>552</v>
      </c>
      <c r="H308" s="66">
        <v>0.741935483870968</v>
      </c>
      <c r="I308" s="66">
        <v>1</v>
      </c>
      <c r="J308" s="65" t="s">
        <v>271</v>
      </c>
    </row>
    <row r="309" customHeight="1" spans="1:10">
      <c r="A309" s="65"/>
      <c r="B309" s="65"/>
      <c r="C309" s="65" t="s">
        <v>183</v>
      </c>
      <c r="D309" s="65">
        <v>31</v>
      </c>
      <c r="E309" s="65">
        <v>24</v>
      </c>
      <c r="F309" s="65">
        <v>744</v>
      </c>
      <c r="G309" s="65">
        <v>672</v>
      </c>
      <c r="H309" s="66">
        <v>0.903225806451613</v>
      </c>
      <c r="I309" s="66">
        <v>0.96</v>
      </c>
      <c r="J309" s="65" t="s">
        <v>272</v>
      </c>
    </row>
    <row r="310" customHeight="1" spans="1:10">
      <c r="A310" s="65"/>
      <c r="B310" s="65" t="s">
        <v>273</v>
      </c>
      <c r="C310" s="65" t="s">
        <v>181</v>
      </c>
      <c r="D310" s="65">
        <v>31</v>
      </c>
      <c r="E310" s="65">
        <v>24</v>
      </c>
      <c r="F310" s="65">
        <v>744</v>
      </c>
      <c r="G310" s="65">
        <v>692</v>
      </c>
      <c r="H310" s="66">
        <v>0.93010752688172</v>
      </c>
      <c r="I310" s="66">
        <v>1</v>
      </c>
      <c r="J310" s="65"/>
    </row>
    <row r="311" customHeight="1" spans="1:10">
      <c r="A311" s="65"/>
      <c r="B311" s="65"/>
      <c r="C311" s="65" t="s">
        <v>183</v>
      </c>
      <c r="D311" s="65">
        <v>31</v>
      </c>
      <c r="E311" s="65">
        <v>24</v>
      </c>
      <c r="F311" s="65">
        <v>744</v>
      </c>
      <c r="G311" s="65">
        <v>466</v>
      </c>
      <c r="H311" s="66">
        <v>0.626344086021505</v>
      </c>
      <c r="I311" s="66">
        <v>1</v>
      </c>
      <c r="J311" s="65"/>
    </row>
    <row r="312" customHeight="1" spans="1:10">
      <c r="A312" s="65"/>
      <c r="B312" s="65"/>
      <c r="C312" s="65" t="s">
        <v>187</v>
      </c>
      <c r="D312" s="65">
        <v>31</v>
      </c>
      <c r="E312" s="65">
        <v>24</v>
      </c>
      <c r="F312" s="65">
        <v>744</v>
      </c>
      <c r="G312" s="65">
        <v>68</v>
      </c>
      <c r="H312" s="66">
        <v>0.0913978494623656</v>
      </c>
      <c r="I312" s="66">
        <v>0.09</v>
      </c>
      <c r="J312" s="65" t="s">
        <v>274</v>
      </c>
    </row>
    <row r="313" ht="18" customHeight="1" spans="1:10">
      <c r="A313" s="65"/>
      <c r="B313" s="65" t="s">
        <v>275</v>
      </c>
      <c r="C313" s="65" t="s">
        <v>181</v>
      </c>
      <c r="D313" s="65">
        <v>31</v>
      </c>
      <c r="E313" s="65">
        <v>24</v>
      </c>
      <c r="F313" s="65">
        <v>744</v>
      </c>
      <c r="G313" s="65">
        <v>696</v>
      </c>
      <c r="H313" s="66">
        <v>0.935483870967742</v>
      </c>
      <c r="I313" s="66">
        <v>1</v>
      </c>
      <c r="J313" s="64" t="s">
        <v>276</v>
      </c>
    </row>
    <row r="314" ht="27" customHeight="1" spans="1:10">
      <c r="A314" s="65"/>
      <c r="B314" s="65"/>
      <c r="C314" s="65" t="s">
        <v>183</v>
      </c>
      <c r="D314" s="65">
        <v>31</v>
      </c>
      <c r="E314" s="65">
        <v>24</v>
      </c>
      <c r="F314" s="65">
        <v>744</v>
      </c>
      <c r="G314" s="65">
        <v>370</v>
      </c>
      <c r="H314" s="66">
        <v>0.497311827956989</v>
      </c>
      <c r="I314" s="66">
        <v>1</v>
      </c>
      <c r="J314" s="64" t="s">
        <v>277</v>
      </c>
    </row>
    <row r="315" ht="24" customHeight="1" spans="1:10">
      <c r="A315" s="67" t="s">
        <v>72</v>
      </c>
      <c r="B315" s="67"/>
      <c r="C315" s="15"/>
      <c r="D315" s="15"/>
      <c r="E315" s="68" t="s">
        <v>73</v>
      </c>
      <c r="F315" s="68"/>
      <c r="G315" s="69"/>
      <c r="H315" s="10" t="str">
        <f>H38</f>
        <v>制表时间：2022/1/4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3" workbookViewId="0">
      <selection activeCell="L25" sqref="L25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77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44531</v>
      </c>
      <c r="E2" s="33"/>
      <c r="F2" s="31"/>
    </row>
    <row r="3" ht="20.25" customHeight="1" spans="1:7">
      <c r="A3" s="34" t="s">
        <v>278</v>
      </c>
      <c r="B3" s="34" t="s">
        <v>167</v>
      </c>
      <c r="C3" s="34" t="s">
        <v>279</v>
      </c>
      <c r="D3" s="34" t="s">
        <v>280</v>
      </c>
      <c r="E3" s="34" t="s">
        <v>281</v>
      </c>
      <c r="F3" s="34" t="s">
        <v>282</v>
      </c>
      <c r="G3" s="35" t="s">
        <v>132</v>
      </c>
    </row>
    <row r="4" ht="22.5" spans="1:8">
      <c r="A4" s="36" t="s">
        <v>283</v>
      </c>
      <c r="B4" s="37" t="s">
        <v>284</v>
      </c>
      <c r="C4" s="37" t="s">
        <v>285</v>
      </c>
      <c r="D4" s="34" t="s">
        <v>286</v>
      </c>
      <c r="E4" s="34" t="s">
        <v>287</v>
      </c>
      <c r="F4" s="38" t="s">
        <v>288</v>
      </c>
      <c r="G4" s="39" t="s">
        <v>289</v>
      </c>
      <c r="H4" s="40"/>
    </row>
    <row r="5" ht="22.5" spans="1:7">
      <c r="A5" s="41"/>
      <c r="B5" s="37" t="s">
        <v>290</v>
      </c>
      <c r="C5" s="37" t="s">
        <v>285</v>
      </c>
      <c r="D5" s="34" t="s">
        <v>286</v>
      </c>
      <c r="E5" s="34" t="s">
        <v>287</v>
      </c>
      <c r="F5" s="34" t="s">
        <v>288</v>
      </c>
      <c r="G5" s="39" t="str">
        <f>G4</f>
        <v>2021-12-01 2021-12-08 2021-12-15 2021-12-22</v>
      </c>
    </row>
    <row r="6" ht="22.5" spans="1:7">
      <c r="A6" s="41"/>
      <c r="B6" s="37" t="s">
        <v>291</v>
      </c>
      <c r="C6" s="37" t="s">
        <v>285</v>
      </c>
      <c r="D6" s="34" t="s">
        <v>286</v>
      </c>
      <c r="E6" s="34" t="s">
        <v>287</v>
      </c>
      <c r="F6" s="34" t="s">
        <v>288</v>
      </c>
      <c r="G6" s="39" t="str">
        <f t="shared" ref="G6:G20" si="0">G5</f>
        <v>2021-12-01 2021-12-08 2021-12-15 2021-12-22</v>
      </c>
    </row>
    <row r="7" ht="22.5" spans="1:7">
      <c r="A7" s="42"/>
      <c r="B7" s="37" t="s">
        <v>292</v>
      </c>
      <c r="C7" s="37" t="s">
        <v>285</v>
      </c>
      <c r="D7" s="34" t="s">
        <v>286</v>
      </c>
      <c r="E7" s="34" t="s">
        <v>287</v>
      </c>
      <c r="F7" s="34" t="s">
        <v>288</v>
      </c>
      <c r="G7" s="39" t="str">
        <f t="shared" si="0"/>
        <v>2021-12-01 2021-12-08 2021-12-15 2021-12-22</v>
      </c>
    </row>
    <row r="8" ht="22.5" spans="1:7">
      <c r="A8" s="36" t="s">
        <v>293</v>
      </c>
      <c r="B8" s="37" t="s">
        <v>284</v>
      </c>
      <c r="C8" s="37" t="s">
        <v>294</v>
      </c>
      <c r="D8" s="34" t="s">
        <v>286</v>
      </c>
      <c r="E8" s="34" t="s">
        <v>287</v>
      </c>
      <c r="F8" s="34" t="s">
        <v>288</v>
      </c>
      <c r="G8" s="39" t="str">
        <f t="shared" si="0"/>
        <v>2021-12-01 2021-12-08 2021-12-15 2021-12-22</v>
      </c>
    </row>
    <row r="9" ht="22.5" spans="1:7">
      <c r="A9" s="41"/>
      <c r="B9" s="37" t="s">
        <v>290</v>
      </c>
      <c r="C9" s="37" t="s">
        <v>294</v>
      </c>
      <c r="D9" s="34" t="s">
        <v>286</v>
      </c>
      <c r="E9" s="34" t="s">
        <v>287</v>
      </c>
      <c r="F9" s="34" t="s">
        <v>288</v>
      </c>
      <c r="G9" s="39" t="str">
        <f t="shared" si="0"/>
        <v>2021-12-01 2021-12-08 2021-12-15 2021-12-22</v>
      </c>
    </row>
    <row r="10" ht="22.5" spans="1:7">
      <c r="A10" s="41"/>
      <c r="B10" s="37" t="s">
        <v>291</v>
      </c>
      <c r="C10" s="37" t="s">
        <v>294</v>
      </c>
      <c r="D10" s="34" t="s">
        <v>286</v>
      </c>
      <c r="E10" s="34" t="s">
        <v>287</v>
      </c>
      <c r="F10" s="34" t="s">
        <v>288</v>
      </c>
      <c r="G10" s="39" t="str">
        <f t="shared" si="0"/>
        <v>2021-12-01 2021-12-08 2021-12-15 2021-12-22</v>
      </c>
    </row>
    <row r="11" ht="22.5" spans="1:7">
      <c r="A11" s="42"/>
      <c r="B11" s="37" t="s">
        <v>292</v>
      </c>
      <c r="C11" s="37" t="s">
        <v>294</v>
      </c>
      <c r="D11" s="34" t="s">
        <v>286</v>
      </c>
      <c r="E11" s="34" t="s">
        <v>287</v>
      </c>
      <c r="F11" s="34" t="s">
        <v>288</v>
      </c>
      <c r="G11" s="39" t="str">
        <f t="shared" si="0"/>
        <v>2021-12-01 2021-12-08 2021-12-15 2021-12-22</v>
      </c>
    </row>
    <row r="12" ht="24" customHeight="1" spans="1:7">
      <c r="A12" s="37" t="s">
        <v>295</v>
      </c>
      <c r="B12" s="37" t="s">
        <v>181</v>
      </c>
      <c r="C12" s="34" t="s">
        <v>296</v>
      </c>
      <c r="D12" s="34" t="s">
        <v>297</v>
      </c>
      <c r="E12" s="34" t="s">
        <v>287</v>
      </c>
      <c r="F12" s="34" t="s">
        <v>298</v>
      </c>
      <c r="G12" s="39" t="str">
        <f t="shared" si="0"/>
        <v>2021-12-01 2021-12-08 2021-12-15 2021-12-22</v>
      </c>
    </row>
    <row r="13" ht="22.5" spans="1:7">
      <c r="A13" s="36" t="s">
        <v>299</v>
      </c>
      <c r="B13" s="37" t="s">
        <v>284</v>
      </c>
      <c r="C13" s="34" t="s">
        <v>300</v>
      </c>
      <c r="D13" s="34" t="s">
        <v>301</v>
      </c>
      <c r="E13" s="34" t="s">
        <v>287</v>
      </c>
      <c r="F13" s="34" t="s">
        <v>288</v>
      </c>
      <c r="G13" s="39" t="str">
        <f t="shared" si="0"/>
        <v>2021-12-01 2021-12-08 2021-12-15 2021-12-22</v>
      </c>
    </row>
    <row r="14" ht="22.5" spans="1:7">
      <c r="A14" s="41"/>
      <c r="B14" s="37" t="s">
        <v>290</v>
      </c>
      <c r="C14" s="34" t="s">
        <v>300</v>
      </c>
      <c r="D14" s="34" t="s">
        <v>301</v>
      </c>
      <c r="E14" s="34" t="s">
        <v>287</v>
      </c>
      <c r="F14" s="34" t="s">
        <v>288</v>
      </c>
      <c r="G14" s="39" t="str">
        <f t="shared" si="0"/>
        <v>2021-12-01 2021-12-08 2021-12-15 2021-12-22</v>
      </c>
    </row>
    <row r="15" ht="22.5" spans="1:7">
      <c r="A15" s="41"/>
      <c r="B15" s="37" t="s">
        <v>291</v>
      </c>
      <c r="C15" s="34" t="s">
        <v>300</v>
      </c>
      <c r="D15" s="34" t="s">
        <v>301</v>
      </c>
      <c r="E15" s="34" t="s">
        <v>287</v>
      </c>
      <c r="F15" s="34" t="s">
        <v>288</v>
      </c>
      <c r="G15" s="39" t="str">
        <f t="shared" si="0"/>
        <v>2021-12-01 2021-12-08 2021-12-15 2021-12-22</v>
      </c>
    </row>
    <row r="16" ht="22.5" spans="1:7">
      <c r="A16" s="42"/>
      <c r="B16" s="37" t="s">
        <v>292</v>
      </c>
      <c r="C16" s="34" t="s">
        <v>300</v>
      </c>
      <c r="D16" s="34" t="s">
        <v>301</v>
      </c>
      <c r="E16" s="34" t="s">
        <v>287</v>
      </c>
      <c r="F16" s="34" t="s">
        <v>288</v>
      </c>
      <c r="G16" s="39" t="str">
        <f t="shared" si="0"/>
        <v>2021-12-01 2021-12-08 2021-12-15 2021-12-22</v>
      </c>
    </row>
    <row r="17" ht="22.5" spans="1:7">
      <c r="A17" s="34" t="s">
        <v>302</v>
      </c>
      <c r="B17" s="37" t="s">
        <v>284</v>
      </c>
      <c r="C17" s="34" t="s">
        <v>303</v>
      </c>
      <c r="D17" s="34" t="s">
        <v>301</v>
      </c>
      <c r="E17" s="34" t="s">
        <v>287</v>
      </c>
      <c r="F17" s="34" t="s">
        <v>288</v>
      </c>
      <c r="G17" s="39" t="str">
        <f t="shared" si="0"/>
        <v>2021-12-01 2021-12-08 2021-12-15 2021-12-22</v>
      </c>
    </row>
    <row r="18" ht="22.5" spans="1:7">
      <c r="A18" s="34"/>
      <c r="B18" s="37" t="s">
        <v>290</v>
      </c>
      <c r="C18" s="37" t="s">
        <v>294</v>
      </c>
      <c r="D18" s="34" t="s">
        <v>301</v>
      </c>
      <c r="E18" s="34" t="s">
        <v>287</v>
      </c>
      <c r="F18" s="34" t="s">
        <v>288</v>
      </c>
      <c r="G18" s="39" t="str">
        <f t="shared" si="0"/>
        <v>2021-12-01 2021-12-08 2021-12-15 2021-12-22</v>
      </c>
    </row>
    <row r="19" ht="22.5" spans="1:7">
      <c r="A19" s="34"/>
      <c r="B19" s="37" t="s">
        <v>291</v>
      </c>
      <c r="C19" s="34" t="s">
        <v>303</v>
      </c>
      <c r="D19" s="34" t="s">
        <v>301</v>
      </c>
      <c r="E19" s="34" t="s">
        <v>287</v>
      </c>
      <c r="F19" s="34" t="s">
        <v>288</v>
      </c>
      <c r="G19" s="39" t="str">
        <f t="shared" si="0"/>
        <v>2021-12-01 2021-12-08 2021-12-15 2021-12-22</v>
      </c>
    </row>
    <row r="20" ht="22.5" spans="1:7">
      <c r="A20" s="34"/>
      <c r="B20" s="37" t="s">
        <v>292</v>
      </c>
      <c r="C20" s="37" t="s">
        <v>294</v>
      </c>
      <c r="D20" s="34" t="s">
        <v>301</v>
      </c>
      <c r="E20" s="34" t="s">
        <v>287</v>
      </c>
      <c r="F20" s="34" t="s">
        <v>288</v>
      </c>
      <c r="G20" s="39" t="str">
        <f t="shared" si="0"/>
        <v>2021-12-01 2021-12-08 2021-12-15 2021-12-22</v>
      </c>
    </row>
    <row r="21" ht="20.25" customHeight="1" spans="1:7">
      <c r="A21" s="43" t="s">
        <v>72</v>
      </c>
      <c r="B21" s="43"/>
      <c r="C21" s="43"/>
      <c r="D21" s="43" t="s">
        <v>73</v>
      </c>
      <c r="E21" s="43"/>
      <c r="F21" s="43" t="s">
        <v>304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77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44531</v>
      </c>
      <c r="E26" s="50"/>
      <c r="F26" s="31"/>
    </row>
    <row r="27" ht="18.75" customHeight="1" spans="1:7">
      <c r="A27" s="34" t="s">
        <v>278</v>
      </c>
      <c r="B27" s="34" t="s">
        <v>167</v>
      </c>
      <c r="C27" s="34" t="s">
        <v>279</v>
      </c>
      <c r="D27" s="34" t="s">
        <v>280</v>
      </c>
      <c r="E27" s="34" t="s">
        <v>281</v>
      </c>
      <c r="F27" s="34" t="s">
        <v>282</v>
      </c>
      <c r="G27" s="34" t="s">
        <v>132</v>
      </c>
    </row>
    <row r="28" ht="19.5" customHeight="1" spans="1:7">
      <c r="A28" s="34" t="s">
        <v>305</v>
      </c>
      <c r="B28" s="51" t="s">
        <v>284</v>
      </c>
      <c r="C28" s="51" t="s">
        <v>294</v>
      </c>
      <c r="D28" s="34" t="s">
        <v>286</v>
      </c>
      <c r="E28" s="37" t="s">
        <v>287</v>
      </c>
      <c r="F28" s="34" t="s">
        <v>298</v>
      </c>
      <c r="G28" s="52">
        <v>44546</v>
      </c>
    </row>
    <row r="29" ht="19.5" customHeight="1" spans="1:7">
      <c r="A29" s="34"/>
      <c r="B29" s="51" t="s">
        <v>292</v>
      </c>
      <c r="C29" s="51" t="s">
        <v>294</v>
      </c>
      <c r="D29" s="34" t="s">
        <v>286</v>
      </c>
      <c r="E29" s="37" t="s">
        <v>287</v>
      </c>
      <c r="F29" s="34" t="s">
        <v>298</v>
      </c>
      <c r="G29" s="52">
        <f>G28</f>
        <v>44546</v>
      </c>
    </row>
    <row r="30" ht="19.5" customHeight="1" spans="1:7">
      <c r="A30" s="34" t="s">
        <v>306</v>
      </c>
      <c r="B30" s="51" t="s">
        <v>284</v>
      </c>
      <c r="C30" s="37" t="s">
        <v>296</v>
      </c>
      <c r="D30" s="34" t="s">
        <v>301</v>
      </c>
      <c r="E30" s="37" t="s">
        <v>287</v>
      </c>
      <c r="F30" s="34" t="s">
        <v>298</v>
      </c>
      <c r="G30" s="52">
        <f>G29</f>
        <v>44546</v>
      </c>
    </row>
    <row r="31" ht="19.5" customHeight="1" spans="1:7">
      <c r="A31" s="34"/>
      <c r="B31" s="51" t="s">
        <v>292</v>
      </c>
      <c r="C31" s="37" t="s">
        <v>296</v>
      </c>
      <c r="D31" s="34" t="s">
        <v>301</v>
      </c>
      <c r="E31" s="37" t="s">
        <v>287</v>
      </c>
      <c r="F31" s="34" t="s">
        <v>298</v>
      </c>
      <c r="G31" s="52">
        <f>G30</f>
        <v>44546</v>
      </c>
    </row>
    <row r="32" ht="20.25" customHeight="1" spans="1:7">
      <c r="A32" s="43" t="s">
        <v>72</v>
      </c>
      <c r="B32" s="43"/>
      <c r="C32" s="43"/>
      <c r="D32" s="43" t="s">
        <v>73</v>
      </c>
      <c r="E32" s="43"/>
      <c r="F32" s="43" t="str">
        <f>F21</f>
        <v>制表日期：2022/1/4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B1" workbookViewId="0">
      <selection activeCell="H18" sqref="H18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307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308</v>
      </c>
      <c r="B3" s="5"/>
      <c r="C3" s="5"/>
      <c r="D3" s="5"/>
      <c r="E3" s="5" t="s">
        <v>309</v>
      </c>
      <c r="F3" s="5"/>
      <c r="G3" s="5"/>
      <c r="H3" s="5"/>
      <c r="I3" s="3"/>
    </row>
    <row r="4" customHeight="1" spans="1:9">
      <c r="A4" s="5" t="s">
        <v>310</v>
      </c>
      <c r="B4" s="5"/>
      <c r="C4" s="5"/>
      <c r="D4" s="5"/>
      <c r="E4" s="5" t="s">
        <v>311</v>
      </c>
      <c r="F4" s="5"/>
      <c r="G4" s="5" t="s">
        <v>312</v>
      </c>
      <c r="H4" s="5"/>
      <c r="I4" s="25"/>
    </row>
    <row r="5" customHeight="1" spans="1:8">
      <c r="A5" s="5" t="s">
        <v>313</v>
      </c>
      <c r="B5" s="5" t="s">
        <v>314</v>
      </c>
      <c r="C5" s="5" t="s">
        <v>315</v>
      </c>
      <c r="D5" s="5" t="s">
        <v>316</v>
      </c>
      <c r="E5" s="5" t="s">
        <v>313</v>
      </c>
      <c r="F5" s="5" t="s">
        <v>314</v>
      </c>
      <c r="G5" s="5" t="s">
        <v>313</v>
      </c>
      <c r="H5" s="5" t="s">
        <v>316</v>
      </c>
    </row>
    <row r="6" customHeight="1" spans="1:15">
      <c r="A6" s="6" t="s">
        <v>317</v>
      </c>
      <c r="B6" s="7">
        <v>4.18</v>
      </c>
      <c r="C6" s="7">
        <v>10.3</v>
      </c>
      <c r="D6" s="7">
        <v>3.79</v>
      </c>
      <c r="E6" s="6" t="s">
        <v>317</v>
      </c>
      <c r="F6" s="7">
        <v>7.61</v>
      </c>
      <c r="G6" s="6" t="s">
        <v>317</v>
      </c>
      <c r="H6" s="7">
        <v>1.25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318</v>
      </c>
      <c r="B7" s="7">
        <v>5.68</v>
      </c>
      <c r="C7" s="7">
        <v>9.8</v>
      </c>
      <c r="D7" s="7">
        <v>2.32</v>
      </c>
      <c r="E7" s="6" t="s">
        <v>318</v>
      </c>
      <c r="F7" s="7">
        <v>6.58</v>
      </c>
      <c r="G7" s="6" t="s">
        <v>319</v>
      </c>
      <c r="H7" s="7">
        <v>1.65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319</v>
      </c>
      <c r="B8" s="7">
        <v>8.88</v>
      </c>
      <c r="C8" s="7">
        <v>7.68</v>
      </c>
      <c r="D8" s="7">
        <v>2.15</v>
      </c>
      <c r="E8" s="6" t="s">
        <v>319</v>
      </c>
      <c r="F8" s="7">
        <v>4.71</v>
      </c>
      <c r="G8" s="6" t="s">
        <v>320</v>
      </c>
      <c r="H8" s="7">
        <v>1.98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320</v>
      </c>
      <c r="B9" s="7">
        <v>9.96</v>
      </c>
      <c r="C9" s="7">
        <v>4.68</v>
      </c>
      <c r="D9" s="7">
        <v>1.29</v>
      </c>
      <c r="E9" s="6" t="s">
        <v>321</v>
      </c>
      <c r="F9" s="7">
        <v>3.88</v>
      </c>
      <c r="G9" s="6" t="s">
        <v>322</v>
      </c>
      <c r="H9" s="7">
        <v>3.68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323</v>
      </c>
      <c r="B10" s="9">
        <v>5652</v>
      </c>
      <c r="C10" s="10"/>
      <c r="D10" s="11"/>
      <c r="E10" s="6" t="s">
        <v>320</v>
      </c>
      <c r="F10" s="7">
        <v>2.88</v>
      </c>
      <c r="G10" s="5" t="s">
        <v>323</v>
      </c>
      <c r="H10" s="12">
        <v>5216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322</v>
      </c>
      <c r="F11" s="7">
        <v>1.68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323</v>
      </c>
      <c r="F12" s="5">
        <v>6578</v>
      </c>
      <c r="G12" s="5"/>
      <c r="H12" s="22"/>
      <c r="M12" s="26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304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2022-02-08T02:06:35Z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AC0587F76FD54565A1D1EFF08F6CA2B5</vt:lpwstr>
  </property>
</Properties>
</file>