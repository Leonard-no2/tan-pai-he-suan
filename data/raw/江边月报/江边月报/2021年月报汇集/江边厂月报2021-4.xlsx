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40" windowHeight="12060" activeTab="1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3">设备!#REF!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<sst xmlns="http://schemas.openxmlformats.org/spreadsheetml/2006/main" count="311">
  <si>
    <t>常州市深水江边污水处理有限公司污水处理运行月报表</t>
  </si>
  <si>
    <t>2021年 4月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</si>
  <si>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</si>
  <si>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</si>
  <si>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</si>
  <si>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</si>
  <si>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</si>
  <si>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</si>
  <si>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</si>
  <si>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</si>
  <si>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</si>
  <si>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</si>
  <si>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</si>
  <si>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</si>
  <si>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</si>
  <si>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</si>
  <si>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</si>
  <si>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</si>
  <si>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</si>
  <si>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</si>
  <si>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</si>
  <si>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</si>
  <si>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</si>
  <si>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</si>
  <si>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</si>
  <si>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</si>
  <si>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</si>
  <si>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</si>
  <si>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</si>
  <si>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</si>
  <si>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</si>
  <si>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</si>
  <si>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</si>
  <si>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</si>
  <si>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</si>
  <si>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雨</t>
  </si>
  <si>
    <t>聚丙烯酰阳离子</t>
  </si>
  <si>
    <t>阴</t>
  </si>
  <si>
    <t>聚丙烯酰阴离子</t>
  </si>
  <si>
    <t>工业盐酸</t>
  </si>
  <si>
    <t>晴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</si>
  <si>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</si>
  <si>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</si>
  <si>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</si>
  <si>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</si>
  <si>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</si>
  <si>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</si>
  <si>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</si>
  <si>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</si>
  <si>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</si>
  <si>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</si>
  <si>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</si>
  <si>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</si>
  <si>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</si>
  <si>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</si>
  <si>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</si>
  <si>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</si>
  <si>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</si>
  <si>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</si>
  <si>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</si>
  <si>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</si>
  <si>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</si>
  <si>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</si>
  <si>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</si>
  <si>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</si>
  <si>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合计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</si>
  <si>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</si>
  <si>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</si>
  <si>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</si>
  <si>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</si>
  <si>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</si>
  <si>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</si>
  <si>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</si>
  <si>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</si>
  <si>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</si>
  <si>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</si>
  <si>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</si>
  <si>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</si>
  <si>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</si>
  <si>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</si>
  <si>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</si>
  <si>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</si>
  <si>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</si>
  <si>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</si>
  <si>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</si>
  <si>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</si>
  <si>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</si>
  <si>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</si>
  <si>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</si>
  <si>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</si>
  <si>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</si>
  <si>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</si>
  <si>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</si>
  <si>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</si>
  <si>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</si>
  <si>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</si>
  <si>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</si>
  <si>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</si>
  <si>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</si>
  <si>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</si>
  <si>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</si>
  <si>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</si>
  <si>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</si>
  <si>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</si>
  <si>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</si>
  <si>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</si>
  <si>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</si>
  <si>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</si>
  <si>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</si>
  <si>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</si>
  <si>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</si>
  <si>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</si>
  <si>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</si>
  <si>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</si>
  <si>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</si>
  <si>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</si>
  <si>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</si>
  <si>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</si>
  <si>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</si>
  <si>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</si>
  <si>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</si>
  <si>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</si>
  <si>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</si>
  <si>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</si>
  <si>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</si>
  <si>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</si>
  <si>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</si>
  <si>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4662.46吨，其中运往常州市英科环境科技有限公司1242.10吨，国电常州发电有限公司2390.36吨，外运接种1030.00吨：常州龙宇颜料化学有限公司840吨，新阳科技集团有限公司36吨，天合光能股份有限公司45吨，常州海克莱化学有限公司4吨，常州瑞明药业有限公司15吨，江苏盈天化学有限公司90吨。
</t>
  </si>
  <si>
    <t>审核：                                               制表：                               制表日期：2021/5/11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</si>
  <si>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</si>
  <si>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</si>
  <si>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</si>
  <si>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</si>
  <si>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</si>
  <si>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</si>
  <si>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</si>
  <si>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</si>
  <si>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</si>
  <si>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</si>
  <si>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</si>
  <si>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</si>
  <si>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</si>
  <si>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</si>
  <si>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</si>
  <si>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制表时间：2021/5/6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</si>
  <si>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</si>
  <si>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</si>
  <si>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</si>
  <si>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</si>
  <si>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</si>
  <si>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</si>
  <si>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</si>
  <si>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</si>
  <si>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</si>
  <si>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</si>
  <si>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</si>
  <si>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</si>
  <si>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</si>
  <si>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</si>
  <si>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</si>
  <si>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</si>
  <si>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</si>
  <si>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</si>
  <si>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</si>
  <si>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</si>
  <si>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</si>
  <si>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</si>
  <si>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</si>
  <si>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</si>
  <si>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</si>
  <si>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</si>
  <si>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</si>
  <si>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</si>
  <si>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</si>
  <si>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</si>
  <si>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</si>
  <si>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21日保养</t>
  </si>
  <si>
    <t>2#</t>
  </si>
  <si>
    <t>螺旋输送机</t>
  </si>
  <si>
    <t>螺旋压榨机</t>
  </si>
  <si>
    <t>进水泵</t>
  </si>
  <si>
    <t>30日保养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</si>
  <si>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</si>
  <si>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</si>
  <si>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</si>
  <si>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</si>
  <si>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</si>
  <si>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</si>
  <si>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</si>
  <si>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</si>
  <si>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</si>
  <si>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</si>
  <si>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</si>
  <si>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</si>
  <si>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</si>
  <si>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</si>
  <si>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</si>
  <si>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</si>
  <si>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</si>
  <si>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</si>
  <si>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</si>
  <si>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</si>
  <si>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</si>
  <si>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</si>
  <si>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</si>
  <si>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</si>
  <si>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</si>
  <si>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</si>
  <si>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</si>
  <si>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</si>
  <si>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</si>
  <si>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</si>
  <si>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</si>
  <si>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</si>
  <si>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</si>
  <si>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</si>
  <si>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</si>
  <si>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</si>
  <si>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</si>
  <si>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</si>
  <si>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</si>
  <si>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</si>
  <si>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</si>
  <si>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</si>
  <si>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</si>
  <si>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</si>
  <si>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</si>
  <si>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</si>
  <si>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</si>
  <si>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</si>
  <si>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</si>
  <si>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</si>
  <si>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29日保养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</si>
  <si>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</si>
  <si>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</si>
  <si>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</si>
  <si>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</si>
  <si>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</si>
  <si>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</si>
  <si>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</si>
  <si>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</si>
  <si>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</si>
  <si>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</si>
  <si>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</si>
  <si>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19日单向阀清洗</t>
  </si>
  <si>
    <t>PAM
投加泵</t>
  </si>
  <si>
    <t>提标
空压机</t>
  </si>
  <si>
    <t>V型滤池
（南）</t>
  </si>
  <si>
    <t>V型滤池
（北）</t>
  </si>
  <si>
    <t>2日清水阀气压调节阀调整</t>
  </si>
  <si>
    <t>反冲洗泵</t>
  </si>
  <si>
    <t>25日保养</t>
  </si>
  <si>
    <t>反冲洗风机</t>
  </si>
  <si>
    <t>二
氧
化
氯
发
生
器
房</t>
  </si>
  <si>
    <t>欧泰华
二氧化氯
发生器</t>
  </si>
  <si>
    <t>15日更换加热管</t>
  </si>
  <si>
    <t>25日更换加热管</t>
  </si>
  <si>
    <t>山大华特
二氧化氯
发生器</t>
  </si>
  <si>
    <t>增压水泵</t>
  </si>
  <si>
    <t>脱
水
机
房</t>
  </si>
  <si>
    <t>浓缩池刮泥机</t>
  </si>
  <si>
    <t>进泥泵</t>
  </si>
  <si>
    <t>脱水离心机</t>
  </si>
  <si>
    <t>9-13日干泥泵减速机修理、29日保养</t>
  </si>
  <si>
    <t>20-23日干泥泵减速机修理、21日保养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</si>
  <si>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</si>
  <si>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</si>
  <si>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</si>
  <si>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</si>
  <si>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</si>
  <si>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</si>
  <si>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</si>
  <si>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</si>
  <si>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</si>
  <si>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</si>
  <si>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</si>
  <si>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2021-04-07 2021-04-14 2021-04-21 2021-04-28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</si>
  <si>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</si>
  <si>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</si>
  <si>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</si>
  <si>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</si>
  <si>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</si>
  <si>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</si>
  <si>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</si>
  <si>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</si>
  <si>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</si>
  <si>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</si>
  <si>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</si>
  <si>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</si>
  <si>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</si>
  <si>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</si>
  <si>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制表日期：2021/5/6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</si>
  <si>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</si>
  <si>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</si>
  <si>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</si>
  <si>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</si>
  <si>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采样时间：2021-4-20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</si>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</sst>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44" formatCode="_ &quot;￥&quot;* #,##0.00_ ;_ &quot;￥&quot;* \-#,##0.00_ ;_ &quot;￥&quot;* &quot;-&quot;??_ ;_ @_ "/>
    <numFmt numFmtId="176" formatCode="yyyy/m/d;@"/>
    <numFmt numFmtId="42" formatCode="_ &quot;￥&quot;* #,##0_ ;_ &quot;￥&quot;* \-#,##0_ ;_ &quot;￥&quot;* &quot;-&quot;_ ;_ @_ "/>
    <numFmt numFmtId="41" formatCode="_ * #,##0_ ;_ * \-#,##0_ ;_ * &quot;-&quot;_ ;_ @_ "/>
    <numFmt numFmtId="177" formatCode="0.000;_鰀"/>
    <numFmt numFmtId="43" formatCode="_ * #,##0.00_ ;_ * \-#,##0.00_ ;_ * &quot;-&quot;??_ ;_ @_ "/>
    <numFmt numFmtId="178" formatCode="0.00_ "/>
    <numFmt numFmtId="179" formatCode="0_ "/>
    <numFmt numFmtId="180" formatCode="0.00;_鰀"/>
    <numFmt numFmtId="181" formatCode="0.0_);\(0.0\)"/>
    <numFmt numFmtId="182" formatCode="0.0_ "/>
    <numFmt numFmtId="183" formatCode="0_);[Red]\(0\)"/>
    <numFmt numFmtId="184" formatCode="0;_鰀"/>
    <numFmt numFmtId="185" formatCode="0.00_);[Red]\(0.00\)"/>
    <numFmt numFmtId="186" formatCode="yyyy&quot;年&quot;m&quot;月&quot;;@"/>
    <numFmt numFmtId="187" formatCode="0;_䠀"/>
    <numFmt numFmtId="188" formatCode="0.0;[Red]0.0"/>
    <numFmt numFmtId="189" formatCode="0;[Red]0"/>
    <numFmt numFmtId="190" formatCode="0.0000_);[Red]\(0.0000\)"/>
    <numFmt numFmtId="191" formatCode="0;_ﰀ"/>
    <numFmt numFmtId="192" formatCode="0.00;[Red]0.00"/>
    <numFmt numFmtId="193" formatCode="0.0_);[Red]\(0.0\)"/>
    <numFmt numFmtId="194" formatCode="0.0%"/>
    <numFmt numFmtId="195" formatCode="0.000_ "/>
    <numFmt numFmtId="196" formatCode="#,##0.00_ "/>
    <numFmt numFmtId="197" formatCode="0.000_);[Red]\(0.000\)"/>
  </numFmts>
  <fonts count="59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vertAlign val="superscript"/>
      <sz val="10"/>
      <color theme="1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u/>
      <sz val="12"/>
      <color indexed="12"/>
      <name val="宋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u/>
      <sz val="12"/>
      <color indexed="36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15">
    <xf numFmtId="0" fontId="0" fillId="0" borderId="0"/>
    <xf numFmtId="42" fontId="0" fillId="0" borderId="0" applyFont="0" applyFill="0" applyBorder="0" applyAlignment="0" applyProtection="0"/>
    <xf numFmtId="0" fontId="37" fillId="16" borderId="0" applyNumberFormat="0" applyBorder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51" fillId="20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37" fillId="11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7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45" fillId="22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45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5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45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0" fillId="0" borderId="0"/>
    <xf numFmtId="0" fontId="45" fillId="2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>
      <alignment vertical="top"/>
      <protection locked="0"/>
    </xf>
    <xf numFmtId="0" fontId="45" fillId="2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36" fillId="5" borderId="19" applyNumberFormat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0" fillId="0" borderId="0"/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>
      <alignment vertical="top"/>
      <protection locked="0"/>
    </xf>
    <xf numFmtId="0" fontId="49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5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5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5" fillId="0" borderId="0">
      <alignment vertical="center"/>
    </xf>
    <xf numFmtId="0" fontId="42" fillId="0" borderId="23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5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51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45" fillId="0" borderId="0">
      <alignment vertical="center"/>
    </xf>
    <xf numFmtId="0" fontId="48" fillId="15" borderId="24" applyNumberFormat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45" fillId="0" borderId="0">
      <alignment vertical="center"/>
    </xf>
    <xf numFmtId="0" fontId="0" fillId="0" borderId="0">
      <alignment vertical="center"/>
    </xf>
    <xf numFmtId="0" fontId="45" fillId="0" borderId="0">
      <alignment vertical="center"/>
    </xf>
    <xf numFmtId="0" fontId="0" fillId="24" borderId="26" applyNumberFormat="0" applyFont="0" applyAlignment="0" applyProtection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0" fillId="0" borderId="0"/>
    <xf numFmtId="0" fontId="3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0" borderId="21" applyNumberFormat="0" applyFill="0" applyAlignment="0" applyProtection="0">
      <alignment vertical="center"/>
    </xf>
    <xf numFmtId="0" fontId="0" fillId="0" borderId="0"/>
    <xf numFmtId="0" fontId="45" fillId="0" borderId="0">
      <alignment vertical="center"/>
    </xf>
    <xf numFmtId="0" fontId="45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14" borderId="2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6" fillId="14" borderId="24" applyNumberFormat="0" applyAlignment="0" applyProtection="0">
      <alignment vertical="center"/>
    </xf>
    <xf numFmtId="0" fontId="0" fillId="0" borderId="0"/>
    <xf numFmtId="0" fontId="46" fillId="14" borderId="24" applyNumberFormat="0" applyAlignment="0" applyProtection="0">
      <alignment vertical="center"/>
    </xf>
    <xf numFmtId="0" fontId="0" fillId="0" borderId="0"/>
    <xf numFmtId="0" fontId="0" fillId="0" borderId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48" fillId="15" borderId="24" applyNumberFormat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54" fillId="15" borderId="27" applyNumberFormat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46" fillId="14" borderId="24" applyNumberFormat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0" fillId="24" borderId="26" applyNumberFormat="0" applyFont="0" applyAlignment="0" applyProtection="0">
      <alignment vertical="center"/>
    </xf>
    <xf numFmtId="0" fontId="0" fillId="24" borderId="26" applyNumberFormat="0" applyFont="0" applyAlignment="0" applyProtection="0">
      <alignment vertical="center"/>
    </xf>
  </cellStyleXfs>
  <cellXfs count="32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3" fontId="1" fillId="0" borderId="2" xfId="0" applyNumberFormat="1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83" fontId="1" fillId="0" borderId="6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83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9" fontId="5" fillId="0" borderId="0" xfId="0" applyNumberFormat="1" applyFont="1"/>
    <xf numFmtId="0" fontId="0" fillId="0" borderId="0" xfId="0" applyFont="1"/>
    <xf numFmtId="0" fontId="6" fillId="0" borderId="0" xfId="490" applyFont="1" applyAlignment="1">
      <alignment horizontal="center" vertical="center"/>
    </xf>
    <xf numFmtId="0" fontId="7" fillId="0" borderId="0" xfId="490" applyFont="1" applyAlignment="1">
      <alignment horizontal="center" vertical="center"/>
    </xf>
    <xf numFmtId="0" fontId="8" fillId="0" borderId="0" xfId="490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3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83" fontId="1" fillId="0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186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3" fontId="1" fillId="0" borderId="2" xfId="0" applyNumberFormat="1" applyFont="1" applyFill="1" applyBorder="1" applyAlignment="1">
      <alignment horizontal="center" vertic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3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92" fontId="1" fillId="0" borderId="1" xfId="0" applyNumberFormat="1" applyFont="1" applyBorder="1" applyAlignment="1">
      <alignment horizontal="center" vertical="center" wrapText="1"/>
    </xf>
    <xf numFmtId="193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3" fontId="1" fillId="0" borderId="1" xfId="10" applyNumberFormat="1" applyFont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193" fontId="1" fillId="0" borderId="1" xfId="10" applyNumberFormat="1" applyFont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9" fontId="18" fillId="0" borderId="4" xfId="0" applyNumberFormat="1" applyFont="1" applyBorder="1" applyAlignment="1">
      <alignment vertical="center"/>
    </xf>
    <xf numFmtId="183" fontId="18" fillId="0" borderId="4" xfId="0" applyNumberFormat="1" applyFont="1" applyBorder="1" applyAlignment="1">
      <alignment vertical="center"/>
    </xf>
    <xf numFmtId="178" fontId="18" fillId="0" borderId="4" xfId="0" applyNumberFormat="1" applyFont="1" applyBorder="1" applyAlignment="1">
      <alignment vertical="center"/>
    </xf>
    <xf numFmtId="188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89" fontId="18" fillId="0" borderId="0" xfId="0" applyNumberFormat="1" applyFont="1" applyBorder="1" applyAlignment="1">
      <alignment vertical="center"/>
    </xf>
    <xf numFmtId="189" fontId="18" fillId="0" borderId="0" xfId="0" applyNumberFormat="1" applyFont="1" applyAlignment="1">
      <alignment vertical="center"/>
    </xf>
    <xf numFmtId="183" fontId="18" fillId="0" borderId="0" xfId="0" applyNumberFormat="1" applyFont="1" applyAlignment="1">
      <alignment vertical="center"/>
    </xf>
    <xf numFmtId="178" fontId="18" fillId="0" borderId="0" xfId="0" applyNumberFormat="1" applyFont="1" applyAlignment="1">
      <alignment vertical="center"/>
    </xf>
    <xf numFmtId="188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2" fontId="20" fillId="0" borderId="4" xfId="0" applyNumberFormat="1" applyFont="1" applyFill="1" applyBorder="1" applyAlignment="1">
      <alignment horizontal="center" vertical="center"/>
    </xf>
    <xf numFmtId="182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2" fontId="20" fillId="0" borderId="0" xfId="0" applyNumberFormat="1" applyFont="1" applyFill="1" applyAlignment="1">
      <alignment horizontal="center" vertical="center"/>
    </xf>
    <xf numFmtId="179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182" fontId="21" fillId="0" borderId="0" xfId="0" applyNumberFormat="1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178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2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78" fontId="20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85" fontId="1" fillId="0" borderId="1" xfId="0" applyNumberFormat="1" applyFont="1" applyBorder="1" applyAlignment="1">
      <alignment horizontal="center" vertical="center" wrapText="1"/>
    </xf>
    <xf numFmtId="192" fontId="26" fillId="3" borderId="1" xfId="0" applyNumberFormat="1" applyFont="1" applyFill="1" applyBorder="1" applyAlignment="1">
      <alignment horizontal="center" vertical="center"/>
    </xf>
    <xf numFmtId="192" fontId="1" fillId="0" borderId="1" xfId="10" applyNumberFormat="1" applyFont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92" fontId="1" fillId="2" borderId="1" xfId="0" applyNumberFormat="1" applyFont="1" applyFill="1" applyBorder="1" applyAlignment="1">
      <alignment horizontal="center" vertical="center" wrapText="1"/>
    </xf>
    <xf numFmtId="189" fontId="1" fillId="2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92" fontId="1" fillId="0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4" fontId="21" fillId="0" borderId="5" xfId="20" applyNumberFormat="1" applyFont="1" applyFill="1" applyBorder="1" applyAlignment="1">
      <alignment horizontal="center" vertical="center"/>
    </xf>
    <xf numFmtId="195" fontId="21" fillId="0" borderId="5" xfId="0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wrapText="1"/>
    </xf>
    <xf numFmtId="0" fontId="27" fillId="0" borderId="0" xfId="0" applyFont="1" applyBorder="1" applyAlignment="1">
      <alignment horizontal="center" vertical="top" wrapText="1"/>
    </xf>
    <xf numFmtId="194" fontId="21" fillId="0" borderId="8" xfId="20" applyNumberFormat="1" applyFont="1" applyFill="1" applyBorder="1" applyAlignment="1">
      <alignment horizontal="center" vertical="center"/>
    </xf>
    <xf numFmtId="178" fontId="21" fillId="0" borderId="8" xfId="0" applyNumberFormat="1" applyFont="1" applyFill="1" applyBorder="1" applyAlignment="1">
      <alignment horizontal="center" vertical="center"/>
    </xf>
    <xf numFmtId="182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94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9" fontId="0" fillId="0" borderId="0" xfId="0" applyNumberFormat="1"/>
    <xf numFmtId="194" fontId="0" fillId="0" borderId="0" xfId="0" applyNumberFormat="1"/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8" fillId="0" borderId="0" xfId="490" applyFont="1" applyAlignment="1">
      <alignment horizontal="center" vertical="center"/>
    </xf>
    <xf numFmtId="57" fontId="9" fillId="0" borderId="11" xfId="490" applyNumberFormat="1" applyFont="1" applyBorder="1" applyAlignment="1">
      <alignment horizontal="center" vertical="center"/>
    </xf>
    <xf numFmtId="0" fontId="9" fillId="0" borderId="1" xfId="490" applyFont="1" applyBorder="1" applyAlignment="1">
      <alignment horizontal="center" vertical="center" wrapText="1"/>
    </xf>
    <xf numFmtId="0" fontId="9" fillId="0" borderId="1" xfId="490" applyFont="1" applyBorder="1" applyAlignment="1">
      <alignment horizontal="center" vertical="center"/>
    </xf>
    <xf numFmtId="187" fontId="9" fillId="0" borderId="1" xfId="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9" fillId="0" borderId="6" xfId="490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82" fontId="9" fillId="0" borderId="9" xfId="0" applyNumberFormat="1" applyFont="1" applyBorder="1" applyAlignment="1">
      <alignment horizontal="center" vertical="center" wrapText="1"/>
    </xf>
    <xf numFmtId="184" fontId="9" fillId="0" borderId="1" xfId="506" applyNumberFormat="1" applyFont="1" applyBorder="1" applyAlignment="1">
      <alignment horizontal="center" vertical="center" wrapText="1"/>
    </xf>
    <xf numFmtId="0" fontId="9" fillId="0" borderId="9" xfId="490" applyFont="1" applyBorder="1" applyAlignment="1">
      <alignment horizontal="center" vertical="center" wrapText="1"/>
    </xf>
    <xf numFmtId="179" fontId="9" fillId="0" borderId="1" xfId="490" applyNumberFormat="1" applyFont="1" applyBorder="1" applyAlignment="1">
      <alignment horizontal="center" vertical="center" wrapText="1"/>
    </xf>
    <xf numFmtId="178" fontId="9" fillId="0" borderId="1" xfId="490" applyNumberFormat="1" applyFont="1" applyBorder="1" applyAlignment="1">
      <alignment horizontal="center" vertical="center" wrapText="1"/>
    </xf>
    <xf numFmtId="0" fontId="9" fillId="0" borderId="1" xfId="490" applyFont="1" applyFill="1" applyBorder="1" applyAlignment="1">
      <alignment horizontal="center" vertical="center" wrapText="1"/>
    </xf>
    <xf numFmtId="182" fontId="9" fillId="0" borderId="1" xfId="490" applyNumberFormat="1" applyFont="1" applyBorder="1" applyAlignment="1">
      <alignment horizontal="center" vertical="center" wrapText="1"/>
    </xf>
    <xf numFmtId="0" fontId="9" fillId="0" borderId="2" xfId="49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0" applyFont="1" applyFill="1" applyBorder="1" applyAlignment="1">
      <alignment horizontal="center" vertical="center"/>
    </xf>
    <xf numFmtId="182" fontId="9" fillId="0" borderId="13" xfId="0" applyNumberFormat="1" applyFont="1" applyBorder="1" applyAlignment="1">
      <alignment horizontal="center" vertical="center" wrapText="1"/>
    </xf>
    <xf numFmtId="182" fontId="9" fillId="0" borderId="14" xfId="0" applyNumberFormat="1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9" fontId="0" fillId="0" borderId="0" xfId="0" applyNumberFormat="1" applyFont="1"/>
    <xf numFmtId="195" fontId="9" fillId="0" borderId="1" xfId="490" applyNumberFormat="1" applyFont="1" applyBorder="1" applyAlignment="1">
      <alignment horizontal="center" vertical="center" wrapText="1"/>
    </xf>
    <xf numFmtId="178" fontId="9" fillId="0" borderId="2" xfId="49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8" fontId="9" fillId="0" borderId="9" xfId="49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/>
    </xf>
    <xf numFmtId="0" fontId="9" fillId="0" borderId="2" xfId="490" applyFont="1" applyFill="1" applyBorder="1" applyAlignment="1">
      <alignment horizontal="center" vertical="center" wrapText="1"/>
    </xf>
    <xf numFmtId="185" fontId="9" fillId="0" borderId="1" xfId="490" applyNumberFormat="1" applyFont="1" applyFill="1" applyBorder="1" applyAlignment="1">
      <alignment horizontal="center" vertical="center" wrapText="1"/>
    </xf>
    <xf numFmtId="196" fontId="9" fillId="0" borderId="0" xfId="0" applyNumberFormat="1" applyFont="1"/>
    <xf numFmtId="178" fontId="9" fillId="0" borderId="1" xfId="0" applyNumberFormat="1" applyFont="1" applyBorder="1" applyAlignment="1">
      <alignment horizontal="center" vertical="center"/>
    </xf>
    <xf numFmtId="179" fontId="29" fillId="0" borderId="0" xfId="0" applyNumberFormat="1" applyFont="1"/>
    <xf numFmtId="0" fontId="9" fillId="0" borderId="0" xfId="490" applyFont="1" applyFill="1" applyBorder="1" applyAlignment="1">
      <alignment horizontal="center" vertical="center"/>
    </xf>
    <xf numFmtId="0" fontId="9" fillId="0" borderId="13" xfId="490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87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4" fontId="1" fillId="0" borderId="1" xfId="341" applyNumberFormat="1" applyFont="1" applyFill="1" applyBorder="1" applyAlignment="1">
      <alignment horizontal="center" vertical="center" wrapText="1"/>
    </xf>
    <xf numFmtId="180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184" fontId="1" fillId="0" borderId="1" xfId="479" applyNumberFormat="1" applyFont="1" applyFill="1" applyBorder="1" applyAlignment="1">
      <alignment horizontal="center" vertical="center" wrapText="1"/>
    </xf>
    <xf numFmtId="180" fontId="1" fillId="0" borderId="1" xfId="479" applyNumberFormat="1" applyFont="1" applyFill="1" applyBorder="1" applyAlignment="1">
      <alignment horizontal="center" vertical="center" wrapText="1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79" fontId="12" fillId="0" borderId="1" xfId="341" applyNumberFormat="1" applyFont="1" applyFill="1" applyBorder="1" applyAlignment="1">
      <alignment horizontal="center" vertical="center" wrapText="1"/>
    </xf>
    <xf numFmtId="185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5" fontId="12" fillId="0" borderId="1" xfId="341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97" fontId="2" fillId="0" borderId="0" xfId="0" applyNumberFormat="1" applyFont="1" applyFill="1" applyBorder="1" applyAlignment="1">
      <alignment horizontal="center" vertical="center"/>
    </xf>
    <xf numFmtId="184" fontId="12" fillId="0" borderId="1" xfId="341" applyNumberFormat="1" applyFont="1" applyFill="1" applyBorder="1" applyAlignment="1">
      <alignment horizontal="center" vertical="center" wrapText="1"/>
    </xf>
    <xf numFmtId="184" fontId="12" fillId="0" borderId="1" xfId="506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85" fontId="2" fillId="0" borderId="0" xfId="483" applyNumberFormat="1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184" fontId="33" fillId="0" borderId="0" xfId="0" applyNumberFormat="1" applyFont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90" fontId="2" fillId="0" borderId="0" xfId="483" applyNumberFormat="1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center" vertical="center"/>
    </xf>
    <xf numFmtId="178" fontId="34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34" fillId="4" borderId="1" xfId="483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5" fontId="2" fillId="4" borderId="1" xfId="0" applyNumberFormat="1" applyFont="1" applyFill="1" applyBorder="1" applyAlignment="1">
      <alignment horizontal="center" vertical="center"/>
    </xf>
    <xf numFmtId="182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34" fillId="0" borderId="0" xfId="483" applyFont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35" fillId="0" borderId="0" xfId="483" applyFont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84" fontId="1" fillId="0" borderId="1" xfId="506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80" fontId="31" fillId="0" borderId="0" xfId="20" applyNumberFormat="1" applyFont="1" applyFill="1" applyBorder="1" applyAlignment="1">
      <alignment horizontal="center" vertical="center" wrapText="1"/>
    </xf>
    <xf numFmtId="183" fontId="2" fillId="0" borderId="0" xfId="0" applyNumberFormat="1" applyFont="1" applyAlignment="1">
      <alignment horizontal="center" vertical="center"/>
    </xf>
    <xf numFmtId="177" fontId="31" fillId="0" borderId="0" xfId="20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/>
    <xf numFmtId="0" fontId="33" fillId="0" borderId="0" xfId="0" applyFont="1" applyFill="1" applyAlignment="1">
      <alignment horizontal="center" vertical="center"/>
    </xf>
  </cellXfs>
  <cellStyles count="615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20% - 强调文字颜色 4 4 2" xfId="35"/>
    <cellStyle name="强调文字颜色 1 2 3" xfId="36"/>
    <cellStyle name="常规 5 2" xfId="37"/>
    <cellStyle name="60% - 强调文字颜色 2 2 2" xfId="38"/>
    <cellStyle name="计算 2 10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强调文字颜色 3 2 4" xfId="60"/>
    <cellStyle name="适中 2 5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40% - 强调文字颜色 4 3 2" xfId="73"/>
    <cellStyle name="标题 5 4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计算 5" xfId="95"/>
    <cellStyle name="适中 2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20% - 强调文字颜色 1 2 6" xfId="111"/>
    <cellStyle name="强调文字颜色 6 5 2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20% - 强调文字颜色 3 4" xfId="135"/>
    <cellStyle name="好_汇总二_江边厂月报2013-5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20% - 强调文字颜色 4 3" xfId="155"/>
    <cellStyle name="常规 4" xfId="156"/>
    <cellStyle name="20% - 强调文字颜色 4 3 2" xfId="157"/>
    <cellStyle name="20% - 强调文字颜色 4 4" xfId="158"/>
    <cellStyle name="60% - 强调文字颜色 2 2" xfId="159"/>
    <cellStyle name="常规 5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20% - 强调文字颜色 5 3 2" xfId="173"/>
    <cellStyle name="百分比 3" xfId="174"/>
    <cellStyle name="差_汇总二" xfId="175"/>
    <cellStyle name="差 5" xfId="176"/>
    <cellStyle name="20% - 强调文字颜色 5 4" xfId="177"/>
    <cellStyle name="60% - 强调文字颜色 3 2" xfId="178"/>
    <cellStyle name="20% - 强调文字颜色 5 4 2" xfId="179"/>
    <cellStyle name="强调文字颜色 2 2 3" xfId="180"/>
    <cellStyle name="60% - 强调文字颜色 3 2 2" xfId="181"/>
    <cellStyle name="标题 1 2 6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20% - 强调文字颜色 6 2" xfId="187"/>
    <cellStyle name="60% - 强调文字颜色 6 2 4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20% - 强调文字颜色 6 3 2" xfId="198"/>
    <cellStyle name="40% - 强调文字颜色 5 4" xfId="199"/>
    <cellStyle name="好 2 5" xfId="200"/>
    <cellStyle name="20% - 强调文字颜色 6 4" xfId="201"/>
    <cellStyle name="60% - 强调文字颜色 6 2 6" xfId="202"/>
    <cellStyle name="60% - 强调文字颜色 4 2" xfId="203"/>
    <cellStyle name="适中 2 4" xfId="204"/>
    <cellStyle name="20% - 强调文字颜色 6 4 2" xfId="205"/>
    <cellStyle name="强调文字颜色 3 2 3" xfId="206"/>
    <cellStyle name="40% - 强调文字颜色 6 4" xfId="207"/>
    <cellStyle name="60% - 强调文字颜色 4 2 2" xfId="208"/>
    <cellStyle name="标题 2 2 6" xfId="209"/>
    <cellStyle name="20% - 强调文字颜色 6 5" xfId="210"/>
    <cellStyle name="40% - 强调文字颜色 5 2 2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40% - 强调文字颜色 3 4 2" xfId="252"/>
    <cellStyle name="警告文本 5" xfId="253"/>
    <cellStyle name="40% - 强调文字颜色 3 5" xfId="254"/>
    <cellStyle name="计算 2 5" xfId="255"/>
    <cellStyle name="40% - 强调文字颜色 3 5 2" xfId="256"/>
    <cellStyle name="链接单元格 2 4" xfId="257"/>
    <cellStyle name="40% - 强调文字颜色 4 2 2" xfId="258"/>
    <cellStyle name="标题 4 4" xfId="259"/>
    <cellStyle name="汇总 2 3" xfId="260"/>
    <cellStyle name="检查单元格 2" xfId="261"/>
    <cellStyle name="40% - 强调文字颜色 4 2 3" xfId="262"/>
    <cellStyle name="标题 4 5" xfId="263"/>
    <cellStyle name="汇总 2 4" xfId="264"/>
    <cellStyle name="检查单元格 3" xfId="265"/>
    <cellStyle name="40% - 强调文字颜色 4 2 4" xfId="266"/>
    <cellStyle name="汇总 2 5" xfId="267"/>
    <cellStyle name="检查单元格 4" xfId="268"/>
    <cellStyle name="40% - 强调文字颜色 4 2 5" xfId="269"/>
    <cellStyle name="汇总 2 6" xfId="270"/>
    <cellStyle name="检查单元格 5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40% - 强调文字颜色 5 2 4" xfId="282"/>
    <cellStyle name="警告文本 5 2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40% - 强调文字颜色 6 2" xfId="297"/>
    <cellStyle name="标题 2 2 4" xfId="298"/>
    <cellStyle name="计算 5 2" xfId="299"/>
    <cellStyle name="适中 2 2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60% - 强调文字颜色 1 4 2" xfId="320"/>
    <cellStyle name="标题 4 2 3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警告文本 2 6" xfId="326"/>
    <cellStyle name="强调文字颜色 4 4 2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60% - 强调文字颜色 2 4" xfId="337"/>
    <cellStyle name="常规 7" xfId="338"/>
    <cellStyle name="60% - 强调文字颜色 2 4 2" xfId="339"/>
    <cellStyle name="60% - 强调文字颜色 2 5" xfId="340"/>
    <cellStyle name="常规 8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60% - 强调文字颜色 5 2 2" xfId="363"/>
    <cellStyle name="标题 3 2 6" xfId="364"/>
    <cellStyle name="60% - 强调文字颜色 5 2 3" xfId="365"/>
    <cellStyle name="60% - 强调文字颜色 5 2 4" xfId="366"/>
    <cellStyle name="百分比 2 11" xfId="367"/>
    <cellStyle name="强调文字颜色 4 2 5" xfId="368"/>
    <cellStyle name="60% - 强调文字颜色 5 2 5" xfId="369"/>
    <cellStyle name="标题 4 2" xfId="370"/>
    <cellStyle name="60% - 强调文字颜色 5 2 6" xfId="371"/>
    <cellStyle name="标题 4 3" xfId="372"/>
    <cellStyle name="汇总 2 2" xfId="373"/>
    <cellStyle name="60% - 强调文字颜色 5 3 2" xfId="374"/>
    <cellStyle name="60% - 强调文字颜色 5 4" xfId="375"/>
    <cellStyle name="60% - 强调文字颜色 5 5" xfId="376"/>
    <cellStyle name="60% - 强调文字颜色 5 5 2" xfId="377"/>
    <cellStyle name="输入 2 3" xfId="378"/>
    <cellStyle name="60% - 强调文字颜色 6 2" xfId="379"/>
    <cellStyle name="好_汇总二 3" xfId="380"/>
    <cellStyle name="60% - 强调文字颜色 6 2 2" xfId="381"/>
    <cellStyle name="标题 4 2 6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19" xfId="393"/>
    <cellStyle name="标题 1 2" xfId="394"/>
    <cellStyle name="标题 1 2 2" xfId="395"/>
    <cellStyle name="标题 1 2 3" xfId="396"/>
    <cellStyle name="标题 1 2 4" xfId="397"/>
    <cellStyle name="标题 1 2 5" xfId="398"/>
    <cellStyle name="强调文字颜色 2 2 2" xfId="399"/>
    <cellStyle name="标题 1 3" xfId="400"/>
    <cellStyle name="标题 1 3 2" xfId="401"/>
    <cellStyle name="汇总 3" xfId="402"/>
    <cellStyle name="标题 1 4" xfId="403"/>
    <cellStyle name="标题 1 5" xfId="404"/>
    <cellStyle name="标题 2 2" xfId="405"/>
    <cellStyle name="标题 2 2 2" xfId="406"/>
    <cellStyle name="标题 2 2 3" xfId="407"/>
    <cellStyle name="好 3 2" xfId="408"/>
    <cellStyle name="标题 2 3" xfId="409"/>
    <cellStyle name="标题 2 3 2" xfId="410"/>
    <cellStyle name="常规 11" xfId="411"/>
    <cellStyle name="标题 2 4" xfId="412"/>
    <cellStyle name="好_处理量" xfId="413"/>
    <cellStyle name="标题 2 4 2" xfId="414"/>
    <cellStyle name="好_处理量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标题 3 4 2" xfId="427"/>
    <cellStyle name="警告文本 2 3" xfId="428"/>
    <cellStyle name="标题 3 5" xfId="429"/>
    <cellStyle name="标题 3 5 2" xfId="430"/>
    <cellStyle name="常规 9" xfId="431"/>
    <cellStyle name="标题 4 2 2" xfId="432"/>
    <cellStyle name="标题 4 2 4" xfId="433"/>
    <cellStyle name="标题 4 2 5" xfId="434"/>
    <cellStyle name="标题 4 3 2" xfId="435"/>
    <cellStyle name="标题 4 4 2" xfId="436"/>
    <cellStyle name="检查单元格 2 2" xfId="437"/>
    <cellStyle name="标题 5" xfId="438"/>
    <cellStyle name="解释性文本 2 3" xfId="439"/>
    <cellStyle name="标题 5 2" xfId="440"/>
    <cellStyle name="强调文字颜色 1 4" xfId="441"/>
    <cellStyle name="标题 5 3" xfId="442"/>
    <cellStyle name="汇总 3 2" xfId="443"/>
    <cellStyle name="强调文字颜色 1 5" xfId="444"/>
    <cellStyle name="标题 6" xfId="445"/>
    <cellStyle name="解释性文本 2 4" xfId="446"/>
    <cellStyle name="标题 6 2" xfId="447"/>
    <cellStyle name="标题 7" xfId="448"/>
    <cellStyle name="解释性文本 2 5" xfId="449"/>
    <cellStyle name="标题 7 2" xfId="450"/>
    <cellStyle name="输入 2 6" xfId="451"/>
    <cellStyle name="强调文字颜色 3 4" xfId="452"/>
    <cellStyle name="常规 2 11" xfId="453"/>
    <cellStyle name="标题 8" xfId="454"/>
    <cellStyle name="解释性文本 2 6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 5 2" xfId="468"/>
    <cellStyle name="差_汇总二 2" xfId="469"/>
    <cellStyle name="差_处理量" xfId="470"/>
    <cellStyle name="差_汇总二 3" xfId="471"/>
    <cellStyle name="常规 10" xfId="472"/>
    <cellStyle name="常规 12" xfId="473"/>
    <cellStyle name="好 4 2" xfId="474"/>
    <cellStyle name="常规 13" xfId="475"/>
    <cellStyle name="计算 6 2" xfId="476"/>
    <cellStyle name="适中 3 2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强调文字颜色 3 5" xfId="488"/>
    <cellStyle name="常规 2 12" xfId="489"/>
    <cellStyle name="常规_Sheet1" xfId="490"/>
    <cellStyle name="汇总 5 2" xfId="491"/>
    <cellStyle name="常规 2 14" xfId="492"/>
    <cellStyle name="常规 2 15" xfId="493"/>
    <cellStyle name="常规 2 16" xfId="494"/>
    <cellStyle name="常规 2 19 3" xfId="495"/>
    <cellStyle name="强调文字颜色 5 3 2" xfId="496"/>
    <cellStyle name="常规 2 2" xfId="497"/>
    <cellStyle name="常规 2 3" xfId="498"/>
    <cellStyle name="输入 3 2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汇总 4 2" xfId="513"/>
    <cellStyle name="强调文字颜色 2 5" xfId="514"/>
    <cellStyle name="汇总 5" xfId="515"/>
    <cellStyle name="计算 2 6" xfId="516"/>
    <cellStyle name="计算 2 7" xfId="517"/>
    <cellStyle name="计算 2_处理量" xfId="518"/>
    <cellStyle name="计算 6" xfId="519"/>
    <cellStyle name="适中 3" xfId="520"/>
    <cellStyle name="检查单元格 2 3" xfId="521"/>
    <cellStyle name="检查单元格 2 4" xfId="522"/>
    <cellStyle name="检查单元格 2 5" xfId="523"/>
    <cellStyle name="强调文字颜色 5 4 2" xfId="524"/>
    <cellStyle name="检查单元格 4 2" xfId="525"/>
    <cellStyle name="解释性文本 2" xfId="526"/>
    <cellStyle name="解释性文本 4" xfId="527"/>
    <cellStyle name="解释性文本 4 2" xfId="528"/>
    <cellStyle name="警告文本 2" xfId="529"/>
    <cellStyle name="注释 5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强调文字颜色 3 2 2" xfId="550"/>
    <cellStyle name="适中 2 3" xfId="551"/>
    <cellStyle name="强调文字颜色 3 2 5" xfId="552"/>
    <cellStyle name="适中 2 6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0"/>
  <sheetViews>
    <sheetView zoomScale="85" zoomScaleNormal="85" workbookViewId="0">
      <selection activeCell="S3" sqref="S3"/>
    </sheetView>
  </sheetViews>
  <sheetFormatPr defaultColWidth="8.75" defaultRowHeight="14.25"/>
  <cols>
    <col min="1" max="1" width="3.75" style="3" customWidth="1"/>
    <col min="2" max="3" width="4.25" style="257" customWidth="1"/>
    <col min="4" max="4" width="6.5" style="257" customWidth="1"/>
    <col min="5" max="5" width="7.5" style="257" customWidth="1"/>
    <col min="6" max="6" width="7.16666666666667" style="257" customWidth="1"/>
    <col min="7" max="7" width="6.94166666666667" style="258" customWidth="1"/>
    <col min="8" max="8" width="5.625" style="258" customWidth="1"/>
    <col min="9" max="9" width="6" style="257" customWidth="1"/>
    <col min="10" max="10" width="6.46666666666667" style="257" customWidth="1"/>
    <col min="11" max="11" width="6.5" style="257" customWidth="1"/>
    <col min="12" max="12" width="6.375" style="257" customWidth="1"/>
    <col min="13" max="13" width="6.11666666666667" style="257" customWidth="1"/>
    <col min="14" max="15" width="6.125" style="257" customWidth="1"/>
    <col min="16" max="16" width="6.46666666666667" style="257" customWidth="1"/>
    <col min="17" max="17" width="7.5" style="257" customWidth="1"/>
    <col min="18" max="18" width="10.125" style="257" customWidth="1"/>
    <col min="19" max="19" width="10" style="259" customWidth="1"/>
    <col min="20" max="20" width="15.875" style="259" customWidth="1"/>
    <col min="21" max="21" width="12.875" style="259" customWidth="1"/>
    <col min="22" max="22" width="12.25" style="259" customWidth="1"/>
    <col min="23" max="25" width="12.625" style="259"/>
    <col min="26" max="26" width="15" style="259" customWidth="1"/>
    <col min="27" max="35" width="9" style="3"/>
    <col min="36" max="16384" width="8.75" style="3"/>
  </cols>
  <sheetData>
    <row r="1" ht="17" customHeight="1" spans="1:18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</row>
    <row r="2" ht="14" customHeight="1" spans="1:18">
      <c r="A2" s="261" t="s">
        <v>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</row>
    <row r="3" ht="20.25" customHeight="1" spans="1:26">
      <c r="A3" s="262" t="s">
        <v>2</v>
      </c>
      <c r="B3" s="263" t="s">
        <v>3</v>
      </c>
      <c r="C3" s="263" t="s">
        <v>4</v>
      </c>
      <c r="D3" s="8" t="s">
        <v>5</v>
      </c>
      <c r="E3" s="5" t="s">
        <v>6</v>
      </c>
      <c r="F3" s="5"/>
      <c r="G3" s="5"/>
      <c r="H3" s="263" t="s">
        <v>7</v>
      </c>
      <c r="I3" s="263" t="s">
        <v>8</v>
      </c>
      <c r="J3" s="263" t="s">
        <v>9</v>
      </c>
      <c r="K3" s="263" t="s">
        <v>10</v>
      </c>
      <c r="L3" s="8" t="s">
        <v>11</v>
      </c>
      <c r="M3" s="263" t="s">
        <v>12</v>
      </c>
      <c r="N3" s="263" t="s">
        <v>13</v>
      </c>
      <c r="O3" s="5" t="s">
        <v>14</v>
      </c>
      <c r="P3" s="5"/>
      <c r="Q3" s="8" t="s">
        <v>15</v>
      </c>
      <c r="R3" s="8" t="s">
        <v>16</v>
      </c>
      <c r="T3" s="259" t="s">
        <v>17</v>
      </c>
      <c r="U3" s="259" t="s">
        <v>18</v>
      </c>
      <c r="W3" s="283" t="s">
        <v>19</v>
      </c>
      <c r="X3" s="283" t="s">
        <v>20</v>
      </c>
      <c r="Y3" s="283" t="s">
        <v>21</v>
      </c>
      <c r="Z3" s="283" t="s">
        <v>22</v>
      </c>
    </row>
    <row r="4" ht="21" customHeight="1" spans="1:28">
      <c r="A4" s="264"/>
      <c r="B4" s="265" t="s">
        <v>23</v>
      </c>
      <c r="C4" s="265" t="s">
        <v>24</v>
      </c>
      <c r="D4" s="265"/>
      <c r="E4" s="265" t="s">
        <v>25</v>
      </c>
      <c r="F4" s="265" t="s">
        <v>26</v>
      </c>
      <c r="G4" s="265" t="s">
        <v>27</v>
      </c>
      <c r="H4" s="265" t="s">
        <v>28</v>
      </c>
      <c r="I4" s="265" t="s">
        <v>29</v>
      </c>
      <c r="J4" s="265" t="s">
        <v>30</v>
      </c>
      <c r="K4" s="265" t="s">
        <v>28</v>
      </c>
      <c r="L4" s="265"/>
      <c r="M4" s="265" t="s">
        <v>28</v>
      </c>
      <c r="N4" s="265" t="s">
        <v>28</v>
      </c>
      <c r="O4" s="265" t="s">
        <v>31</v>
      </c>
      <c r="P4" s="265" t="s">
        <v>32</v>
      </c>
      <c r="Q4" s="265"/>
      <c r="R4" s="265"/>
      <c r="T4" s="57" t="s">
        <v>33</v>
      </c>
      <c r="U4" s="284">
        <f>ROUND(J36*W4,2)</f>
        <v>928295</v>
      </c>
      <c r="V4" s="284"/>
      <c r="W4" s="285">
        <v>0.565</v>
      </c>
      <c r="X4" s="286">
        <f>J35/R35</f>
        <v>0.285104759948038</v>
      </c>
      <c r="Y4" s="283">
        <v>0.608</v>
      </c>
      <c r="Z4" s="318">
        <v>44197</v>
      </c>
      <c r="AA4" s="319"/>
      <c r="AB4" s="3" t="s">
        <v>34</v>
      </c>
    </row>
    <row r="5" ht="18.6" customHeight="1" spans="1:28">
      <c r="A5" s="6">
        <v>1</v>
      </c>
      <c r="B5" s="266">
        <v>19.6</v>
      </c>
      <c r="C5" s="267" t="s">
        <v>35</v>
      </c>
      <c r="D5" s="268">
        <v>206129</v>
      </c>
      <c r="E5" s="269">
        <v>0</v>
      </c>
      <c r="F5" s="269">
        <v>0</v>
      </c>
      <c r="G5" s="269">
        <v>120</v>
      </c>
      <c r="H5" s="270">
        <v>175</v>
      </c>
      <c r="I5" s="6">
        <v>5184</v>
      </c>
      <c r="J5" s="276">
        <v>55599.9999999949</v>
      </c>
      <c r="K5" s="277">
        <v>7980</v>
      </c>
      <c r="L5" s="277">
        <v>42</v>
      </c>
      <c r="M5" s="277">
        <v>2698</v>
      </c>
      <c r="N5" s="277">
        <v>960</v>
      </c>
      <c r="O5" s="278">
        <v>2.5</v>
      </c>
      <c r="P5" s="278">
        <v>0</v>
      </c>
      <c r="Q5" s="287">
        <v>5226</v>
      </c>
      <c r="R5" s="288">
        <f>D5-Q5</f>
        <v>200903</v>
      </c>
      <c r="S5" s="289"/>
      <c r="T5" s="290" t="s">
        <v>36</v>
      </c>
      <c r="U5" s="291">
        <f>H36*W5/1000</f>
        <v>140200</v>
      </c>
      <c r="V5" s="284"/>
      <c r="W5" s="292">
        <v>28040</v>
      </c>
      <c r="X5" s="284">
        <f>H35/R35*1000</f>
        <v>0.867634692477295</v>
      </c>
      <c r="Y5" s="283">
        <v>28150</v>
      </c>
      <c r="Z5" s="320">
        <v>44287</v>
      </c>
      <c r="AB5" s="321">
        <f>E5+F5+G5</f>
        <v>120</v>
      </c>
    </row>
    <row r="6" ht="18.6" customHeight="1" spans="1:28">
      <c r="A6" s="6">
        <v>2</v>
      </c>
      <c r="B6" s="266">
        <v>20.7</v>
      </c>
      <c r="C6" s="267" t="s">
        <v>37</v>
      </c>
      <c r="D6" s="268">
        <v>207384</v>
      </c>
      <c r="E6" s="269">
        <v>0</v>
      </c>
      <c r="F6" s="269">
        <v>187.58</v>
      </c>
      <c r="G6" s="269">
        <v>0</v>
      </c>
      <c r="H6" s="270">
        <v>200</v>
      </c>
      <c r="I6" s="6">
        <v>4422</v>
      </c>
      <c r="J6" s="276">
        <v>54500.0000000073</v>
      </c>
      <c r="K6" s="277">
        <v>8352</v>
      </c>
      <c r="L6" s="277">
        <v>43</v>
      </c>
      <c r="M6" s="277">
        <v>2627</v>
      </c>
      <c r="N6" s="277">
        <v>936</v>
      </c>
      <c r="O6" s="278">
        <v>2.23</v>
      </c>
      <c r="P6" s="278">
        <v>0</v>
      </c>
      <c r="Q6" s="287">
        <v>5468</v>
      </c>
      <c r="R6" s="288">
        <f t="shared" ref="R6:R36" si="0">D6-Q6</f>
        <v>201916</v>
      </c>
      <c r="S6" s="289"/>
      <c r="T6" s="290" t="s">
        <v>38</v>
      </c>
      <c r="U6" s="291">
        <f>L36*W6/1000</f>
        <v>5522.4</v>
      </c>
      <c r="V6" s="284">
        <f>U5+U6</f>
        <v>145722.4</v>
      </c>
      <c r="W6" s="57">
        <v>10400</v>
      </c>
      <c r="X6" s="284">
        <f>L35/R35*1000</f>
        <v>0.0921428043410887</v>
      </c>
      <c r="Y6" s="283">
        <v>5784.76</v>
      </c>
      <c r="Z6" s="320">
        <v>44256</v>
      </c>
      <c r="AB6" s="321">
        <f t="shared" ref="AB6:AB34" si="1">E6+F6+G6</f>
        <v>187.58</v>
      </c>
    </row>
    <row r="7" ht="18.6" customHeight="1" spans="1:28">
      <c r="A7" s="6">
        <v>3</v>
      </c>
      <c r="B7" s="266">
        <v>18.6</v>
      </c>
      <c r="C7" s="267" t="s">
        <v>37</v>
      </c>
      <c r="D7" s="268">
        <v>199427</v>
      </c>
      <c r="E7" s="269">
        <v>0</v>
      </c>
      <c r="F7" s="269">
        <v>257.88</v>
      </c>
      <c r="G7" s="269">
        <v>0</v>
      </c>
      <c r="H7" s="270">
        <v>225</v>
      </c>
      <c r="I7" s="6">
        <v>3946</v>
      </c>
      <c r="J7" s="276">
        <v>53500.0000000036</v>
      </c>
      <c r="K7" s="277">
        <v>3204</v>
      </c>
      <c r="L7" s="277">
        <v>17</v>
      </c>
      <c r="M7" s="277">
        <v>1420</v>
      </c>
      <c r="N7" s="277">
        <v>528</v>
      </c>
      <c r="O7" s="278">
        <v>3.33</v>
      </c>
      <c r="P7" s="278">
        <v>0</v>
      </c>
      <c r="Q7" s="287">
        <v>5549</v>
      </c>
      <c r="R7" s="288">
        <f t="shared" si="0"/>
        <v>193878</v>
      </c>
      <c r="S7" s="289"/>
      <c r="T7" s="290" t="s">
        <v>39</v>
      </c>
      <c r="U7" s="291">
        <f>M36*W7/1000</f>
        <v>38620.45</v>
      </c>
      <c r="V7" s="284"/>
      <c r="W7" s="57">
        <v>430</v>
      </c>
      <c r="X7" s="284">
        <f>M35/R35*1000</f>
        <v>15.5853219809696</v>
      </c>
      <c r="Y7" s="283">
        <v>182</v>
      </c>
      <c r="Z7" s="320">
        <v>44228</v>
      </c>
      <c r="AB7" s="321">
        <f t="shared" si="1"/>
        <v>257.88</v>
      </c>
    </row>
    <row r="8" ht="18.6" customHeight="1" spans="1:28">
      <c r="A8" s="6">
        <v>4</v>
      </c>
      <c r="B8" s="266">
        <v>18.8</v>
      </c>
      <c r="C8" s="267" t="s">
        <v>40</v>
      </c>
      <c r="D8" s="268">
        <v>157304</v>
      </c>
      <c r="E8" s="269">
        <v>0</v>
      </c>
      <c r="F8" s="269">
        <v>219.96</v>
      </c>
      <c r="G8" s="269">
        <v>0</v>
      </c>
      <c r="H8" s="270">
        <v>200</v>
      </c>
      <c r="I8" s="6">
        <v>3610</v>
      </c>
      <c r="J8" s="276">
        <v>52500</v>
      </c>
      <c r="K8" s="277">
        <v>6468</v>
      </c>
      <c r="L8" s="277">
        <v>42</v>
      </c>
      <c r="M8" s="277">
        <v>1207</v>
      </c>
      <c r="N8" s="277">
        <v>432</v>
      </c>
      <c r="O8" s="278">
        <v>2.18</v>
      </c>
      <c r="P8" s="278">
        <v>0</v>
      </c>
      <c r="Q8" s="287">
        <v>5508</v>
      </c>
      <c r="R8" s="288">
        <f t="shared" si="0"/>
        <v>151796</v>
      </c>
      <c r="S8" s="289"/>
      <c r="T8" s="290" t="s">
        <v>41</v>
      </c>
      <c r="U8" s="291">
        <f>N36*W8/1000</f>
        <v>174619.2912</v>
      </c>
      <c r="V8" s="284">
        <f>U7+U8</f>
        <v>213239.7412</v>
      </c>
      <c r="W8" s="57">
        <v>5507.8</v>
      </c>
      <c r="X8" s="284">
        <f>N35/R35*1000</f>
        <v>5.50149805806003</v>
      </c>
      <c r="Y8" s="57">
        <v>5280.45</v>
      </c>
      <c r="Z8" s="320">
        <v>44287</v>
      </c>
      <c r="AB8" s="321">
        <f t="shared" si="1"/>
        <v>219.96</v>
      </c>
    </row>
    <row r="9" ht="18.6" customHeight="1" spans="1:28">
      <c r="A9" s="6">
        <v>5</v>
      </c>
      <c r="B9" s="266">
        <v>18.7</v>
      </c>
      <c r="C9" s="267" t="s">
        <v>40</v>
      </c>
      <c r="D9" s="268">
        <v>123116</v>
      </c>
      <c r="E9" s="269">
        <v>0</v>
      </c>
      <c r="F9" s="269">
        <v>113.78</v>
      </c>
      <c r="G9" s="269">
        <v>120</v>
      </c>
      <c r="H9" s="270">
        <v>200</v>
      </c>
      <c r="I9" s="6">
        <v>4608</v>
      </c>
      <c r="J9" s="279">
        <v>43999.9999999964</v>
      </c>
      <c r="K9" s="277">
        <v>8544</v>
      </c>
      <c r="L9" s="277">
        <v>43</v>
      </c>
      <c r="M9" s="277">
        <v>2485</v>
      </c>
      <c r="N9" s="277">
        <v>888</v>
      </c>
      <c r="O9" s="278">
        <v>2.21</v>
      </c>
      <c r="P9" s="278">
        <v>0</v>
      </c>
      <c r="Q9" s="287">
        <v>5472</v>
      </c>
      <c r="R9" s="288">
        <f t="shared" si="0"/>
        <v>117644</v>
      </c>
      <c r="S9" s="289"/>
      <c r="T9" s="290" t="s">
        <v>42</v>
      </c>
      <c r="U9" s="291">
        <f>K36*W9/1000</f>
        <v>40285.872</v>
      </c>
      <c r="V9" s="284"/>
      <c r="W9" s="57">
        <v>348</v>
      </c>
      <c r="X9" s="284">
        <f>K35/R35*1000</f>
        <v>20.0881725079883</v>
      </c>
      <c r="Y9" s="283">
        <v>370</v>
      </c>
      <c r="Z9" s="320">
        <v>44228</v>
      </c>
      <c r="AB9" s="321">
        <f t="shared" si="1"/>
        <v>233.78</v>
      </c>
    </row>
    <row r="10" ht="18.6" customHeight="1" spans="1:28">
      <c r="A10" s="6">
        <v>6</v>
      </c>
      <c r="B10" s="266">
        <v>19.2</v>
      </c>
      <c r="C10" s="267" t="s">
        <v>37</v>
      </c>
      <c r="D10" s="268">
        <v>156528</v>
      </c>
      <c r="E10" s="269">
        <v>55.18</v>
      </c>
      <c r="F10" s="269">
        <v>84.82</v>
      </c>
      <c r="G10" s="269">
        <v>0</v>
      </c>
      <c r="H10" s="270">
        <v>225</v>
      </c>
      <c r="I10" s="6">
        <v>3396</v>
      </c>
      <c r="J10" s="276">
        <v>47699.9999999862</v>
      </c>
      <c r="K10" s="277">
        <v>7008</v>
      </c>
      <c r="L10" s="277">
        <v>42</v>
      </c>
      <c r="M10" s="277">
        <v>3195</v>
      </c>
      <c r="N10" s="277">
        <v>1104</v>
      </c>
      <c r="O10" s="278">
        <v>2.23</v>
      </c>
      <c r="P10" s="278">
        <v>0</v>
      </c>
      <c r="Q10" s="287">
        <v>5493</v>
      </c>
      <c r="R10" s="288">
        <f t="shared" si="0"/>
        <v>151035</v>
      </c>
      <c r="S10" s="289"/>
      <c r="T10" s="290" t="s">
        <v>43</v>
      </c>
      <c r="U10" s="291">
        <f>T18</f>
        <v>82820.09</v>
      </c>
      <c r="V10" s="284" t="s">
        <v>44</v>
      </c>
      <c r="W10" s="293"/>
      <c r="X10" s="293"/>
      <c r="Y10" s="322"/>
      <c r="Z10" s="322"/>
      <c r="AB10" s="321">
        <f t="shared" si="1"/>
        <v>140</v>
      </c>
    </row>
    <row r="11" ht="18.6" customHeight="1" spans="1:28">
      <c r="A11" s="6">
        <v>7</v>
      </c>
      <c r="B11" s="266">
        <v>20.9</v>
      </c>
      <c r="C11" s="267" t="s">
        <v>40</v>
      </c>
      <c r="D11" s="268">
        <v>148601</v>
      </c>
      <c r="E11" s="269">
        <v>140.8</v>
      </c>
      <c r="F11" s="269">
        <v>0</v>
      </c>
      <c r="G11" s="269">
        <v>36</v>
      </c>
      <c r="H11" s="270">
        <v>225</v>
      </c>
      <c r="I11" s="14">
        <v>4434</v>
      </c>
      <c r="J11" s="279">
        <v>48500.0000000036</v>
      </c>
      <c r="K11" s="277">
        <v>7116</v>
      </c>
      <c r="L11" s="277">
        <v>43</v>
      </c>
      <c r="M11" s="277">
        <v>4828</v>
      </c>
      <c r="N11" s="277">
        <v>1680</v>
      </c>
      <c r="O11" s="278">
        <v>2.81</v>
      </c>
      <c r="P11" s="278">
        <v>0</v>
      </c>
      <c r="Q11" s="287">
        <v>5602</v>
      </c>
      <c r="R11" s="288">
        <f t="shared" si="0"/>
        <v>142999</v>
      </c>
      <c r="S11" s="289"/>
      <c r="T11" s="290" t="s">
        <v>45</v>
      </c>
      <c r="U11" s="291">
        <f>汇总!J5*4.21</f>
        <v>22776.1</v>
      </c>
      <c r="V11" s="284"/>
      <c r="W11" s="57">
        <v>4.21</v>
      </c>
      <c r="X11" s="57"/>
      <c r="Y11" s="57"/>
      <c r="Z11" s="283"/>
      <c r="AB11" s="321">
        <f t="shared" si="1"/>
        <v>176.8</v>
      </c>
    </row>
    <row r="12" ht="18.6" customHeight="1" spans="1:28">
      <c r="A12" s="6">
        <v>8</v>
      </c>
      <c r="B12" s="266">
        <v>21</v>
      </c>
      <c r="C12" s="267" t="s">
        <v>40</v>
      </c>
      <c r="D12" s="270">
        <v>191421</v>
      </c>
      <c r="E12" s="269">
        <v>144.66</v>
      </c>
      <c r="F12" s="269">
        <v>0</v>
      </c>
      <c r="G12" s="269">
        <v>0</v>
      </c>
      <c r="H12" s="270">
        <v>200</v>
      </c>
      <c r="I12" s="6">
        <v>4116</v>
      </c>
      <c r="J12" s="276">
        <v>54700.0000000116</v>
      </c>
      <c r="K12" s="277">
        <v>6816</v>
      </c>
      <c r="L12" s="277">
        <v>42</v>
      </c>
      <c r="M12" s="277">
        <v>2130</v>
      </c>
      <c r="N12" s="277">
        <v>792</v>
      </c>
      <c r="O12" s="278">
        <v>1.99</v>
      </c>
      <c r="P12" s="278">
        <v>0</v>
      </c>
      <c r="Q12" s="287">
        <v>5446</v>
      </c>
      <c r="R12" s="288">
        <f t="shared" si="0"/>
        <v>185975</v>
      </c>
      <c r="S12" s="289"/>
      <c r="T12" s="294"/>
      <c r="U12" s="295"/>
      <c r="V12" s="293"/>
      <c r="W12" s="293"/>
      <c r="X12" s="293"/>
      <c r="AB12" s="321">
        <f t="shared" si="1"/>
        <v>144.66</v>
      </c>
    </row>
    <row r="13" ht="18.6" customHeight="1" spans="1:28">
      <c r="A13" s="6">
        <v>9</v>
      </c>
      <c r="B13" s="266">
        <v>21</v>
      </c>
      <c r="C13" s="267" t="s">
        <v>40</v>
      </c>
      <c r="D13" s="268">
        <v>209098</v>
      </c>
      <c r="E13" s="269">
        <v>95.54</v>
      </c>
      <c r="F13" s="269">
        <v>0</v>
      </c>
      <c r="G13" s="269">
        <v>120</v>
      </c>
      <c r="H13" s="270">
        <v>100</v>
      </c>
      <c r="I13" s="6">
        <v>4094</v>
      </c>
      <c r="J13" s="276">
        <v>54099.9999999985</v>
      </c>
      <c r="K13" s="277">
        <v>1428</v>
      </c>
      <c r="L13" s="277">
        <v>0</v>
      </c>
      <c r="M13" s="277">
        <v>1420</v>
      </c>
      <c r="N13" s="277">
        <v>504</v>
      </c>
      <c r="O13" s="278">
        <v>2.48</v>
      </c>
      <c r="P13" s="278">
        <v>0</v>
      </c>
      <c r="Q13" s="287">
        <v>5502</v>
      </c>
      <c r="R13" s="288">
        <f t="shared" si="0"/>
        <v>203596</v>
      </c>
      <c r="S13" s="289"/>
      <c r="T13" s="290"/>
      <c r="U13" s="296">
        <f>U14/R36</f>
        <v>0.0692802854309906</v>
      </c>
      <c r="V13" s="57"/>
      <c r="W13" s="57"/>
      <c r="X13" s="293"/>
      <c r="AB13" s="321">
        <f t="shared" si="1"/>
        <v>215.54</v>
      </c>
    </row>
    <row r="14" ht="18.6" customHeight="1" spans="1:28">
      <c r="A14" s="6">
        <v>10</v>
      </c>
      <c r="B14" s="266">
        <v>21.6</v>
      </c>
      <c r="C14" s="267" t="s">
        <v>40</v>
      </c>
      <c r="D14" s="268">
        <v>213464</v>
      </c>
      <c r="E14" s="269">
        <v>112.64</v>
      </c>
      <c r="F14" s="269">
        <v>0</v>
      </c>
      <c r="G14" s="269">
        <v>0</v>
      </c>
      <c r="H14" s="270">
        <v>100</v>
      </c>
      <c r="I14" s="6">
        <v>3806</v>
      </c>
      <c r="J14" s="276">
        <v>56299.999999992</v>
      </c>
      <c r="K14" s="277">
        <v>0</v>
      </c>
      <c r="L14" s="277">
        <v>0</v>
      </c>
      <c r="M14" s="277">
        <v>1491</v>
      </c>
      <c r="N14" s="277">
        <v>552</v>
      </c>
      <c r="O14" s="278">
        <v>2.22</v>
      </c>
      <c r="P14" s="278">
        <v>0</v>
      </c>
      <c r="Q14" s="287">
        <v>4575</v>
      </c>
      <c r="R14" s="288">
        <f t="shared" si="0"/>
        <v>208889</v>
      </c>
      <c r="S14" s="289"/>
      <c r="T14" s="297" t="s">
        <v>46</v>
      </c>
      <c r="U14" s="298">
        <f>U5+U6+U7+U8+U9</f>
        <v>399248.0132</v>
      </c>
      <c r="V14" s="299" t="s">
        <v>47</v>
      </c>
      <c r="W14" s="300">
        <f>U6+U9</f>
        <v>45808.272</v>
      </c>
      <c r="X14" s="293"/>
      <c r="AB14" s="321">
        <f t="shared" si="1"/>
        <v>112.64</v>
      </c>
    </row>
    <row r="15" ht="18.6" customHeight="1" spans="1:28">
      <c r="A15" s="6">
        <v>11</v>
      </c>
      <c r="B15" s="266">
        <v>20.8</v>
      </c>
      <c r="C15" s="267" t="s">
        <v>37</v>
      </c>
      <c r="D15" s="268">
        <v>209369</v>
      </c>
      <c r="E15" s="269">
        <v>0</v>
      </c>
      <c r="F15" s="269">
        <v>38.14</v>
      </c>
      <c r="G15" s="269">
        <v>120</v>
      </c>
      <c r="H15" s="270">
        <v>125</v>
      </c>
      <c r="I15" s="6">
        <v>4054</v>
      </c>
      <c r="J15" s="279">
        <v>57000.0000000073</v>
      </c>
      <c r="K15" s="277">
        <v>2544</v>
      </c>
      <c r="L15" s="277">
        <v>12</v>
      </c>
      <c r="M15" s="277">
        <v>3053</v>
      </c>
      <c r="N15" s="277">
        <v>1080</v>
      </c>
      <c r="O15" s="278">
        <v>4.33</v>
      </c>
      <c r="P15" s="278">
        <v>0</v>
      </c>
      <c r="Q15" s="287">
        <v>5966</v>
      </c>
      <c r="R15" s="288">
        <f t="shared" si="0"/>
        <v>203403</v>
      </c>
      <c r="S15" s="289"/>
      <c r="T15" s="297" t="s">
        <v>48</v>
      </c>
      <c r="U15" s="301" t="s">
        <v>49</v>
      </c>
      <c r="V15" s="301" t="s">
        <v>50</v>
      </c>
      <c r="W15" s="302" t="s">
        <v>51</v>
      </c>
      <c r="X15" s="293"/>
      <c r="AB15" s="321">
        <f t="shared" si="1"/>
        <v>158.14</v>
      </c>
    </row>
    <row r="16" ht="18.6" customHeight="1" spans="1:28">
      <c r="A16" s="6">
        <v>12</v>
      </c>
      <c r="B16" s="266">
        <v>21.2</v>
      </c>
      <c r="C16" s="267" t="s">
        <v>35</v>
      </c>
      <c r="D16" s="268">
        <v>205026</v>
      </c>
      <c r="E16" s="269">
        <v>0</v>
      </c>
      <c r="F16" s="269">
        <v>113.5</v>
      </c>
      <c r="G16" s="269">
        <v>0</v>
      </c>
      <c r="H16" s="270">
        <v>100</v>
      </c>
      <c r="I16" s="6">
        <v>4010</v>
      </c>
      <c r="J16" s="280">
        <v>54099.9999999985</v>
      </c>
      <c r="K16" s="277">
        <v>7188</v>
      </c>
      <c r="L16" s="277">
        <v>39</v>
      </c>
      <c r="M16" s="277">
        <v>3692</v>
      </c>
      <c r="N16" s="277">
        <v>1200</v>
      </c>
      <c r="O16" s="278">
        <v>2.25</v>
      </c>
      <c r="P16" s="278">
        <v>0</v>
      </c>
      <c r="Q16" s="287">
        <v>4993</v>
      </c>
      <c r="R16" s="288">
        <f t="shared" si="0"/>
        <v>200033</v>
      </c>
      <c r="S16" s="289"/>
      <c r="T16" s="303">
        <f>U16+V16+W16</f>
        <v>4662.46</v>
      </c>
      <c r="U16" s="300">
        <f>F36</f>
        <v>1242.1</v>
      </c>
      <c r="V16" s="300">
        <f>E36</f>
        <v>2390.36</v>
      </c>
      <c r="W16" s="300">
        <f>G36</f>
        <v>1030</v>
      </c>
      <c r="X16" s="293"/>
      <c r="AB16" s="321">
        <f t="shared" si="1"/>
        <v>113.5</v>
      </c>
    </row>
    <row r="17" ht="18.6" customHeight="1" spans="1:28">
      <c r="A17" s="6">
        <v>13</v>
      </c>
      <c r="B17" s="266">
        <v>19.7</v>
      </c>
      <c r="C17" s="267" t="s">
        <v>37</v>
      </c>
      <c r="D17" s="268">
        <v>209556</v>
      </c>
      <c r="E17" s="269">
        <v>111.32</v>
      </c>
      <c r="F17" s="269">
        <v>0</v>
      </c>
      <c r="G17" s="269">
        <v>0</v>
      </c>
      <c r="H17" s="270">
        <v>200</v>
      </c>
      <c r="I17" s="6">
        <v>3970</v>
      </c>
      <c r="J17" s="280">
        <v>54200.0000000007</v>
      </c>
      <c r="K17" s="277">
        <v>2724</v>
      </c>
      <c r="L17" s="277">
        <v>16</v>
      </c>
      <c r="M17" s="277">
        <v>4260</v>
      </c>
      <c r="N17" s="277">
        <v>1464</v>
      </c>
      <c r="O17" s="278">
        <v>2.21</v>
      </c>
      <c r="P17" s="278">
        <v>0</v>
      </c>
      <c r="Q17" s="287">
        <v>6078</v>
      </c>
      <c r="R17" s="288">
        <f t="shared" si="0"/>
        <v>203478</v>
      </c>
      <c r="S17" s="289"/>
      <c r="T17" s="297" t="s">
        <v>52</v>
      </c>
      <c r="U17" s="304">
        <v>22.8</v>
      </c>
      <c r="V17" s="304">
        <v>22.8</v>
      </c>
      <c r="W17" s="299"/>
      <c r="X17" s="293"/>
      <c r="AB17" s="321">
        <f t="shared" si="1"/>
        <v>111.32</v>
      </c>
    </row>
    <row r="18" ht="18.6" customHeight="1" spans="1:28">
      <c r="A18" s="6">
        <v>14</v>
      </c>
      <c r="B18" s="266">
        <v>20</v>
      </c>
      <c r="C18" s="267" t="s">
        <v>37</v>
      </c>
      <c r="D18" s="268">
        <v>209784</v>
      </c>
      <c r="E18" s="269">
        <v>148.3</v>
      </c>
      <c r="F18" s="269">
        <v>0</v>
      </c>
      <c r="G18" s="269">
        <v>15</v>
      </c>
      <c r="H18" s="270">
        <v>175</v>
      </c>
      <c r="I18" s="6">
        <v>3452</v>
      </c>
      <c r="J18" s="280">
        <v>55200.0000000044</v>
      </c>
      <c r="K18" s="277">
        <v>3192</v>
      </c>
      <c r="L18" s="277">
        <v>12</v>
      </c>
      <c r="M18" s="277">
        <v>3266</v>
      </c>
      <c r="N18" s="277">
        <v>1152</v>
      </c>
      <c r="O18" s="278">
        <v>1.86</v>
      </c>
      <c r="P18" s="278">
        <v>0</v>
      </c>
      <c r="Q18" s="287">
        <v>5517</v>
      </c>
      <c r="R18" s="288">
        <f t="shared" si="0"/>
        <v>204267</v>
      </c>
      <c r="S18" s="289"/>
      <c r="T18" s="303">
        <f>U18+V18</f>
        <v>82820.09</v>
      </c>
      <c r="U18" s="305">
        <f>ROUND(U16*U17,2)</f>
        <v>28319.88</v>
      </c>
      <c r="V18" s="302">
        <f>ROUND(V16*V17,2)</f>
        <v>54500.21</v>
      </c>
      <c r="W18" s="299"/>
      <c r="X18" s="293"/>
      <c r="AB18" s="321">
        <f t="shared" si="1"/>
        <v>163.3</v>
      </c>
    </row>
    <row r="19" ht="18.6" customHeight="1" spans="1:28">
      <c r="A19" s="6">
        <v>15</v>
      </c>
      <c r="B19" s="266">
        <v>21</v>
      </c>
      <c r="C19" s="267" t="s">
        <v>37</v>
      </c>
      <c r="D19" s="268">
        <v>213256</v>
      </c>
      <c r="E19" s="269">
        <v>183.82</v>
      </c>
      <c r="F19" s="269">
        <v>0</v>
      </c>
      <c r="G19" s="269">
        <v>0</v>
      </c>
      <c r="H19" s="270">
        <v>200</v>
      </c>
      <c r="I19" s="6">
        <v>3776</v>
      </c>
      <c r="J19" s="280">
        <v>54499.9999999891</v>
      </c>
      <c r="K19" s="277">
        <v>0</v>
      </c>
      <c r="L19" s="277">
        <v>0</v>
      </c>
      <c r="M19" s="277">
        <v>3195</v>
      </c>
      <c r="N19" s="277">
        <v>1104</v>
      </c>
      <c r="O19" s="278">
        <v>2.04</v>
      </c>
      <c r="P19" s="278">
        <v>0</v>
      </c>
      <c r="Q19" s="287">
        <v>5500</v>
      </c>
      <c r="R19" s="288">
        <f t="shared" si="0"/>
        <v>207756</v>
      </c>
      <c r="S19" s="289"/>
      <c r="T19" s="297" t="s">
        <v>53</v>
      </c>
      <c r="U19" s="301"/>
      <c r="V19" s="304">
        <v>0</v>
      </c>
      <c r="W19" s="299"/>
      <c r="X19" s="293"/>
      <c r="AB19" s="321">
        <f t="shared" si="1"/>
        <v>183.82</v>
      </c>
    </row>
    <row r="20" ht="18.6" customHeight="1" spans="1:28">
      <c r="A20" s="6">
        <v>16</v>
      </c>
      <c r="B20" s="266">
        <v>20.8</v>
      </c>
      <c r="C20" s="267" t="s">
        <v>37</v>
      </c>
      <c r="D20" s="268">
        <v>209726</v>
      </c>
      <c r="E20" s="269">
        <v>181.68</v>
      </c>
      <c r="F20" s="269">
        <v>0</v>
      </c>
      <c r="G20" s="269">
        <v>0</v>
      </c>
      <c r="H20" s="270">
        <v>200</v>
      </c>
      <c r="I20" s="6">
        <v>3474</v>
      </c>
      <c r="J20" s="280">
        <v>55599.9999999949</v>
      </c>
      <c r="K20" s="277">
        <v>0</v>
      </c>
      <c r="L20" s="277">
        <v>0</v>
      </c>
      <c r="M20" s="277">
        <v>1988</v>
      </c>
      <c r="N20" s="277">
        <v>720</v>
      </c>
      <c r="O20" s="278">
        <v>2.25</v>
      </c>
      <c r="P20" s="278">
        <v>0</v>
      </c>
      <c r="Q20" s="287">
        <v>5489</v>
      </c>
      <c r="R20" s="288">
        <f t="shared" si="0"/>
        <v>204237</v>
      </c>
      <c r="S20" s="289"/>
      <c r="T20" s="303">
        <f>U20+V20</f>
        <v>0</v>
      </c>
      <c r="U20" s="301"/>
      <c r="V20" s="302">
        <f>ROUND(V16*V19,2)</f>
        <v>0</v>
      </c>
      <c r="W20" s="299"/>
      <c r="X20" s="293"/>
      <c r="AB20" s="321">
        <f t="shared" si="1"/>
        <v>181.68</v>
      </c>
    </row>
    <row r="21" ht="18.6" customHeight="1" spans="1:28">
      <c r="A21" s="6">
        <v>17</v>
      </c>
      <c r="B21" s="266">
        <v>19.8</v>
      </c>
      <c r="C21" s="267" t="s">
        <v>40</v>
      </c>
      <c r="D21" s="268">
        <v>213119</v>
      </c>
      <c r="E21" s="269">
        <v>111.28</v>
      </c>
      <c r="F21" s="269">
        <v>37.78</v>
      </c>
      <c r="G21" s="269">
        <v>120</v>
      </c>
      <c r="H21" s="270">
        <v>200</v>
      </c>
      <c r="I21" s="6">
        <v>3918</v>
      </c>
      <c r="J21" s="280">
        <v>57600.0000000022</v>
      </c>
      <c r="K21" s="277">
        <v>492</v>
      </c>
      <c r="L21" s="277">
        <v>0</v>
      </c>
      <c r="M21" s="277">
        <v>1562</v>
      </c>
      <c r="N21" s="277">
        <v>552</v>
      </c>
      <c r="O21" s="278">
        <v>2.24</v>
      </c>
      <c r="P21" s="278">
        <v>0</v>
      </c>
      <c r="Q21" s="287">
        <v>5532</v>
      </c>
      <c r="R21" s="288">
        <f t="shared" si="0"/>
        <v>207587</v>
      </c>
      <c r="S21" s="289"/>
      <c r="T21" s="297" t="s">
        <v>54</v>
      </c>
      <c r="U21" s="306" t="s">
        <v>55</v>
      </c>
      <c r="V21" s="285">
        <f>V17+V19</f>
        <v>22.8</v>
      </c>
      <c r="W21" s="57" t="s">
        <v>56</v>
      </c>
      <c r="X21" s="293"/>
      <c r="AB21" s="321">
        <f t="shared" si="1"/>
        <v>269.06</v>
      </c>
    </row>
    <row r="22" ht="18.6" customHeight="1" spans="1:28">
      <c r="A22" s="6">
        <v>18</v>
      </c>
      <c r="B22" s="266">
        <v>21.6</v>
      </c>
      <c r="C22" s="267" t="s">
        <v>40</v>
      </c>
      <c r="D22" s="268">
        <v>213626</v>
      </c>
      <c r="E22" s="269">
        <v>108.98</v>
      </c>
      <c r="F22" s="269">
        <v>0</v>
      </c>
      <c r="G22" s="269">
        <v>0</v>
      </c>
      <c r="H22" s="270">
        <v>100</v>
      </c>
      <c r="I22" s="6">
        <v>3506</v>
      </c>
      <c r="J22" s="64">
        <v>61000.0000000036</v>
      </c>
      <c r="K22" s="277">
        <v>468</v>
      </c>
      <c r="L22" s="277">
        <v>2</v>
      </c>
      <c r="M22" s="277">
        <v>2982</v>
      </c>
      <c r="N22" s="277">
        <v>1032</v>
      </c>
      <c r="O22" s="278">
        <v>2.14</v>
      </c>
      <c r="P22" s="278">
        <v>0</v>
      </c>
      <c r="Q22" s="287">
        <v>5460</v>
      </c>
      <c r="R22" s="288">
        <f t="shared" si="0"/>
        <v>208166</v>
      </c>
      <c r="S22" s="289"/>
      <c r="T22" s="303">
        <f>T18+T20</f>
        <v>82820.09</v>
      </c>
      <c r="U22" s="306"/>
      <c r="V22" s="57"/>
      <c r="W22" s="307">
        <f>T16-E36-F36-G36</f>
        <v>0</v>
      </c>
      <c r="X22" s="293"/>
      <c r="AB22" s="321">
        <f t="shared" si="1"/>
        <v>108.98</v>
      </c>
    </row>
    <row r="23" ht="18.6" customHeight="1" spans="1:28">
      <c r="A23" s="6">
        <v>19</v>
      </c>
      <c r="B23" s="266">
        <v>21.8</v>
      </c>
      <c r="C23" s="267" t="s">
        <v>40</v>
      </c>
      <c r="D23" s="268">
        <v>201487</v>
      </c>
      <c r="E23" s="269">
        <v>111.4</v>
      </c>
      <c r="F23" s="269">
        <v>0</v>
      </c>
      <c r="G23" s="269">
        <v>4</v>
      </c>
      <c r="H23" s="270">
        <v>100</v>
      </c>
      <c r="I23" s="6">
        <v>3544</v>
      </c>
      <c r="J23" s="64">
        <v>59799.9999999956</v>
      </c>
      <c r="K23" s="277">
        <v>4440</v>
      </c>
      <c r="L23" s="277">
        <v>16</v>
      </c>
      <c r="M23" s="277">
        <v>4260</v>
      </c>
      <c r="N23" s="277">
        <v>1488</v>
      </c>
      <c r="O23" s="278">
        <v>3</v>
      </c>
      <c r="P23" s="278">
        <v>0</v>
      </c>
      <c r="Q23" s="287">
        <v>5504</v>
      </c>
      <c r="R23" s="288">
        <f t="shared" si="0"/>
        <v>195983</v>
      </c>
      <c r="S23" s="289"/>
      <c r="T23" s="290"/>
      <c r="U23" s="308"/>
      <c r="V23" s="57"/>
      <c r="W23" s="57"/>
      <c r="X23" s="57"/>
      <c r="AB23" s="321">
        <f t="shared" si="1"/>
        <v>115.4</v>
      </c>
    </row>
    <row r="24" ht="18.6" customHeight="1" spans="1:28">
      <c r="A24" s="6">
        <v>20</v>
      </c>
      <c r="B24" s="266">
        <v>21.5</v>
      </c>
      <c r="C24" s="267" t="s">
        <v>37</v>
      </c>
      <c r="D24" s="268">
        <v>179223</v>
      </c>
      <c r="E24" s="269">
        <v>74.46</v>
      </c>
      <c r="F24" s="269">
        <v>34.66</v>
      </c>
      <c r="G24" s="269">
        <v>0</v>
      </c>
      <c r="H24" s="270">
        <v>125</v>
      </c>
      <c r="I24" s="6">
        <v>4270</v>
      </c>
      <c r="J24" s="64">
        <v>54500.0000000073</v>
      </c>
      <c r="K24" s="277">
        <v>5040</v>
      </c>
      <c r="L24" s="277">
        <v>15</v>
      </c>
      <c r="M24" s="277">
        <v>3976</v>
      </c>
      <c r="N24" s="277">
        <v>1416</v>
      </c>
      <c r="O24" s="278">
        <v>2.26</v>
      </c>
      <c r="P24" s="278">
        <v>0</v>
      </c>
      <c r="Q24" s="287">
        <v>5496</v>
      </c>
      <c r="R24" s="288">
        <f t="shared" si="0"/>
        <v>173727</v>
      </c>
      <c r="S24" s="289"/>
      <c r="T24" s="290" t="s">
        <v>57</v>
      </c>
      <c r="U24" s="308" t="s">
        <v>58</v>
      </c>
      <c r="V24" s="309">
        <f>H36</f>
        <v>5000</v>
      </c>
      <c r="W24" s="57">
        <f>L36</f>
        <v>531</v>
      </c>
      <c r="X24" s="57"/>
      <c r="AB24" s="321">
        <f t="shared" si="1"/>
        <v>109.12</v>
      </c>
    </row>
    <row r="25" ht="18.6" customHeight="1" spans="1:28">
      <c r="A25" s="6">
        <v>21</v>
      </c>
      <c r="B25" s="266">
        <v>21.6</v>
      </c>
      <c r="C25" s="267" t="s">
        <v>37</v>
      </c>
      <c r="D25" s="268">
        <v>184240</v>
      </c>
      <c r="E25" s="269">
        <v>54.52</v>
      </c>
      <c r="F25" s="269">
        <v>10.2</v>
      </c>
      <c r="G25" s="269">
        <v>15</v>
      </c>
      <c r="H25" s="270">
        <v>100</v>
      </c>
      <c r="I25" s="6">
        <v>4922</v>
      </c>
      <c r="J25" s="280">
        <v>56700.0000000007</v>
      </c>
      <c r="K25" s="277">
        <v>3720</v>
      </c>
      <c r="L25" s="277">
        <v>10</v>
      </c>
      <c r="M25" s="277">
        <v>3266</v>
      </c>
      <c r="N25" s="277">
        <v>1152</v>
      </c>
      <c r="O25" s="278">
        <v>2.43</v>
      </c>
      <c r="P25" s="278">
        <v>0</v>
      </c>
      <c r="Q25" s="287">
        <v>5496</v>
      </c>
      <c r="R25" s="288">
        <f t="shared" si="0"/>
        <v>178744</v>
      </c>
      <c r="S25" s="289"/>
      <c r="T25" s="290"/>
      <c r="U25" s="308" t="s">
        <v>59</v>
      </c>
      <c r="V25" s="284">
        <f>汇总!F6</f>
        <v>4.87895932281637</v>
      </c>
      <c r="W25" s="284">
        <f>W24/R36*1000</f>
        <v>0.0921428043410887</v>
      </c>
      <c r="X25" s="57"/>
      <c r="AB25" s="321">
        <f t="shared" si="1"/>
        <v>79.72</v>
      </c>
    </row>
    <row r="26" ht="18.6" customHeight="1" spans="1:28">
      <c r="A26" s="6">
        <v>22</v>
      </c>
      <c r="B26" s="266">
        <v>21</v>
      </c>
      <c r="C26" s="267" t="s">
        <v>35</v>
      </c>
      <c r="D26" s="268">
        <v>208294</v>
      </c>
      <c r="E26" s="269">
        <v>0</v>
      </c>
      <c r="F26" s="269">
        <v>0</v>
      </c>
      <c r="G26" s="269">
        <v>120</v>
      </c>
      <c r="H26" s="270">
        <v>100</v>
      </c>
      <c r="I26" s="6">
        <v>3820</v>
      </c>
      <c r="J26" s="64">
        <v>55499.9999999927</v>
      </c>
      <c r="K26" s="277">
        <v>0</v>
      </c>
      <c r="L26" s="277">
        <v>0</v>
      </c>
      <c r="M26" s="277">
        <v>2840</v>
      </c>
      <c r="N26" s="277">
        <v>1008</v>
      </c>
      <c r="O26" s="278">
        <v>2.31</v>
      </c>
      <c r="P26" s="278">
        <v>0</v>
      </c>
      <c r="Q26" s="287">
        <v>5501</v>
      </c>
      <c r="R26" s="288">
        <f t="shared" si="0"/>
        <v>202793</v>
      </c>
      <c r="S26" s="289"/>
      <c r="T26" s="290" t="s">
        <v>10</v>
      </c>
      <c r="U26" s="308" t="s">
        <v>58</v>
      </c>
      <c r="V26" s="309">
        <f>K36</f>
        <v>115764</v>
      </c>
      <c r="W26" s="57"/>
      <c r="X26" s="57"/>
      <c r="AB26" s="321">
        <f t="shared" si="1"/>
        <v>120</v>
      </c>
    </row>
    <row r="27" ht="18.6" customHeight="1" spans="1:28">
      <c r="A27" s="6">
        <v>23</v>
      </c>
      <c r="B27" s="266">
        <v>22</v>
      </c>
      <c r="C27" s="267" t="s">
        <v>40</v>
      </c>
      <c r="D27" s="268">
        <v>210970</v>
      </c>
      <c r="E27" s="269">
        <v>109</v>
      </c>
      <c r="F27" s="269">
        <v>0</v>
      </c>
      <c r="G27" s="269">
        <v>15</v>
      </c>
      <c r="H27" s="270">
        <v>100</v>
      </c>
      <c r="I27" s="6">
        <v>4742</v>
      </c>
      <c r="J27" s="64">
        <v>55500.0000000109</v>
      </c>
      <c r="K27" s="277">
        <v>0</v>
      </c>
      <c r="L27" s="277">
        <v>0</v>
      </c>
      <c r="M27" s="277">
        <v>2556</v>
      </c>
      <c r="N27" s="277">
        <v>912</v>
      </c>
      <c r="O27" s="278">
        <v>1.79</v>
      </c>
      <c r="P27" s="278">
        <v>0</v>
      </c>
      <c r="Q27" s="287">
        <v>5383</v>
      </c>
      <c r="R27" s="288">
        <f t="shared" si="0"/>
        <v>205587</v>
      </c>
      <c r="S27" s="289"/>
      <c r="T27" s="290"/>
      <c r="U27" s="308" t="s">
        <v>60</v>
      </c>
      <c r="V27" s="307">
        <f>ROUND(K36/R36*1000,1)</f>
        <v>20.1</v>
      </c>
      <c r="W27" s="57"/>
      <c r="X27" s="57"/>
      <c r="AB27" s="321">
        <f t="shared" si="1"/>
        <v>124</v>
      </c>
    </row>
    <row r="28" ht="18.6" customHeight="1" spans="1:28">
      <c r="A28" s="6">
        <v>24</v>
      </c>
      <c r="B28" s="266">
        <v>21</v>
      </c>
      <c r="C28" s="267" t="s">
        <v>40</v>
      </c>
      <c r="D28" s="268">
        <v>209923</v>
      </c>
      <c r="E28" s="269">
        <v>53.34</v>
      </c>
      <c r="F28" s="269">
        <v>52.54</v>
      </c>
      <c r="G28" s="269">
        <v>0</v>
      </c>
      <c r="H28" s="270">
        <v>100</v>
      </c>
      <c r="I28" s="6">
        <v>4136</v>
      </c>
      <c r="J28" s="64">
        <v>56499.9999999964</v>
      </c>
      <c r="K28" s="277">
        <v>720</v>
      </c>
      <c r="L28" s="277">
        <v>2</v>
      </c>
      <c r="M28" s="277">
        <v>4260</v>
      </c>
      <c r="N28" s="277">
        <v>1512</v>
      </c>
      <c r="O28" s="278">
        <v>2.23</v>
      </c>
      <c r="P28" s="278">
        <v>0</v>
      </c>
      <c r="Q28" s="287">
        <v>5634</v>
      </c>
      <c r="R28" s="288">
        <f t="shared" si="0"/>
        <v>204289</v>
      </c>
      <c r="S28" s="289"/>
      <c r="T28" s="290" t="s">
        <v>12</v>
      </c>
      <c r="U28" s="308" t="s">
        <v>58</v>
      </c>
      <c r="V28" s="309">
        <f>M36</f>
        <v>89815</v>
      </c>
      <c r="W28" s="57"/>
      <c r="X28" s="57"/>
      <c r="AB28" s="321">
        <f t="shared" si="1"/>
        <v>105.88</v>
      </c>
    </row>
    <row r="29" ht="18.6" customHeight="1" spans="1:28">
      <c r="A29" s="6">
        <v>25</v>
      </c>
      <c r="B29" s="266">
        <v>20.8</v>
      </c>
      <c r="C29" s="267" t="s">
        <v>37</v>
      </c>
      <c r="D29" s="268">
        <v>193924</v>
      </c>
      <c r="E29" s="269">
        <v>0</v>
      </c>
      <c r="F29" s="269">
        <v>91.26</v>
      </c>
      <c r="G29" s="269">
        <v>0</v>
      </c>
      <c r="H29" s="270">
        <v>125</v>
      </c>
      <c r="I29" s="6">
        <v>4230</v>
      </c>
      <c r="J29" s="64">
        <v>57800.0000000065</v>
      </c>
      <c r="K29" s="277">
        <v>10080</v>
      </c>
      <c r="L29" s="277">
        <v>36</v>
      </c>
      <c r="M29" s="277">
        <v>3834</v>
      </c>
      <c r="N29" s="277">
        <v>1344</v>
      </c>
      <c r="O29" s="278">
        <v>1.63</v>
      </c>
      <c r="P29" s="278">
        <v>0</v>
      </c>
      <c r="Q29" s="287">
        <v>5481</v>
      </c>
      <c r="R29" s="288">
        <f t="shared" si="0"/>
        <v>188443</v>
      </c>
      <c r="S29" s="289"/>
      <c r="T29" s="290"/>
      <c r="U29" s="308" t="s">
        <v>60</v>
      </c>
      <c r="V29" s="310">
        <f>ROUND(M36/R36*1000,1)</f>
        <v>15.6</v>
      </c>
      <c r="W29" s="57"/>
      <c r="X29" s="57"/>
      <c r="AB29" s="321">
        <f t="shared" si="1"/>
        <v>91.26</v>
      </c>
    </row>
    <row r="30" ht="18.6" customHeight="1" spans="1:28">
      <c r="A30" s="6">
        <v>26</v>
      </c>
      <c r="B30" s="266">
        <v>21</v>
      </c>
      <c r="C30" s="267" t="s">
        <v>40</v>
      </c>
      <c r="D30" s="268">
        <v>209776</v>
      </c>
      <c r="E30" s="269">
        <v>91.56</v>
      </c>
      <c r="F30" s="269">
        <v>0</v>
      </c>
      <c r="G30" s="269">
        <v>0</v>
      </c>
      <c r="H30" s="270">
        <v>200</v>
      </c>
      <c r="I30" s="6">
        <v>4422</v>
      </c>
      <c r="J30" s="64">
        <v>59099.9999999985</v>
      </c>
      <c r="K30" s="277">
        <v>4680</v>
      </c>
      <c r="L30" s="277">
        <v>17</v>
      </c>
      <c r="M30" s="277">
        <v>4260</v>
      </c>
      <c r="N30" s="277">
        <v>1512</v>
      </c>
      <c r="O30" s="281">
        <v>1.57</v>
      </c>
      <c r="P30" s="278">
        <v>0</v>
      </c>
      <c r="Q30" s="287">
        <v>5522</v>
      </c>
      <c r="R30" s="288">
        <f t="shared" si="0"/>
        <v>204254</v>
      </c>
      <c r="S30" s="289"/>
      <c r="T30" s="290" t="s">
        <v>13</v>
      </c>
      <c r="U30" s="308" t="s">
        <v>58</v>
      </c>
      <c r="V30" s="309">
        <f>处理量!N36</f>
        <v>31704</v>
      </c>
      <c r="W30" s="57"/>
      <c r="X30" s="57"/>
      <c r="AB30" s="321">
        <f t="shared" si="1"/>
        <v>91.56</v>
      </c>
    </row>
    <row r="31" ht="18.6" customHeight="1" spans="1:28">
      <c r="A31" s="6">
        <v>27</v>
      </c>
      <c r="B31" s="266">
        <v>22</v>
      </c>
      <c r="C31" s="267" t="s">
        <v>35</v>
      </c>
      <c r="D31" s="268">
        <v>208637</v>
      </c>
      <c r="E31" s="269">
        <v>73.78</v>
      </c>
      <c r="F31" s="269">
        <v>0</v>
      </c>
      <c r="G31" s="269">
        <v>120</v>
      </c>
      <c r="H31" s="270">
        <v>250</v>
      </c>
      <c r="I31" s="6">
        <v>2916</v>
      </c>
      <c r="J31" s="64">
        <v>54599.9999999913</v>
      </c>
      <c r="K31" s="277">
        <v>7320</v>
      </c>
      <c r="L31" s="277">
        <v>23</v>
      </c>
      <c r="M31" s="277">
        <v>4473</v>
      </c>
      <c r="N31" s="277">
        <v>1560</v>
      </c>
      <c r="O31" s="281">
        <v>1.72</v>
      </c>
      <c r="P31" s="278">
        <v>0</v>
      </c>
      <c r="Q31" s="287">
        <v>5502</v>
      </c>
      <c r="R31" s="288">
        <f t="shared" si="0"/>
        <v>203135</v>
      </c>
      <c r="S31" s="289"/>
      <c r="T31" s="290"/>
      <c r="U31" s="308" t="s">
        <v>60</v>
      </c>
      <c r="V31" s="307">
        <f>ROUND(N36/R36*1000,2)</f>
        <v>5.5</v>
      </c>
      <c r="W31" s="57"/>
      <c r="X31" s="57"/>
      <c r="AB31" s="321">
        <f t="shared" si="1"/>
        <v>193.78</v>
      </c>
    </row>
    <row r="32" ht="18.6" customHeight="1" spans="1:28">
      <c r="A32" s="6">
        <v>28</v>
      </c>
      <c r="B32" s="266">
        <v>22</v>
      </c>
      <c r="C32" s="267" t="s">
        <v>40</v>
      </c>
      <c r="D32" s="268">
        <v>208254</v>
      </c>
      <c r="E32" s="269">
        <v>140.5</v>
      </c>
      <c r="F32" s="269">
        <v>0</v>
      </c>
      <c r="G32" s="269">
        <v>45</v>
      </c>
      <c r="H32" s="270">
        <v>225</v>
      </c>
      <c r="I32" s="6">
        <v>4182</v>
      </c>
      <c r="J32" s="64">
        <v>54600.0000000095</v>
      </c>
      <c r="K32" s="277">
        <v>2760</v>
      </c>
      <c r="L32" s="277">
        <v>9</v>
      </c>
      <c r="M32" s="277">
        <v>3337</v>
      </c>
      <c r="N32" s="277">
        <v>1200</v>
      </c>
      <c r="O32" s="281">
        <v>3.14</v>
      </c>
      <c r="P32" s="278">
        <v>0</v>
      </c>
      <c r="Q32" s="287">
        <v>5523</v>
      </c>
      <c r="R32" s="288">
        <f t="shared" si="0"/>
        <v>202731</v>
      </c>
      <c r="S32" s="289"/>
      <c r="T32" s="290" t="s">
        <v>61</v>
      </c>
      <c r="U32" s="308" t="s">
        <v>62</v>
      </c>
      <c r="V32" s="57">
        <f>O36</f>
        <v>70.66</v>
      </c>
      <c r="W32" s="57"/>
      <c r="X32" s="57"/>
      <c r="AB32" s="321">
        <f t="shared" si="1"/>
        <v>185.5</v>
      </c>
    </row>
    <row r="33" ht="18.6" customHeight="1" spans="1:28">
      <c r="A33" s="6">
        <v>29</v>
      </c>
      <c r="B33" s="266">
        <v>22.6</v>
      </c>
      <c r="C33" s="267" t="s">
        <v>40</v>
      </c>
      <c r="D33" s="268">
        <v>209342</v>
      </c>
      <c r="E33" s="269">
        <v>127.38</v>
      </c>
      <c r="F33" s="269">
        <v>0</v>
      </c>
      <c r="G33" s="269">
        <v>45</v>
      </c>
      <c r="H33" s="270">
        <v>250</v>
      </c>
      <c r="I33" s="6">
        <v>4314</v>
      </c>
      <c r="J33" s="64">
        <v>55900.0000000015</v>
      </c>
      <c r="K33" s="277">
        <v>3480</v>
      </c>
      <c r="L33" s="277">
        <v>8</v>
      </c>
      <c r="M33" s="277">
        <v>2840</v>
      </c>
      <c r="N33" s="277">
        <v>1032</v>
      </c>
      <c r="O33" s="281">
        <v>2.74</v>
      </c>
      <c r="P33" s="278">
        <v>0</v>
      </c>
      <c r="Q33" s="287">
        <v>5502</v>
      </c>
      <c r="R33" s="288">
        <f t="shared" si="0"/>
        <v>203840</v>
      </c>
      <c r="S33" s="289"/>
      <c r="T33" s="290"/>
      <c r="U33" s="308" t="s">
        <v>60</v>
      </c>
      <c r="V33" s="307">
        <f>ROUND(V32/R36*1000000,2)</f>
        <v>12.26</v>
      </c>
      <c r="W33" s="57"/>
      <c r="X33" s="57"/>
      <c r="AB33" s="321">
        <f t="shared" si="1"/>
        <v>172.38</v>
      </c>
    </row>
    <row r="34" ht="18.6" customHeight="1" spans="1:28">
      <c r="A34" s="6">
        <v>30</v>
      </c>
      <c r="B34" s="266">
        <v>22.7</v>
      </c>
      <c r="C34" s="267" t="s">
        <v>40</v>
      </c>
      <c r="D34" s="268">
        <v>207171</v>
      </c>
      <c r="E34" s="269">
        <v>160.22</v>
      </c>
      <c r="F34" s="269">
        <v>0</v>
      </c>
      <c r="G34" s="269">
        <v>15</v>
      </c>
      <c r="H34" s="270">
        <v>175</v>
      </c>
      <c r="I34" s="6">
        <v>4372</v>
      </c>
      <c r="J34" s="64">
        <v>51899.9999999869</v>
      </c>
      <c r="K34" s="277">
        <v>0</v>
      </c>
      <c r="L34" s="277">
        <v>0</v>
      </c>
      <c r="M34" s="277">
        <v>2414</v>
      </c>
      <c r="N34" s="277">
        <v>888</v>
      </c>
      <c r="O34" s="281">
        <v>2.34</v>
      </c>
      <c r="P34" s="278">
        <v>0</v>
      </c>
      <c r="Q34" s="287">
        <v>5461</v>
      </c>
      <c r="R34" s="288">
        <f t="shared" si="0"/>
        <v>201710</v>
      </c>
      <c r="S34" s="289"/>
      <c r="T34" s="290"/>
      <c r="U34" s="308"/>
      <c r="V34" s="57"/>
      <c r="W34" s="57"/>
      <c r="X34" s="57"/>
      <c r="AB34" s="321">
        <f t="shared" si="1"/>
        <v>175.22</v>
      </c>
    </row>
    <row r="35" ht="19" customHeight="1" spans="1:20">
      <c r="A35" s="5" t="s">
        <v>63</v>
      </c>
      <c r="B35" s="61">
        <f>AVERAGE(B5:B34)</f>
        <v>20.8333333333333</v>
      </c>
      <c r="C35" s="8" t="s">
        <v>64</v>
      </c>
      <c r="D35" s="271">
        <f>AVERAGE(D5:D34)</f>
        <v>197572.5</v>
      </c>
      <c r="E35" s="172">
        <f>AVERAGE(E5:E34)</f>
        <v>79.6786666666667</v>
      </c>
      <c r="F35" s="172">
        <f>AVERAGE(F5:F34)</f>
        <v>41.4033333333333</v>
      </c>
      <c r="G35" s="172">
        <f>AVERAGE(G5:G34)</f>
        <v>34.3333333333333</v>
      </c>
      <c r="H35" s="271">
        <f t="shared" ref="H35:Q35" si="2">AVERAGE(H5:H34)</f>
        <v>166.666666666667</v>
      </c>
      <c r="I35" s="271">
        <f t="shared" si="2"/>
        <v>4054.86666666667</v>
      </c>
      <c r="J35" s="271">
        <f t="shared" si="2"/>
        <v>54766.6666666664</v>
      </c>
      <c r="K35" s="271">
        <f t="shared" si="2"/>
        <v>3858.8</v>
      </c>
      <c r="L35" s="271">
        <f t="shared" si="2"/>
        <v>17.7</v>
      </c>
      <c r="M35" s="271">
        <f t="shared" si="2"/>
        <v>2993.83333333333</v>
      </c>
      <c r="N35" s="271">
        <f t="shared" si="2"/>
        <v>1056.8</v>
      </c>
      <c r="O35" s="172">
        <f t="shared" si="2"/>
        <v>2.35533333333333</v>
      </c>
      <c r="P35" s="172">
        <f t="shared" si="2"/>
        <v>0</v>
      </c>
      <c r="Q35" s="271">
        <f t="shared" si="2"/>
        <v>5479.36666666667</v>
      </c>
      <c r="R35" s="311">
        <f t="shared" si="0"/>
        <v>192093.133333333</v>
      </c>
      <c r="S35" s="312"/>
      <c r="T35" s="313"/>
    </row>
    <row r="36" ht="17" customHeight="1" spans="1:28">
      <c r="A36" s="5" t="s">
        <v>65</v>
      </c>
      <c r="B36" s="6" t="s">
        <v>64</v>
      </c>
      <c r="C36" s="6" t="s">
        <v>64</v>
      </c>
      <c r="D36" s="272">
        <f>SUM(D5:D34)</f>
        <v>5927175</v>
      </c>
      <c r="E36" s="273">
        <f>SUM(E5:E34)</f>
        <v>2390.36</v>
      </c>
      <c r="F36" s="273">
        <f>SUM(F5:F34)</f>
        <v>1242.1</v>
      </c>
      <c r="G36" s="273">
        <f>SUM(G5:G34)</f>
        <v>1030</v>
      </c>
      <c r="H36" s="272">
        <f>SUM(H5:H34)</f>
        <v>5000</v>
      </c>
      <c r="I36" s="6" t="s">
        <v>64</v>
      </c>
      <c r="J36" s="271">
        <f t="shared" ref="J36:R36" si="3">SUM(J5:J34)</f>
        <v>1642999.99999999</v>
      </c>
      <c r="K36" s="271">
        <f t="shared" si="3"/>
        <v>115764</v>
      </c>
      <c r="L36" s="271">
        <f t="shared" si="3"/>
        <v>531</v>
      </c>
      <c r="M36" s="271">
        <f t="shared" si="3"/>
        <v>89815</v>
      </c>
      <c r="N36" s="271">
        <f t="shared" si="3"/>
        <v>31704</v>
      </c>
      <c r="O36" s="172">
        <f t="shared" si="3"/>
        <v>70.66</v>
      </c>
      <c r="P36" s="172">
        <f t="shared" si="3"/>
        <v>0</v>
      </c>
      <c r="Q36" s="271">
        <f t="shared" si="3"/>
        <v>164381</v>
      </c>
      <c r="R36" s="271">
        <f t="shared" si="3"/>
        <v>5762794</v>
      </c>
      <c r="S36" s="314"/>
      <c r="T36" s="315"/>
      <c r="AB36" s="3">
        <f>SUM(AB5:AB35)</f>
        <v>4662.46</v>
      </c>
    </row>
    <row r="37" ht="18.6" customHeight="1" spans="1:18">
      <c r="A37" s="274" t="s">
        <v>66</v>
      </c>
      <c r="B37" s="274"/>
      <c r="C37" s="274"/>
      <c r="D37" s="274"/>
      <c r="E37" s="275"/>
      <c r="F37" s="275"/>
      <c r="I37" s="282" t="s">
        <v>67</v>
      </c>
      <c r="Q37" s="316" t="s">
        <v>68</v>
      </c>
      <c r="R37" s="317">
        <v>44291</v>
      </c>
    </row>
    <row r="38" ht="18.6" customHeight="1" spans="13:13">
      <c r="M38" s="257">
        <f>M36*0.31</f>
        <v>27842.65</v>
      </c>
    </row>
    <row r="39" spans="7:18">
      <c r="G39" s="257"/>
      <c r="H39" s="257"/>
      <c r="Q39" s="257" t="s">
        <v>69</v>
      </c>
      <c r="R39" s="257">
        <f>MAX(R5:R34)</f>
        <v>208889</v>
      </c>
    </row>
    <row r="40" spans="7:18">
      <c r="G40" s="257"/>
      <c r="H40" s="257"/>
      <c r="O40" s="257">
        <f>O36*1000</f>
        <v>70660</v>
      </c>
      <c r="Q40" s="257" t="s">
        <v>70</v>
      </c>
      <c r="R40" s="257">
        <f>MIN(R5:R34)</f>
        <v>117644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4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workbookViewId="0">
      <selection activeCell="C13" sqref="C13:D13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29" width="9" style="27"/>
    <col min="30" max="16384" width="8.75" style="27"/>
  </cols>
  <sheetData>
    <row r="1" ht="18.75" spans="1:13">
      <c r="A1" s="201" t="s">
        <v>71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</row>
    <row r="2" s="197" customFormat="1" ht="20.1" customHeight="1" spans="1:13">
      <c r="A2" s="202">
        <v>44287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="197" customFormat="1" ht="24" customHeight="1" spans="1:18">
      <c r="A3" s="203" t="s">
        <v>72</v>
      </c>
      <c r="B3" s="204" t="s">
        <v>73</v>
      </c>
      <c r="C3" s="205">
        <f>处理量!R36</f>
        <v>5762794</v>
      </c>
      <c r="D3" s="206" t="s">
        <v>74</v>
      </c>
      <c r="E3" s="204" t="s">
        <v>75</v>
      </c>
      <c r="F3" s="207">
        <f>处理量!E36+处理量!F36+处理量!G36</f>
        <v>4662.46</v>
      </c>
      <c r="G3" s="203" t="s">
        <v>76</v>
      </c>
      <c r="H3" s="204" t="s">
        <v>77</v>
      </c>
      <c r="I3" s="204"/>
      <c r="J3" s="37">
        <f>处理量!J36</f>
        <v>1642999.99999999</v>
      </c>
      <c r="K3" s="206" t="s">
        <v>78</v>
      </c>
      <c r="L3" s="204" t="s">
        <v>79</v>
      </c>
      <c r="M3" s="241">
        <f>J3/C3</f>
        <v>0.285104759948038</v>
      </c>
      <c r="P3" s="197" t="s">
        <v>80</v>
      </c>
      <c r="Q3" s="197">
        <v>1747.5</v>
      </c>
      <c r="R3" s="197">
        <f>J5-Q3</f>
        <v>3662.5</v>
      </c>
    </row>
    <row r="4" s="197" customFormat="1" ht="24" customHeight="1" spans="1:17">
      <c r="A4" s="203"/>
      <c r="B4" s="204" t="s">
        <v>81</v>
      </c>
      <c r="C4" s="208">
        <f>处理量!R35</f>
        <v>192093.133333333</v>
      </c>
      <c r="D4" s="209"/>
      <c r="E4" s="204" t="s">
        <v>82</v>
      </c>
      <c r="F4" s="210">
        <f>处理量!H36</f>
        <v>5000</v>
      </c>
      <c r="G4" s="203"/>
      <c r="H4" s="204" t="s">
        <v>83</v>
      </c>
      <c r="I4" s="204"/>
      <c r="J4" s="210">
        <f>J3/M15</f>
        <v>54766.6666666664</v>
      </c>
      <c r="K4" s="209"/>
      <c r="L4" s="204" t="s">
        <v>84</v>
      </c>
      <c r="M4" s="242">
        <f>J3/I12</f>
        <v>1.47799253472285</v>
      </c>
      <c r="P4" s="197" t="s">
        <v>85</v>
      </c>
      <c r="Q4" s="197">
        <v>39804</v>
      </c>
    </row>
    <row r="5" s="197" customFormat="1" ht="24" customHeight="1" spans="1:13">
      <c r="A5" s="203"/>
      <c r="B5" s="204"/>
      <c r="C5" s="211"/>
      <c r="D5" s="209"/>
      <c r="E5" s="204" t="s">
        <v>86</v>
      </c>
      <c r="F5" s="212">
        <f>进出水!T37</f>
        <v>78.02</v>
      </c>
      <c r="G5" s="203"/>
      <c r="H5" s="204" t="s">
        <v>87</v>
      </c>
      <c r="I5" s="204"/>
      <c r="J5" s="243">
        <v>5410</v>
      </c>
      <c r="K5" s="209"/>
      <c r="L5" s="204"/>
      <c r="M5" s="244"/>
    </row>
    <row r="6" s="197" customFormat="1" ht="24" customHeight="1" spans="1:13">
      <c r="A6" s="203"/>
      <c r="B6" s="204" t="s">
        <v>88</v>
      </c>
      <c r="C6" s="213">
        <f>处理量!R39</f>
        <v>208889</v>
      </c>
      <c r="D6" s="209"/>
      <c r="E6" s="203" t="s">
        <v>89</v>
      </c>
      <c r="F6" s="207">
        <f>F4/(F3*(100-F5)/100)</f>
        <v>4.87895932281637</v>
      </c>
      <c r="G6" s="206" t="s">
        <v>90</v>
      </c>
      <c r="H6" s="204" t="s">
        <v>91</v>
      </c>
      <c r="I6" s="204"/>
      <c r="J6" s="216">
        <f>处理量!M36/1000</f>
        <v>89.815</v>
      </c>
      <c r="K6" s="209"/>
      <c r="L6" s="204" t="s">
        <v>92</v>
      </c>
      <c r="M6" s="216">
        <f>J3/I13</f>
        <v>2.50091894691261</v>
      </c>
    </row>
    <row r="7" s="197" customFormat="1" ht="24" customHeight="1" spans="1:13">
      <c r="A7" s="203"/>
      <c r="B7" s="204" t="s">
        <v>93</v>
      </c>
      <c r="C7" s="37">
        <f>处理量!R40</f>
        <v>117644</v>
      </c>
      <c r="D7" s="214"/>
      <c r="E7" s="203" t="s">
        <v>94</v>
      </c>
      <c r="F7" s="215">
        <f>F3*(100-F5)/100*1000/(C3/1000)</f>
        <v>177.831917642727</v>
      </c>
      <c r="G7" s="209"/>
      <c r="H7" s="204" t="s">
        <v>95</v>
      </c>
      <c r="I7" s="204"/>
      <c r="J7" s="230">
        <f>J6*1000/(C3/1000)</f>
        <v>15.5853219809696</v>
      </c>
      <c r="K7" s="209"/>
      <c r="L7" s="245" t="s">
        <v>96</v>
      </c>
      <c r="M7" s="216">
        <f>J3/I14</f>
        <v>2.18186852336449</v>
      </c>
    </row>
    <row r="8" s="197" customFormat="1" ht="24" customHeight="1" spans="1:13">
      <c r="A8" s="203"/>
      <c r="B8" s="204" t="s">
        <v>97</v>
      </c>
      <c r="C8" s="216">
        <f>C4/200000*100</f>
        <v>96.0465666666667</v>
      </c>
      <c r="D8" s="203" t="s">
        <v>98</v>
      </c>
      <c r="E8" s="204" t="s">
        <v>99</v>
      </c>
      <c r="F8" s="216">
        <f>处理量!K36/1000</f>
        <v>115.764</v>
      </c>
      <c r="G8" s="209"/>
      <c r="H8" s="204" t="s">
        <v>100</v>
      </c>
      <c r="I8" s="204"/>
      <c r="J8" s="216">
        <f>处理量!N36/1000</f>
        <v>31.704</v>
      </c>
      <c r="K8" s="246" t="s">
        <v>101</v>
      </c>
      <c r="L8" s="225" t="s">
        <v>102</v>
      </c>
      <c r="M8" s="247">
        <f>处理量!O36</f>
        <v>70.66</v>
      </c>
    </row>
    <row r="9" s="197" customFormat="1" ht="24" customHeight="1" spans="1:13">
      <c r="A9" s="203"/>
      <c r="B9" s="217" t="s">
        <v>103</v>
      </c>
      <c r="C9" s="218">
        <f>处理量!B35</f>
        <v>20.8333333333333</v>
      </c>
      <c r="D9" s="203"/>
      <c r="E9" s="204" t="s">
        <v>95</v>
      </c>
      <c r="F9" s="216">
        <f>F8*1000/(C3/1000)</f>
        <v>20.0881725079883</v>
      </c>
      <c r="G9" s="214"/>
      <c r="H9" s="204" t="s">
        <v>95</v>
      </c>
      <c r="I9" s="204"/>
      <c r="J9" s="207">
        <f>J8*1000/(C3/1000)</f>
        <v>5.50149805806003</v>
      </c>
      <c r="K9" s="222"/>
      <c r="L9" s="37" t="s">
        <v>95</v>
      </c>
      <c r="M9" s="247">
        <f>M8*1000000/C3</f>
        <v>12.2614134740891</v>
      </c>
    </row>
    <row r="10" s="197" customFormat="1" ht="24" customHeight="1" spans="1:13">
      <c r="A10" s="203" t="s">
        <v>104</v>
      </c>
      <c r="B10" s="219" t="s">
        <v>105</v>
      </c>
      <c r="C10" s="220" t="s">
        <v>106</v>
      </c>
      <c r="D10" s="221"/>
      <c r="E10" s="220" t="s">
        <v>107</v>
      </c>
      <c r="F10" s="221"/>
      <c r="G10" s="220" t="s">
        <v>108</v>
      </c>
      <c r="H10" s="221"/>
      <c r="I10" s="220" t="s">
        <v>109</v>
      </c>
      <c r="J10" s="221"/>
      <c r="K10" s="206" t="s">
        <v>110</v>
      </c>
      <c r="L10" s="225" t="s">
        <v>102</v>
      </c>
      <c r="M10" s="37">
        <v>0</v>
      </c>
    </row>
    <row r="11" s="197" customFormat="1" ht="24" customHeight="1" spans="1:13">
      <c r="A11" s="203"/>
      <c r="B11" s="222"/>
      <c r="C11" s="223"/>
      <c r="D11" s="224"/>
      <c r="E11" s="223"/>
      <c r="F11" s="224"/>
      <c r="G11" s="223"/>
      <c r="H11" s="224"/>
      <c r="I11" s="223"/>
      <c r="J11" s="224"/>
      <c r="K11" s="214"/>
      <c r="L11" s="37" t="s">
        <v>95</v>
      </c>
      <c r="M11" s="37">
        <v>0</v>
      </c>
    </row>
    <row r="12" s="197" customFormat="1" ht="24" customHeight="1" spans="1:19">
      <c r="A12" s="203"/>
      <c r="B12" s="225" t="s">
        <v>111</v>
      </c>
      <c r="C12" s="210">
        <f>进出水!B37</f>
        <v>221</v>
      </c>
      <c r="D12" s="210"/>
      <c r="E12" s="226">
        <f>进出水!N37</f>
        <v>28.1</v>
      </c>
      <c r="F12" s="227"/>
      <c r="G12" s="226">
        <f t="shared" ref="G12:G17" si="0">(C12-E12)/C12*100</f>
        <v>87.2850678733032</v>
      </c>
      <c r="H12" s="227"/>
      <c r="I12" s="210">
        <f>$C$3*(C12-E12)/1000</f>
        <v>1111642.9626</v>
      </c>
      <c r="J12" s="210"/>
      <c r="K12" s="203" t="s">
        <v>112</v>
      </c>
      <c r="L12" s="204" t="s">
        <v>25</v>
      </c>
      <c r="M12" s="37">
        <f>处理量!V16</f>
        <v>2390.36</v>
      </c>
      <c r="P12" s="248">
        <f t="shared" ref="P12:P17" si="1">ROUND(E12,1)</f>
        <v>28.1</v>
      </c>
      <c r="Q12" s="256">
        <f>C3</f>
        <v>5762794</v>
      </c>
      <c r="R12" s="248">
        <f t="shared" ref="R12:R17" si="2">P12*Q12/1000000</f>
        <v>161.9345114</v>
      </c>
      <c r="S12" s="225" t="s">
        <v>111</v>
      </c>
    </row>
    <row r="13" s="197" customFormat="1" ht="24" customHeight="1" spans="1:19">
      <c r="A13" s="203"/>
      <c r="B13" s="225" t="s">
        <v>113</v>
      </c>
      <c r="C13" s="210">
        <f>进出水!C37</f>
        <v>115</v>
      </c>
      <c r="D13" s="210"/>
      <c r="E13" s="228" t="str">
        <f>[1]进出水!O38</f>
        <v>&lt;2</v>
      </c>
      <c r="F13" s="229"/>
      <c r="G13" s="226">
        <f>(C13-1)/C13*100</f>
        <v>99.1304347826087</v>
      </c>
      <c r="H13" s="227"/>
      <c r="I13" s="210">
        <f>$C$3*(C13-1)/1000</f>
        <v>656958.516</v>
      </c>
      <c r="J13" s="210"/>
      <c r="K13" s="203"/>
      <c r="L13" s="34" t="s">
        <v>26</v>
      </c>
      <c r="M13" s="249">
        <f>处理量!U16</f>
        <v>1242.1</v>
      </c>
      <c r="P13" s="250">
        <v>1</v>
      </c>
      <c r="Q13" s="256">
        <f t="shared" ref="Q13:Q17" si="3">Q12</f>
        <v>5762794</v>
      </c>
      <c r="R13" s="248">
        <f t="shared" si="2"/>
        <v>5.762794</v>
      </c>
      <c r="S13" s="225" t="s">
        <v>113</v>
      </c>
    </row>
    <row r="14" s="197" customFormat="1" ht="24" customHeight="1" spans="1:19">
      <c r="A14" s="203"/>
      <c r="B14" s="225" t="s">
        <v>114</v>
      </c>
      <c r="C14" s="210">
        <f>进出水!D37</f>
        <v>136</v>
      </c>
      <c r="D14" s="210"/>
      <c r="E14" s="228">
        <f>进出水!P37</f>
        <v>5.33</v>
      </c>
      <c r="F14" s="229"/>
      <c r="G14" s="226">
        <f t="shared" si="0"/>
        <v>96.0808823529412</v>
      </c>
      <c r="H14" s="227"/>
      <c r="I14" s="210">
        <f>$C$3*(C14-E14)/1000</f>
        <v>753024.29198</v>
      </c>
      <c r="J14" s="210"/>
      <c r="K14" s="203"/>
      <c r="L14" s="34" t="s">
        <v>115</v>
      </c>
      <c r="M14" s="249">
        <f>处理量!W16</f>
        <v>1030</v>
      </c>
      <c r="P14" s="248">
        <f t="shared" si="1"/>
        <v>5.3</v>
      </c>
      <c r="Q14" s="256">
        <f t="shared" si="3"/>
        <v>5762794</v>
      </c>
      <c r="R14" s="248">
        <f t="shared" si="2"/>
        <v>30.5428082</v>
      </c>
      <c r="S14" s="225" t="s">
        <v>114</v>
      </c>
    </row>
    <row r="15" s="197" customFormat="1" ht="24" customHeight="1" spans="1:19">
      <c r="A15" s="203"/>
      <c r="B15" s="225" t="s">
        <v>116</v>
      </c>
      <c r="C15" s="207">
        <f>进出水!E37</f>
        <v>2.78</v>
      </c>
      <c r="D15" s="207"/>
      <c r="E15" s="228">
        <f>进出水!Q37</f>
        <v>0.11</v>
      </c>
      <c r="F15" s="229"/>
      <c r="G15" s="226">
        <f t="shared" si="0"/>
        <v>96.0431654676259</v>
      </c>
      <c r="H15" s="227"/>
      <c r="I15" s="210">
        <f>$C$3*(C15-E15)/1000</f>
        <v>15386.65998</v>
      </c>
      <c r="J15" s="210"/>
      <c r="K15" s="206" t="s">
        <v>117</v>
      </c>
      <c r="L15" s="251" t="s">
        <v>118</v>
      </c>
      <c r="M15" s="36">
        <v>30</v>
      </c>
      <c r="P15" s="248">
        <f t="shared" si="1"/>
        <v>0.1</v>
      </c>
      <c r="Q15" s="256">
        <f t="shared" si="3"/>
        <v>5762794</v>
      </c>
      <c r="R15" s="248">
        <f t="shared" si="2"/>
        <v>0.5762794</v>
      </c>
      <c r="S15" s="225" t="s">
        <v>116</v>
      </c>
    </row>
    <row r="16" s="197" customFormat="1" ht="24" customHeight="1" spans="1:19">
      <c r="A16" s="203"/>
      <c r="B16" s="225" t="s">
        <v>119</v>
      </c>
      <c r="C16" s="230">
        <f>进出水!G37</f>
        <v>25.8</v>
      </c>
      <c r="D16" s="230"/>
      <c r="E16" s="228">
        <f>进出水!S37</f>
        <v>7</v>
      </c>
      <c r="F16" s="229"/>
      <c r="G16" s="226">
        <f t="shared" si="0"/>
        <v>72.8682170542636</v>
      </c>
      <c r="H16" s="227"/>
      <c r="I16" s="210">
        <f>$C$3*(C16-E16)/1000</f>
        <v>108340.5272</v>
      </c>
      <c r="J16" s="210"/>
      <c r="K16" s="209"/>
      <c r="L16" s="252" t="s">
        <v>120</v>
      </c>
      <c r="M16" s="37">
        <v>30</v>
      </c>
      <c r="P16" s="248">
        <f t="shared" si="1"/>
        <v>7</v>
      </c>
      <c r="Q16" s="256">
        <f t="shared" si="3"/>
        <v>5762794</v>
      </c>
      <c r="R16" s="248">
        <f t="shared" si="2"/>
        <v>40.339558</v>
      </c>
      <c r="S16" s="225" t="s">
        <v>119</v>
      </c>
    </row>
    <row r="17" s="197" customFormat="1" ht="24" customHeight="1" spans="1:19">
      <c r="A17" s="203"/>
      <c r="B17" s="225" t="s">
        <v>121</v>
      </c>
      <c r="C17" s="230">
        <f>进出水!F37</f>
        <v>19.6</v>
      </c>
      <c r="D17" s="230"/>
      <c r="E17" s="228">
        <f>进出水!R37</f>
        <v>0.44</v>
      </c>
      <c r="F17" s="229"/>
      <c r="G17" s="226">
        <f t="shared" si="0"/>
        <v>97.7551020408163</v>
      </c>
      <c r="H17" s="227"/>
      <c r="I17" s="210">
        <f>$C$3*(C17-E17)/1000</f>
        <v>110415.13304</v>
      </c>
      <c r="J17" s="210"/>
      <c r="K17" s="209"/>
      <c r="L17" s="252" t="s">
        <v>122</v>
      </c>
      <c r="M17" s="36">
        <v>30</v>
      </c>
      <c r="P17" s="248">
        <f t="shared" si="1"/>
        <v>0.4</v>
      </c>
      <c r="Q17" s="256">
        <f t="shared" si="3"/>
        <v>5762794</v>
      </c>
      <c r="R17" s="248">
        <f t="shared" si="2"/>
        <v>2.3051176</v>
      </c>
      <c r="S17" s="225" t="s">
        <v>121</v>
      </c>
    </row>
    <row r="18" s="197" customFormat="1" ht="24" customHeight="1" spans="1:13">
      <c r="A18" s="203"/>
      <c r="B18" s="217" t="s">
        <v>123</v>
      </c>
      <c r="C18" s="231"/>
      <c r="D18" s="232"/>
      <c r="E18" s="233" t="s">
        <v>124</v>
      </c>
      <c r="F18" s="234"/>
      <c r="G18" s="231"/>
      <c r="H18" s="232"/>
      <c r="I18" s="231"/>
      <c r="J18" s="232"/>
      <c r="K18" s="214"/>
      <c r="L18" s="245" t="s">
        <v>125</v>
      </c>
      <c r="M18" s="37">
        <v>100</v>
      </c>
    </row>
    <row r="19" s="197" customFormat="1" ht="20.1" customHeight="1" spans="1:13">
      <c r="A19" s="203" t="s">
        <v>126</v>
      </c>
      <c r="B19" s="235" t="s">
        <v>127</v>
      </c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53"/>
    </row>
    <row r="20" s="197" customFormat="1" ht="20.1" customHeight="1" spans="1:13">
      <c r="A20" s="203"/>
      <c r="B20" s="237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54"/>
    </row>
    <row r="21" ht="20.1" customHeight="1" spans="1:13">
      <c r="A21" s="239" t="s">
        <v>128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</row>
    <row r="22" ht="17.25" customHeight="1" spans="9:9">
      <c r="I22" s="255"/>
    </row>
    <row r="23" ht="17.25" customHeight="1" spans="5:9">
      <c r="E23" s="240"/>
      <c r="I23" s="255"/>
    </row>
    <row r="24" ht="17.25" customHeight="1" spans="5:9">
      <c r="E24" s="240"/>
      <c r="I24" s="255"/>
    </row>
    <row r="25" ht="17.25" customHeight="1" spans="5:9">
      <c r="E25" s="240"/>
      <c r="I25" s="255"/>
    </row>
    <row r="26" ht="17.25" customHeight="1" spans="5:9">
      <c r="E26" s="240"/>
      <c r="I26" s="255"/>
    </row>
    <row r="27" ht="17.25" customHeight="1" spans="5:9">
      <c r="E27" s="240"/>
      <c r="I27" s="255"/>
    </row>
    <row r="28" ht="17.25" customHeight="1" spans="5:9">
      <c r="E28" s="240"/>
      <c r="I28" s="255"/>
    </row>
    <row r="29" ht="17.25" customHeight="1" spans="9:9">
      <c r="I29" s="255"/>
    </row>
    <row r="30" ht="17.25" customHeight="1" spans="9:9">
      <c r="I30" s="255"/>
    </row>
    <row r="31" ht="17.25" customHeight="1" spans="9:9">
      <c r="I31" s="255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7" workbookViewId="0">
      <selection activeCell="V5" sqref="V5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4"/>
      <c r="J2" s="164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130</v>
      </c>
      <c r="B3" s="33"/>
      <c r="C3" s="33"/>
      <c r="D3" s="33"/>
      <c r="E3" s="33"/>
      <c r="F3" s="33"/>
      <c r="G3" s="33"/>
      <c r="H3" s="99"/>
      <c r="I3" s="165"/>
      <c r="J3" s="166">
        <v>44287</v>
      </c>
      <c r="K3" s="167"/>
      <c r="L3" s="33"/>
      <c r="M3" s="33"/>
      <c r="N3" s="33"/>
      <c r="O3" s="33"/>
      <c r="P3" s="33"/>
      <c r="Q3" s="33"/>
      <c r="R3" s="33"/>
      <c r="S3" s="33"/>
      <c r="T3" s="191"/>
      <c r="U3" s="27"/>
    </row>
    <row r="4" ht="12.75" customHeight="1" spans="1:21">
      <c r="A4" s="100" t="s">
        <v>131</v>
      </c>
      <c r="B4" s="101" t="s">
        <v>106</v>
      </c>
      <c r="C4" s="102"/>
      <c r="D4" s="102"/>
      <c r="E4" s="102"/>
      <c r="F4" s="102"/>
      <c r="G4" s="103"/>
      <c r="H4" s="104" t="s">
        <v>132</v>
      </c>
      <c r="I4" s="104"/>
      <c r="J4" s="104"/>
      <c r="K4" s="104"/>
      <c r="L4" s="104"/>
      <c r="M4" s="104"/>
      <c r="N4" s="168" t="s">
        <v>133</v>
      </c>
      <c r="O4" s="168"/>
      <c r="P4" s="168"/>
      <c r="Q4" s="168"/>
      <c r="R4" s="168"/>
      <c r="S4" s="168"/>
      <c r="T4" s="192" t="s">
        <v>134</v>
      </c>
      <c r="U4" s="192" t="s">
        <v>135</v>
      </c>
    </row>
    <row r="5" ht="15" customHeight="1" spans="1:21">
      <c r="A5" s="105"/>
      <c r="B5" s="106" t="s">
        <v>136</v>
      </c>
      <c r="C5" s="106" t="s">
        <v>113</v>
      </c>
      <c r="D5" s="106" t="s">
        <v>114</v>
      </c>
      <c r="E5" s="106" t="s">
        <v>116</v>
      </c>
      <c r="F5" s="106" t="s">
        <v>121</v>
      </c>
      <c r="G5" s="106" t="s">
        <v>119</v>
      </c>
      <c r="H5" s="107" t="s">
        <v>136</v>
      </c>
      <c r="I5" s="107" t="s">
        <v>113</v>
      </c>
      <c r="J5" s="107" t="s">
        <v>114</v>
      </c>
      <c r="K5" s="107" t="s">
        <v>116</v>
      </c>
      <c r="L5" s="106" t="s">
        <v>121</v>
      </c>
      <c r="M5" s="106" t="s">
        <v>119</v>
      </c>
      <c r="N5" s="100" t="s">
        <v>137</v>
      </c>
      <c r="O5" s="100" t="s">
        <v>138</v>
      </c>
      <c r="P5" s="100" t="s">
        <v>114</v>
      </c>
      <c r="Q5" s="100" t="s">
        <v>116</v>
      </c>
      <c r="R5" s="100" t="s">
        <v>139</v>
      </c>
      <c r="S5" s="100" t="s">
        <v>119</v>
      </c>
      <c r="T5" s="193"/>
      <c r="U5" s="193"/>
    </row>
    <row r="6" ht="22.5" customHeight="1" spans="1:21">
      <c r="A6" s="108"/>
      <c r="B6" s="109" t="s">
        <v>140</v>
      </c>
      <c r="C6" s="109" t="s">
        <v>140</v>
      </c>
      <c r="D6" s="109" t="s">
        <v>140</v>
      </c>
      <c r="E6" s="109" t="s">
        <v>140</v>
      </c>
      <c r="F6" s="109" t="s">
        <v>140</v>
      </c>
      <c r="G6" s="109" t="s">
        <v>140</v>
      </c>
      <c r="H6" s="110" t="s">
        <v>140</v>
      </c>
      <c r="I6" s="110" t="s">
        <v>140</v>
      </c>
      <c r="J6" s="110" t="s">
        <v>140</v>
      </c>
      <c r="K6" s="110" t="s">
        <v>140</v>
      </c>
      <c r="L6" s="109" t="s">
        <v>140</v>
      </c>
      <c r="M6" s="109" t="s">
        <v>140</v>
      </c>
      <c r="N6" s="109" t="s">
        <v>140</v>
      </c>
      <c r="O6" s="109" t="s">
        <v>140</v>
      </c>
      <c r="P6" s="109" t="s">
        <v>140</v>
      </c>
      <c r="Q6" s="109" t="s">
        <v>140</v>
      </c>
      <c r="R6" s="109" t="s">
        <v>140</v>
      </c>
      <c r="S6" s="109" t="s">
        <v>140</v>
      </c>
      <c r="T6" s="108" t="s">
        <v>141</v>
      </c>
      <c r="U6" s="108" t="s">
        <v>142</v>
      </c>
    </row>
    <row r="7" ht="12.95" customHeight="1" spans="1:23">
      <c r="A7" s="111">
        <v>1</v>
      </c>
      <c r="B7" s="112">
        <v>494</v>
      </c>
      <c r="C7" s="113">
        <v>256</v>
      </c>
      <c r="D7" s="114">
        <v>288</v>
      </c>
      <c r="E7" s="115">
        <v>2.73</v>
      </c>
      <c r="F7" s="116">
        <v>15.8</v>
      </c>
      <c r="G7" s="117">
        <v>21.8</v>
      </c>
      <c r="H7" s="118">
        <v>41</v>
      </c>
      <c r="I7" s="115" t="s">
        <v>143</v>
      </c>
      <c r="J7" s="118">
        <v>18</v>
      </c>
      <c r="K7" s="115">
        <v>0.22</v>
      </c>
      <c r="L7" s="169">
        <v>0.73</v>
      </c>
      <c r="M7" s="169">
        <v>7.5</v>
      </c>
      <c r="N7" s="114">
        <v>31</v>
      </c>
      <c r="O7" s="170" t="s">
        <v>143</v>
      </c>
      <c r="P7" s="114">
        <v>7</v>
      </c>
      <c r="Q7" s="169">
        <v>0.14</v>
      </c>
      <c r="R7" s="175">
        <v>0.55</v>
      </c>
      <c r="S7" s="169">
        <v>6.98</v>
      </c>
      <c r="T7" s="121">
        <v>77.8</v>
      </c>
      <c r="U7" s="119">
        <v>50</v>
      </c>
      <c r="V7" s="194"/>
      <c r="W7" s="195">
        <f>1-S7/G7</f>
        <v>0.679816513761468</v>
      </c>
    </row>
    <row r="8" ht="12.95" customHeight="1" spans="1:23">
      <c r="A8" s="111">
        <v>2</v>
      </c>
      <c r="B8" s="112">
        <v>329</v>
      </c>
      <c r="C8" s="113">
        <v>167</v>
      </c>
      <c r="D8" s="114">
        <v>230</v>
      </c>
      <c r="E8" s="119">
        <v>2.98</v>
      </c>
      <c r="F8" s="117">
        <v>17.8</v>
      </c>
      <c r="G8" s="117">
        <v>24.7</v>
      </c>
      <c r="H8" s="118">
        <v>46</v>
      </c>
      <c r="I8" s="115">
        <v>2.32</v>
      </c>
      <c r="J8" s="118">
        <v>19</v>
      </c>
      <c r="K8" s="115">
        <v>0.36</v>
      </c>
      <c r="L8" s="169">
        <v>0.63</v>
      </c>
      <c r="M8" s="169">
        <v>6.7</v>
      </c>
      <c r="N8" s="114">
        <v>30</v>
      </c>
      <c r="O8" s="170" t="s">
        <v>143</v>
      </c>
      <c r="P8" s="114">
        <v>5</v>
      </c>
      <c r="Q8" s="169">
        <v>0.12</v>
      </c>
      <c r="R8" s="175">
        <v>0.48</v>
      </c>
      <c r="S8" s="169">
        <v>6.06</v>
      </c>
      <c r="T8" s="121">
        <v>78.4</v>
      </c>
      <c r="U8" s="119">
        <v>20</v>
      </c>
      <c r="V8" s="194"/>
      <c r="W8" s="195">
        <f t="shared" ref="W8:W37" si="0">1-S8/G8</f>
        <v>0.754655870445344</v>
      </c>
    </row>
    <row r="9" ht="12.95" customHeight="1" spans="1:23">
      <c r="A9" s="111">
        <v>3</v>
      </c>
      <c r="B9" s="112">
        <v>158</v>
      </c>
      <c r="C9" s="116">
        <v>82.1</v>
      </c>
      <c r="D9" s="114">
        <v>99</v>
      </c>
      <c r="E9" s="115">
        <v>2.48</v>
      </c>
      <c r="F9" s="117">
        <v>19.4</v>
      </c>
      <c r="G9" s="117">
        <v>28</v>
      </c>
      <c r="H9" s="118">
        <v>47</v>
      </c>
      <c r="I9" s="115">
        <v>2.16</v>
      </c>
      <c r="J9" s="118">
        <v>20</v>
      </c>
      <c r="K9" s="115">
        <v>0.38</v>
      </c>
      <c r="L9" s="169">
        <v>0.58</v>
      </c>
      <c r="M9" s="169">
        <v>7.2</v>
      </c>
      <c r="N9" s="114">
        <v>31</v>
      </c>
      <c r="O9" s="170" t="s">
        <v>143</v>
      </c>
      <c r="P9" s="114">
        <v>5</v>
      </c>
      <c r="Q9" s="169">
        <v>0.11</v>
      </c>
      <c r="R9" s="175">
        <v>0.43</v>
      </c>
      <c r="S9" s="169">
        <v>7</v>
      </c>
      <c r="T9" s="121">
        <v>78</v>
      </c>
      <c r="U9" s="119"/>
      <c r="V9" s="194"/>
      <c r="W9" s="195">
        <f t="shared" si="0"/>
        <v>0.75</v>
      </c>
    </row>
    <row r="10" ht="12.95" customHeight="1" spans="1:23">
      <c r="A10" s="111">
        <v>4</v>
      </c>
      <c r="B10" s="112">
        <v>308</v>
      </c>
      <c r="C10" s="113">
        <v>157</v>
      </c>
      <c r="D10" s="114">
        <v>248</v>
      </c>
      <c r="E10" s="115">
        <v>3.92</v>
      </c>
      <c r="F10" s="117">
        <v>21.3</v>
      </c>
      <c r="G10" s="117">
        <v>28.9</v>
      </c>
      <c r="H10" s="118">
        <v>48</v>
      </c>
      <c r="I10" s="115">
        <v>2.4</v>
      </c>
      <c r="J10" s="118">
        <v>20</v>
      </c>
      <c r="K10" s="115">
        <v>0.59</v>
      </c>
      <c r="L10" s="169">
        <v>0.74</v>
      </c>
      <c r="M10" s="169">
        <v>7.79</v>
      </c>
      <c r="N10" s="114">
        <v>33</v>
      </c>
      <c r="O10" s="170" t="s">
        <v>143</v>
      </c>
      <c r="P10" s="114">
        <v>6</v>
      </c>
      <c r="Q10" s="169">
        <v>0.11</v>
      </c>
      <c r="R10" s="175">
        <v>0.5</v>
      </c>
      <c r="S10" s="169">
        <v>6.58</v>
      </c>
      <c r="T10" s="121">
        <v>77.8</v>
      </c>
      <c r="U10" s="119"/>
      <c r="V10" s="194"/>
      <c r="W10" s="195">
        <f t="shared" si="0"/>
        <v>0.772318339100346</v>
      </c>
    </row>
    <row r="11" ht="12.95" customHeight="1" spans="1:23">
      <c r="A11" s="111">
        <v>5</v>
      </c>
      <c r="B11" s="112">
        <v>264</v>
      </c>
      <c r="C11" s="113">
        <v>132</v>
      </c>
      <c r="D11" s="114">
        <v>142</v>
      </c>
      <c r="E11" s="115">
        <v>2.35</v>
      </c>
      <c r="F11" s="120">
        <v>18.7</v>
      </c>
      <c r="G11" s="117">
        <v>24.1</v>
      </c>
      <c r="H11" s="118">
        <v>44</v>
      </c>
      <c r="I11" s="115" t="s">
        <v>143</v>
      </c>
      <c r="J11" s="118">
        <v>16</v>
      </c>
      <c r="K11" s="115">
        <v>0.33</v>
      </c>
      <c r="L11" s="169">
        <v>0.67</v>
      </c>
      <c r="M11" s="169">
        <v>7.89</v>
      </c>
      <c r="N11" s="114">
        <v>31</v>
      </c>
      <c r="O11" s="170" t="s">
        <v>143</v>
      </c>
      <c r="P11" s="114">
        <v>5</v>
      </c>
      <c r="Q11" s="169">
        <v>0.07</v>
      </c>
      <c r="R11" s="175">
        <v>0.49</v>
      </c>
      <c r="S11" s="169">
        <v>6.7</v>
      </c>
      <c r="T11" s="121">
        <v>78.3</v>
      </c>
      <c r="U11" s="119">
        <v>80</v>
      </c>
      <c r="V11" s="194"/>
      <c r="W11" s="195">
        <f t="shared" si="0"/>
        <v>0.721991701244813</v>
      </c>
    </row>
    <row r="12" ht="12.95" customHeight="1" spans="1:23">
      <c r="A12" s="111">
        <v>6</v>
      </c>
      <c r="B12" s="112">
        <v>168</v>
      </c>
      <c r="C12" s="116">
        <v>87.4</v>
      </c>
      <c r="D12" s="114">
        <v>110</v>
      </c>
      <c r="E12" s="115">
        <v>2.43</v>
      </c>
      <c r="F12" s="116">
        <v>25.4</v>
      </c>
      <c r="G12" s="117">
        <v>30.6</v>
      </c>
      <c r="H12" s="118">
        <v>44</v>
      </c>
      <c r="I12" s="115" t="s">
        <v>143</v>
      </c>
      <c r="J12" s="118">
        <v>15</v>
      </c>
      <c r="K12" s="115">
        <v>0.4</v>
      </c>
      <c r="L12" s="169">
        <v>0.44</v>
      </c>
      <c r="M12" s="169">
        <v>7</v>
      </c>
      <c r="N12" s="114">
        <v>22</v>
      </c>
      <c r="O12" s="170" t="s">
        <v>143</v>
      </c>
      <c r="P12" s="114">
        <v>5</v>
      </c>
      <c r="Q12" s="169">
        <v>0.12</v>
      </c>
      <c r="R12" s="175">
        <v>0.33</v>
      </c>
      <c r="S12" s="169">
        <v>6.68</v>
      </c>
      <c r="T12" s="121">
        <v>78.7</v>
      </c>
      <c r="U12" s="119" t="s">
        <v>124</v>
      </c>
      <c r="V12" s="194"/>
      <c r="W12" s="195">
        <f t="shared" si="0"/>
        <v>0.781699346405229</v>
      </c>
    </row>
    <row r="13" ht="12.95" customHeight="1" spans="1:23">
      <c r="A13" s="111">
        <v>7</v>
      </c>
      <c r="B13" s="112">
        <v>134</v>
      </c>
      <c r="C13" s="116">
        <v>68.9</v>
      </c>
      <c r="D13" s="114">
        <v>96</v>
      </c>
      <c r="E13" s="115">
        <v>2.56</v>
      </c>
      <c r="F13" s="116">
        <v>24.4</v>
      </c>
      <c r="G13" s="117">
        <v>29.8</v>
      </c>
      <c r="H13" s="118">
        <v>35</v>
      </c>
      <c r="I13" s="115" t="s">
        <v>143</v>
      </c>
      <c r="J13" s="118">
        <v>12</v>
      </c>
      <c r="K13" s="115">
        <v>0.29</v>
      </c>
      <c r="L13" s="169">
        <v>0.56</v>
      </c>
      <c r="M13" s="169">
        <v>6.8</v>
      </c>
      <c r="N13" s="114">
        <v>23</v>
      </c>
      <c r="O13" s="170" t="s">
        <v>143</v>
      </c>
      <c r="P13" s="114">
        <v>5</v>
      </c>
      <c r="Q13" s="169">
        <v>0.13</v>
      </c>
      <c r="R13" s="175">
        <v>0.41</v>
      </c>
      <c r="S13" s="169">
        <v>6.36</v>
      </c>
      <c r="T13" s="121">
        <v>77.9</v>
      </c>
      <c r="U13" s="119" t="s">
        <v>124</v>
      </c>
      <c r="V13" s="194"/>
      <c r="W13" s="195">
        <f t="shared" si="0"/>
        <v>0.786577181208054</v>
      </c>
    </row>
    <row r="14" ht="12.95" customHeight="1" spans="1:23">
      <c r="A14" s="111">
        <v>8</v>
      </c>
      <c r="B14" s="112">
        <v>224</v>
      </c>
      <c r="C14" s="113">
        <v>117</v>
      </c>
      <c r="D14" s="114">
        <v>126</v>
      </c>
      <c r="E14" s="115">
        <v>2.48</v>
      </c>
      <c r="F14" s="121">
        <v>20.5</v>
      </c>
      <c r="G14" s="117">
        <v>26.5</v>
      </c>
      <c r="H14" s="118">
        <v>39</v>
      </c>
      <c r="I14" s="115" t="s">
        <v>143</v>
      </c>
      <c r="J14" s="118">
        <v>13</v>
      </c>
      <c r="K14" s="115">
        <v>0.26</v>
      </c>
      <c r="L14" s="169">
        <v>0.55</v>
      </c>
      <c r="M14" s="169">
        <v>7.74</v>
      </c>
      <c r="N14" s="114">
        <v>28</v>
      </c>
      <c r="O14" s="170" t="s">
        <v>143</v>
      </c>
      <c r="P14" s="114">
        <v>5</v>
      </c>
      <c r="Q14" s="169">
        <v>0.15</v>
      </c>
      <c r="R14" s="175">
        <v>0.35</v>
      </c>
      <c r="S14" s="169">
        <v>6.26</v>
      </c>
      <c r="T14" s="121">
        <v>78.8</v>
      </c>
      <c r="U14" s="119">
        <v>70</v>
      </c>
      <c r="V14" s="194"/>
      <c r="W14" s="195">
        <f t="shared" si="0"/>
        <v>0.76377358490566</v>
      </c>
    </row>
    <row r="15" ht="12.95" customHeight="1" spans="1:23">
      <c r="A15" s="111">
        <v>9</v>
      </c>
      <c r="B15" s="112">
        <v>230</v>
      </c>
      <c r="C15" s="113">
        <v>118</v>
      </c>
      <c r="D15" s="114">
        <v>122</v>
      </c>
      <c r="E15" s="115">
        <v>2.42</v>
      </c>
      <c r="F15" s="117">
        <v>15.4</v>
      </c>
      <c r="G15" s="117">
        <v>22.2</v>
      </c>
      <c r="H15" s="118">
        <v>43</v>
      </c>
      <c r="I15" s="115" t="s">
        <v>143</v>
      </c>
      <c r="J15" s="118">
        <v>15</v>
      </c>
      <c r="K15" s="115">
        <v>0.33</v>
      </c>
      <c r="L15" s="169">
        <v>0.5</v>
      </c>
      <c r="M15" s="169">
        <v>7.5</v>
      </c>
      <c r="N15" s="114">
        <v>29</v>
      </c>
      <c r="O15" s="170" t="s">
        <v>143</v>
      </c>
      <c r="P15" s="114">
        <v>5</v>
      </c>
      <c r="Q15" s="169">
        <v>0.13</v>
      </c>
      <c r="R15" s="175">
        <v>0.4</v>
      </c>
      <c r="S15" s="169">
        <v>5.76</v>
      </c>
      <c r="T15" s="121">
        <v>78.3</v>
      </c>
      <c r="U15" s="119" t="s">
        <v>124</v>
      </c>
      <c r="V15" s="194"/>
      <c r="W15" s="195">
        <f t="shared" si="0"/>
        <v>0.740540540540541</v>
      </c>
    </row>
    <row r="16" ht="12.95" customHeight="1" spans="1:23">
      <c r="A16" s="111">
        <v>10</v>
      </c>
      <c r="B16" s="112">
        <v>229</v>
      </c>
      <c r="C16" s="122">
        <v>119</v>
      </c>
      <c r="D16" s="114">
        <v>116</v>
      </c>
      <c r="E16" s="115">
        <v>2.13</v>
      </c>
      <c r="F16" s="117">
        <v>20.1</v>
      </c>
      <c r="G16" s="117">
        <v>25.8</v>
      </c>
      <c r="H16" s="118">
        <v>42</v>
      </c>
      <c r="I16" s="171">
        <v>2.02</v>
      </c>
      <c r="J16" s="118">
        <v>19</v>
      </c>
      <c r="K16" s="115">
        <v>0.17</v>
      </c>
      <c r="L16" s="169">
        <v>0.53</v>
      </c>
      <c r="M16" s="169">
        <v>6.21</v>
      </c>
      <c r="N16" s="114">
        <v>32</v>
      </c>
      <c r="O16" s="170" t="s">
        <v>143</v>
      </c>
      <c r="P16" s="114">
        <v>5</v>
      </c>
      <c r="Q16" s="169">
        <v>0.1</v>
      </c>
      <c r="R16" s="175">
        <v>0.4</v>
      </c>
      <c r="S16" s="169">
        <v>5.44</v>
      </c>
      <c r="T16" s="121">
        <v>78.5</v>
      </c>
      <c r="U16" s="119"/>
      <c r="V16" s="194"/>
      <c r="W16" s="195">
        <f t="shared" si="0"/>
        <v>0.789147286821705</v>
      </c>
    </row>
    <row r="17" ht="12.95" customHeight="1" spans="1:23">
      <c r="A17" s="111">
        <v>11</v>
      </c>
      <c r="B17" s="112">
        <v>256</v>
      </c>
      <c r="C17" s="113">
        <v>136</v>
      </c>
      <c r="D17" s="114">
        <v>220</v>
      </c>
      <c r="E17" s="115">
        <v>3.49</v>
      </c>
      <c r="F17" s="116">
        <v>24.2</v>
      </c>
      <c r="G17" s="117">
        <v>29.6</v>
      </c>
      <c r="H17" s="118">
        <v>39</v>
      </c>
      <c r="I17" s="115" t="s">
        <v>143</v>
      </c>
      <c r="J17" s="118">
        <v>20</v>
      </c>
      <c r="K17" s="115">
        <v>0.3</v>
      </c>
      <c r="L17" s="169">
        <v>0.57</v>
      </c>
      <c r="M17" s="169">
        <v>8.78</v>
      </c>
      <c r="N17" s="114">
        <v>29</v>
      </c>
      <c r="O17" s="170" t="s">
        <v>143</v>
      </c>
      <c r="P17" s="114">
        <v>6</v>
      </c>
      <c r="Q17" s="169">
        <v>0.19</v>
      </c>
      <c r="R17" s="175">
        <v>0.45</v>
      </c>
      <c r="S17" s="169">
        <v>7.99</v>
      </c>
      <c r="T17" s="121">
        <v>77.9</v>
      </c>
      <c r="U17" s="119"/>
      <c r="V17" s="194"/>
      <c r="W17" s="195">
        <f t="shared" si="0"/>
        <v>0.730067567567568</v>
      </c>
    </row>
    <row r="18" ht="12.95" customHeight="1" spans="1:23">
      <c r="A18" s="111">
        <v>12</v>
      </c>
      <c r="B18" s="114">
        <v>244</v>
      </c>
      <c r="C18" s="113">
        <v>129</v>
      </c>
      <c r="D18" s="123">
        <v>120</v>
      </c>
      <c r="E18" s="115">
        <v>3.76</v>
      </c>
      <c r="F18" s="117">
        <v>24.1</v>
      </c>
      <c r="G18" s="117">
        <v>29.3</v>
      </c>
      <c r="H18" s="118">
        <v>37</v>
      </c>
      <c r="I18" s="115" t="s">
        <v>143</v>
      </c>
      <c r="J18" s="61">
        <v>18</v>
      </c>
      <c r="K18" s="115">
        <v>0.28</v>
      </c>
      <c r="L18" s="169">
        <v>0.57</v>
      </c>
      <c r="M18" s="169">
        <v>8.98</v>
      </c>
      <c r="N18" s="114">
        <v>25</v>
      </c>
      <c r="O18" s="170" t="s">
        <v>143</v>
      </c>
      <c r="P18" s="114">
        <v>5</v>
      </c>
      <c r="Q18" s="169">
        <v>0.1</v>
      </c>
      <c r="R18" s="175">
        <v>0.52</v>
      </c>
      <c r="S18" s="172">
        <v>8.09</v>
      </c>
      <c r="T18" s="121">
        <v>78</v>
      </c>
      <c r="U18" s="119" t="s">
        <v>124</v>
      </c>
      <c r="V18" s="194"/>
      <c r="W18" s="195">
        <f t="shared" si="0"/>
        <v>0.723890784982935</v>
      </c>
    </row>
    <row r="19" ht="12.95" customHeight="1" spans="1:23">
      <c r="A19" s="111">
        <v>13</v>
      </c>
      <c r="B19" s="112">
        <v>159</v>
      </c>
      <c r="C19" s="116">
        <v>77.9</v>
      </c>
      <c r="D19" s="123">
        <v>97</v>
      </c>
      <c r="E19" s="115">
        <v>2.18</v>
      </c>
      <c r="F19" s="117">
        <v>17.5</v>
      </c>
      <c r="G19" s="117">
        <v>24.3</v>
      </c>
      <c r="H19" s="118">
        <v>36</v>
      </c>
      <c r="I19" s="115" t="s">
        <v>143</v>
      </c>
      <c r="J19" s="61">
        <v>18</v>
      </c>
      <c r="K19" s="115">
        <v>0.27</v>
      </c>
      <c r="L19" s="169">
        <v>0.55</v>
      </c>
      <c r="M19" s="169">
        <v>8.02</v>
      </c>
      <c r="N19" s="114">
        <v>26</v>
      </c>
      <c r="O19" s="170" t="s">
        <v>143</v>
      </c>
      <c r="P19" s="114">
        <v>5</v>
      </c>
      <c r="Q19" s="169">
        <v>0.12</v>
      </c>
      <c r="R19" s="175">
        <v>0.48</v>
      </c>
      <c r="S19" s="169">
        <v>7.65</v>
      </c>
      <c r="T19" s="121">
        <v>78.8</v>
      </c>
      <c r="U19" s="119">
        <v>100</v>
      </c>
      <c r="V19" s="194"/>
      <c r="W19" s="195">
        <f t="shared" si="0"/>
        <v>0.685185185185185</v>
      </c>
    </row>
    <row r="20" ht="12.95" customHeight="1" spans="1:23">
      <c r="A20" s="111">
        <v>14</v>
      </c>
      <c r="B20" s="112">
        <v>154</v>
      </c>
      <c r="C20" s="124">
        <v>80.2</v>
      </c>
      <c r="D20" s="114">
        <v>86</v>
      </c>
      <c r="E20" s="115">
        <v>1.92</v>
      </c>
      <c r="F20" s="121">
        <v>18</v>
      </c>
      <c r="G20" s="117">
        <v>23.8</v>
      </c>
      <c r="H20" s="118">
        <v>34</v>
      </c>
      <c r="I20" s="171" t="s">
        <v>143</v>
      </c>
      <c r="J20" s="118">
        <v>18</v>
      </c>
      <c r="K20" s="115">
        <v>0.23</v>
      </c>
      <c r="L20" s="169">
        <v>0.47</v>
      </c>
      <c r="M20" s="169">
        <v>7.1</v>
      </c>
      <c r="N20" s="114">
        <v>25</v>
      </c>
      <c r="O20" s="170" t="s">
        <v>143</v>
      </c>
      <c r="P20" s="114">
        <v>5</v>
      </c>
      <c r="Q20" s="169">
        <v>0.12</v>
      </c>
      <c r="R20" s="175">
        <v>0.35</v>
      </c>
      <c r="S20" s="169">
        <v>6.41</v>
      </c>
      <c r="T20" s="121">
        <v>78.3</v>
      </c>
      <c r="U20" s="119" t="s">
        <v>124</v>
      </c>
      <c r="V20" s="194"/>
      <c r="W20" s="195">
        <f t="shared" si="0"/>
        <v>0.730672268907563</v>
      </c>
    </row>
    <row r="21" ht="12.95" customHeight="1" spans="1:23">
      <c r="A21" s="111">
        <v>15</v>
      </c>
      <c r="B21" s="112">
        <v>141</v>
      </c>
      <c r="C21" s="116">
        <v>72.9</v>
      </c>
      <c r="D21" s="114">
        <v>94</v>
      </c>
      <c r="E21" s="115">
        <v>2.34</v>
      </c>
      <c r="F21" s="116">
        <v>13.6</v>
      </c>
      <c r="G21" s="117">
        <v>22</v>
      </c>
      <c r="H21" s="118">
        <v>37</v>
      </c>
      <c r="I21" s="115" t="s">
        <v>143</v>
      </c>
      <c r="J21" s="118">
        <v>10</v>
      </c>
      <c r="K21" s="115">
        <v>0.31</v>
      </c>
      <c r="L21" s="169">
        <v>0.51</v>
      </c>
      <c r="M21" s="169">
        <v>7.4</v>
      </c>
      <c r="N21" s="114">
        <v>26</v>
      </c>
      <c r="O21" s="170" t="s">
        <v>143</v>
      </c>
      <c r="P21" s="114">
        <v>5</v>
      </c>
      <c r="Q21" s="169">
        <v>0.11</v>
      </c>
      <c r="R21" s="175">
        <v>0.39</v>
      </c>
      <c r="S21" s="169">
        <v>6.7</v>
      </c>
      <c r="T21" s="121">
        <v>78.4</v>
      </c>
      <c r="U21" s="119" t="s">
        <v>124</v>
      </c>
      <c r="V21" s="194"/>
      <c r="W21" s="195">
        <f t="shared" si="0"/>
        <v>0.695454545454545</v>
      </c>
    </row>
    <row r="22" ht="12" customHeight="1" spans="1:23">
      <c r="A22" s="111">
        <v>16</v>
      </c>
      <c r="B22" s="112">
        <v>228</v>
      </c>
      <c r="C22" s="113">
        <v>121</v>
      </c>
      <c r="D22" s="114">
        <v>130</v>
      </c>
      <c r="E22" s="115">
        <v>2.45</v>
      </c>
      <c r="F22" s="116">
        <v>20.5</v>
      </c>
      <c r="G22" s="117">
        <v>28.1</v>
      </c>
      <c r="H22" s="118">
        <v>49</v>
      </c>
      <c r="I22" s="115" t="s">
        <v>143</v>
      </c>
      <c r="J22" s="118">
        <v>20</v>
      </c>
      <c r="K22" s="115">
        <v>0.33</v>
      </c>
      <c r="L22" s="169">
        <v>0.52</v>
      </c>
      <c r="M22" s="169">
        <v>8.54</v>
      </c>
      <c r="N22" s="114">
        <v>30</v>
      </c>
      <c r="O22" s="170" t="s">
        <v>143</v>
      </c>
      <c r="P22" s="114">
        <v>6</v>
      </c>
      <c r="Q22" s="169">
        <v>0.12</v>
      </c>
      <c r="R22" s="175">
        <v>0.43</v>
      </c>
      <c r="S22" s="169">
        <v>7.02</v>
      </c>
      <c r="T22" s="121">
        <v>77.8</v>
      </c>
      <c r="U22" s="119" t="s">
        <v>124</v>
      </c>
      <c r="V22" s="194"/>
      <c r="W22" s="195">
        <f t="shared" si="0"/>
        <v>0.75017793594306</v>
      </c>
    </row>
    <row r="23" ht="12.95" customHeight="1" spans="1:23">
      <c r="A23" s="111">
        <v>17</v>
      </c>
      <c r="B23" s="112">
        <v>178</v>
      </c>
      <c r="C23" s="116">
        <v>92.6</v>
      </c>
      <c r="D23" s="114">
        <v>98</v>
      </c>
      <c r="E23" s="115">
        <v>3.2</v>
      </c>
      <c r="F23" s="116">
        <v>22.2</v>
      </c>
      <c r="G23" s="117">
        <v>28.7</v>
      </c>
      <c r="H23" s="118">
        <v>49</v>
      </c>
      <c r="I23" s="115" t="s">
        <v>143</v>
      </c>
      <c r="J23" s="118">
        <v>19</v>
      </c>
      <c r="K23" s="115">
        <v>0.36</v>
      </c>
      <c r="L23" s="169">
        <v>0.54</v>
      </c>
      <c r="M23" s="169">
        <v>7.3</v>
      </c>
      <c r="N23" s="114">
        <v>33</v>
      </c>
      <c r="O23" s="170" t="s">
        <v>143</v>
      </c>
      <c r="P23" s="114">
        <v>6</v>
      </c>
      <c r="Q23" s="169">
        <v>0.11</v>
      </c>
      <c r="R23" s="175">
        <v>0.39</v>
      </c>
      <c r="S23" s="169">
        <v>6.08</v>
      </c>
      <c r="T23" s="121">
        <v>78.2</v>
      </c>
      <c r="U23" s="119"/>
      <c r="V23" s="194"/>
      <c r="W23" s="195">
        <f t="shared" si="0"/>
        <v>0.78815331010453</v>
      </c>
    </row>
    <row r="24" ht="12.95" customHeight="1" spans="1:23">
      <c r="A24" s="111">
        <v>18</v>
      </c>
      <c r="B24" s="119">
        <v>237</v>
      </c>
      <c r="C24" s="113">
        <v>123</v>
      </c>
      <c r="D24" s="114">
        <v>204</v>
      </c>
      <c r="E24" s="115">
        <v>2.82</v>
      </c>
      <c r="F24" s="116">
        <v>27.4</v>
      </c>
      <c r="G24" s="117">
        <v>32.4</v>
      </c>
      <c r="H24" s="118">
        <v>42</v>
      </c>
      <c r="I24" s="115" t="s">
        <v>143</v>
      </c>
      <c r="J24" s="118">
        <v>15</v>
      </c>
      <c r="K24" s="115">
        <v>0.28</v>
      </c>
      <c r="L24" s="169">
        <v>0.56</v>
      </c>
      <c r="M24" s="116">
        <v>10.1</v>
      </c>
      <c r="N24" s="114">
        <v>28</v>
      </c>
      <c r="O24" s="170" t="s">
        <v>143</v>
      </c>
      <c r="P24" s="114">
        <v>5</v>
      </c>
      <c r="Q24" s="169">
        <v>0.1</v>
      </c>
      <c r="R24" s="175">
        <v>0.45</v>
      </c>
      <c r="S24" s="169">
        <v>8.9</v>
      </c>
      <c r="T24" s="121">
        <v>77.7</v>
      </c>
      <c r="U24" s="119"/>
      <c r="V24" s="194"/>
      <c r="W24" s="195">
        <f t="shared" si="0"/>
        <v>0.725308641975309</v>
      </c>
    </row>
    <row r="25" ht="12.95" customHeight="1" spans="1:23">
      <c r="A25" s="111">
        <v>19</v>
      </c>
      <c r="B25" s="119">
        <v>144</v>
      </c>
      <c r="C25" s="124">
        <v>76.2</v>
      </c>
      <c r="D25" s="114">
        <v>70</v>
      </c>
      <c r="E25" s="115">
        <v>2.29</v>
      </c>
      <c r="F25" s="117">
        <v>16.6</v>
      </c>
      <c r="G25" s="117">
        <v>25.4</v>
      </c>
      <c r="H25" s="118">
        <v>51</v>
      </c>
      <c r="I25" s="171">
        <v>2.04</v>
      </c>
      <c r="J25" s="118">
        <v>20</v>
      </c>
      <c r="K25" s="115">
        <v>0.6</v>
      </c>
      <c r="L25" s="169">
        <v>0.67</v>
      </c>
      <c r="M25" s="116">
        <v>11.4</v>
      </c>
      <c r="N25" s="114">
        <v>30</v>
      </c>
      <c r="O25" s="170" t="s">
        <v>143</v>
      </c>
      <c r="P25" s="114">
        <v>5</v>
      </c>
      <c r="Q25" s="169">
        <v>0.12</v>
      </c>
      <c r="R25" s="175">
        <v>0.38</v>
      </c>
      <c r="S25" s="169">
        <v>8.75</v>
      </c>
      <c r="T25" s="121">
        <v>77.5</v>
      </c>
      <c r="U25" s="119" t="s">
        <v>124</v>
      </c>
      <c r="V25" s="194"/>
      <c r="W25" s="195">
        <f t="shared" si="0"/>
        <v>0.655511811023622</v>
      </c>
    </row>
    <row r="26" ht="12.95" customHeight="1" spans="1:23">
      <c r="A26" s="111">
        <v>20</v>
      </c>
      <c r="B26" s="119">
        <v>280</v>
      </c>
      <c r="C26" s="113">
        <v>147</v>
      </c>
      <c r="D26" s="114">
        <v>188</v>
      </c>
      <c r="E26" s="115">
        <v>2.72</v>
      </c>
      <c r="F26" s="117">
        <v>23.6</v>
      </c>
      <c r="G26" s="117">
        <v>28.8</v>
      </c>
      <c r="H26" s="118">
        <v>47</v>
      </c>
      <c r="I26" s="115">
        <v>2.56</v>
      </c>
      <c r="J26" s="118">
        <v>17</v>
      </c>
      <c r="K26" s="115">
        <v>0.47</v>
      </c>
      <c r="L26" s="169">
        <v>0.56</v>
      </c>
      <c r="M26" s="169">
        <v>7</v>
      </c>
      <c r="N26" s="114">
        <v>27</v>
      </c>
      <c r="O26" s="170" t="s">
        <v>143</v>
      </c>
      <c r="P26" s="114">
        <v>5</v>
      </c>
      <c r="Q26" s="169">
        <v>0.12</v>
      </c>
      <c r="R26" s="175">
        <v>0.48</v>
      </c>
      <c r="S26" s="169">
        <v>6.87</v>
      </c>
      <c r="T26" s="121">
        <v>78</v>
      </c>
      <c r="U26" s="119" t="s">
        <v>124</v>
      </c>
      <c r="V26" s="194"/>
      <c r="W26" s="195">
        <f t="shared" si="0"/>
        <v>0.761458333333333</v>
      </c>
    </row>
    <row r="27" ht="12.95" customHeight="1" spans="1:23">
      <c r="A27" s="111">
        <v>21</v>
      </c>
      <c r="B27" s="119">
        <v>267</v>
      </c>
      <c r="C27" s="113">
        <v>142</v>
      </c>
      <c r="D27" s="114">
        <v>180</v>
      </c>
      <c r="E27" s="115">
        <v>2.57</v>
      </c>
      <c r="F27" s="121">
        <v>16.7</v>
      </c>
      <c r="G27" s="117">
        <v>22.4</v>
      </c>
      <c r="H27" s="118">
        <v>45</v>
      </c>
      <c r="I27" s="115">
        <v>2.44</v>
      </c>
      <c r="J27" s="118">
        <v>16</v>
      </c>
      <c r="K27" s="115">
        <v>0.34</v>
      </c>
      <c r="L27" s="169">
        <v>0.51</v>
      </c>
      <c r="M27" s="169">
        <v>7.17</v>
      </c>
      <c r="N27" s="114">
        <v>26</v>
      </c>
      <c r="O27" s="170" t="s">
        <v>143</v>
      </c>
      <c r="P27" s="114">
        <v>5</v>
      </c>
      <c r="Q27" s="169">
        <v>0.09</v>
      </c>
      <c r="R27" s="175">
        <v>0.25</v>
      </c>
      <c r="S27" s="169">
        <v>7.04</v>
      </c>
      <c r="T27" s="121">
        <v>78.2</v>
      </c>
      <c r="U27" s="119">
        <v>40</v>
      </c>
      <c r="V27" s="194"/>
      <c r="W27" s="195">
        <f t="shared" si="0"/>
        <v>0.685714285714286</v>
      </c>
    </row>
    <row r="28" ht="12.95" customHeight="1" spans="1:23">
      <c r="A28" s="111">
        <v>22</v>
      </c>
      <c r="B28" s="119">
        <v>226</v>
      </c>
      <c r="C28" s="113">
        <v>120</v>
      </c>
      <c r="D28" s="114">
        <v>124</v>
      </c>
      <c r="E28" s="115">
        <v>1.81</v>
      </c>
      <c r="F28" s="121">
        <v>16</v>
      </c>
      <c r="G28" s="117">
        <v>21.8</v>
      </c>
      <c r="H28" s="118">
        <v>42</v>
      </c>
      <c r="I28" s="115">
        <v>2.34</v>
      </c>
      <c r="J28" s="118">
        <v>20</v>
      </c>
      <c r="K28" s="115">
        <v>0.2</v>
      </c>
      <c r="L28" s="169">
        <v>0.48</v>
      </c>
      <c r="M28" s="169">
        <v>7.02</v>
      </c>
      <c r="N28" s="114">
        <v>31</v>
      </c>
      <c r="O28" s="170" t="s">
        <v>143</v>
      </c>
      <c r="P28" s="114">
        <v>5</v>
      </c>
      <c r="Q28" s="169">
        <v>0.1</v>
      </c>
      <c r="R28" s="175">
        <v>0.43</v>
      </c>
      <c r="S28" s="169">
        <v>6.72</v>
      </c>
      <c r="T28" s="121">
        <v>77.8</v>
      </c>
      <c r="U28" s="119" t="s">
        <v>124</v>
      </c>
      <c r="V28" s="194"/>
      <c r="W28" s="195">
        <f t="shared" si="0"/>
        <v>0.691743119266055</v>
      </c>
    </row>
    <row r="29" ht="12.95" customHeight="1" spans="1:23">
      <c r="A29" s="111">
        <v>23</v>
      </c>
      <c r="B29" s="119">
        <v>170</v>
      </c>
      <c r="C29" s="124">
        <v>91.8</v>
      </c>
      <c r="D29" s="114">
        <v>92</v>
      </c>
      <c r="E29" s="115">
        <v>2.02</v>
      </c>
      <c r="F29" s="121">
        <v>15.9</v>
      </c>
      <c r="G29" s="117">
        <v>20.8</v>
      </c>
      <c r="H29" s="118">
        <v>45</v>
      </c>
      <c r="I29" s="171">
        <v>2.06</v>
      </c>
      <c r="J29" s="118">
        <v>18</v>
      </c>
      <c r="K29" s="115">
        <v>0.32</v>
      </c>
      <c r="L29" s="169">
        <v>0.5</v>
      </c>
      <c r="M29" s="169">
        <v>7.42</v>
      </c>
      <c r="N29" s="114">
        <v>32</v>
      </c>
      <c r="O29" s="170" t="s">
        <v>143</v>
      </c>
      <c r="P29" s="114">
        <v>5</v>
      </c>
      <c r="Q29" s="169">
        <v>0.14</v>
      </c>
      <c r="R29" s="175">
        <v>0.4</v>
      </c>
      <c r="S29" s="169">
        <v>7.34</v>
      </c>
      <c r="T29" s="121">
        <v>77.6</v>
      </c>
      <c r="U29" s="119" t="s">
        <v>124</v>
      </c>
      <c r="V29" s="194"/>
      <c r="W29" s="195">
        <f t="shared" si="0"/>
        <v>0.647115384615385</v>
      </c>
    </row>
    <row r="30" ht="12.95" customHeight="1" spans="1:23">
      <c r="A30" s="111">
        <v>24</v>
      </c>
      <c r="B30" s="119">
        <v>232</v>
      </c>
      <c r="C30" s="113">
        <v>125</v>
      </c>
      <c r="D30" s="114">
        <v>196</v>
      </c>
      <c r="E30" s="115">
        <v>2.79</v>
      </c>
      <c r="F30" s="125">
        <v>18.3</v>
      </c>
      <c r="G30" s="126">
        <v>23.6</v>
      </c>
      <c r="H30" s="118">
        <v>47</v>
      </c>
      <c r="I30" s="115">
        <v>2.82</v>
      </c>
      <c r="J30" s="118">
        <v>20</v>
      </c>
      <c r="K30" s="115">
        <v>0.52</v>
      </c>
      <c r="L30" s="169">
        <v>0.63</v>
      </c>
      <c r="M30" s="169">
        <v>7.02</v>
      </c>
      <c r="N30" s="114">
        <v>28</v>
      </c>
      <c r="O30" s="170" t="s">
        <v>143</v>
      </c>
      <c r="P30" s="114">
        <v>5</v>
      </c>
      <c r="Q30" s="169">
        <v>0.1</v>
      </c>
      <c r="R30" s="169">
        <v>0.4</v>
      </c>
      <c r="S30" s="169">
        <v>6.87</v>
      </c>
      <c r="T30" s="125">
        <v>77.5</v>
      </c>
      <c r="U30" s="119"/>
      <c r="V30" s="194"/>
      <c r="W30" s="195">
        <f t="shared" si="0"/>
        <v>0.708898305084746</v>
      </c>
    </row>
    <row r="31" ht="12.95" customHeight="1" spans="1:23">
      <c r="A31" s="111">
        <v>25</v>
      </c>
      <c r="B31" s="119">
        <v>226</v>
      </c>
      <c r="C31" s="113">
        <v>120</v>
      </c>
      <c r="D31" s="114">
        <v>166</v>
      </c>
      <c r="E31" s="115">
        <v>2.34</v>
      </c>
      <c r="F31" s="117">
        <v>12.9</v>
      </c>
      <c r="G31" s="126">
        <v>20</v>
      </c>
      <c r="H31" s="118">
        <v>45</v>
      </c>
      <c r="I31" s="115">
        <v>2.54</v>
      </c>
      <c r="J31" s="118">
        <v>19</v>
      </c>
      <c r="K31" s="115">
        <v>0.18</v>
      </c>
      <c r="L31" s="169">
        <v>0.65</v>
      </c>
      <c r="M31" s="172">
        <v>8.51</v>
      </c>
      <c r="N31" s="114">
        <v>28</v>
      </c>
      <c r="O31" s="170" t="s">
        <v>143</v>
      </c>
      <c r="P31" s="114">
        <v>6</v>
      </c>
      <c r="Q31" s="169">
        <v>0.06</v>
      </c>
      <c r="R31" s="169">
        <v>0.55</v>
      </c>
      <c r="S31" s="172">
        <v>7.49</v>
      </c>
      <c r="T31" s="121">
        <v>78.1</v>
      </c>
      <c r="U31" s="119"/>
      <c r="V31" s="194"/>
      <c r="W31" s="195">
        <f t="shared" si="0"/>
        <v>0.6255</v>
      </c>
    </row>
    <row r="32" ht="12.95" customHeight="1" spans="1:23">
      <c r="A32" s="111">
        <v>26</v>
      </c>
      <c r="B32" s="119">
        <v>292</v>
      </c>
      <c r="C32" s="113">
        <v>155</v>
      </c>
      <c r="D32" s="114">
        <v>74</v>
      </c>
      <c r="E32" s="115">
        <v>5.81</v>
      </c>
      <c r="F32" s="116">
        <v>18.8</v>
      </c>
      <c r="G32" s="117">
        <v>24.3</v>
      </c>
      <c r="H32" s="118">
        <v>49</v>
      </c>
      <c r="I32" s="115">
        <v>3.22</v>
      </c>
      <c r="J32" s="118">
        <v>19</v>
      </c>
      <c r="K32" s="115">
        <v>0.73</v>
      </c>
      <c r="L32" s="169">
        <v>1.22</v>
      </c>
      <c r="M32" s="169">
        <v>9.75</v>
      </c>
      <c r="N32" s="114">
        <v>25</v>
      </c>
      <c r="O32" s="170" t="s">
        <v>143</v>
      </c>
      <c r="P32" s="114">
        <v>6</v>
      </c>
      <c r="Q32" s="169">
        <v>0.1</v>
      </c>
      <c r="R32" s="169">
        <v>0.44</v>
      </c>
      <c r="S32" s="169">
        <v>8.73</v>
      </c>
      <c r="T32" s="121">
        <v>77.6</v>
      </c>
      <c r="U32" s="119" t="s">
        <v>124</v>
      </c>
      <c r="V32" s="194"/>
      <c r="W32" s="195">
        <f t="shared" si="0"/>
        <v>0.640740740740741</v>
      </c>
    </row>
    <row r="33" ht="12.95" customHeight="1" spans="1:23">
      <c r="A33" s="111">
        <v>27</v>
      </c>
      <c r="B33" s="119">
        <v>149</v>
      </c>
      <c r="C33" s="116">
        <v>78.4</v>
      </c>
      <c r="D33" s="114">
        <v>74</v>
      </c>
      <c r="E33" s="115">
        <v>2.59</v>
      </c>
      <c r="F33" s="121">
        <v>17.9</v>
      </c>
      <c r="G33" s="117">
        <v>23</v>
      </c>
      <c r="H33" s="118">
        <v>44</v>
      </c>
      <c r="I33" s="115">
        <v>2.01</v>
      </c>
      <c r="J33" s="118">
        <v>15</v>
      </c>
      <c r="K33" s="115">
        <v>0.36</v>
      </c>
      <c r="L33" s="169">
        <v>0.65</v>
      </c>
      <c r="M33" s="169">
        <v>9.45</v>
      </c>
      <c r="N33" s="114">
        <v>27</v>
      </c>
      <c r="O33" s="170" t="s">
        <v>143</v>
      </c>
      <c r="P33" s="114">
        <v>6</v>
      </c>
      <c r="Q33" s="169">
        <v>0.11</v>
      </c>
      <c r="R33" s="169">
        <v>0.48</v>
      </c>
      <c r="S33" s="169">
        <v>7.49</v>
      </c>
      <c r="T33" s="121">
        <v>77.6</v>
      </c>
      <c r="U33" s="119">
        <v>120</v>
      </c>
      <c r="V33" s="194"/>
      <c r="W33" s="195">
        <f t="shared" si="0"/>
        <v>0.674347826086957</v>
      </c>
    </row>
    <row r="34" ht="12.95" customHeight="1" spans="1:23">
      <c r="A34" s="111">
        <v>28</v>
      </c>
      <c r="B34" s="119">
        <v>188</v>
      </c>
      <c r="C34" s="113">
        <v>102</v>
      </c>
      <c r="D34" s="114">
        <v>88</v>
      </c>
      <c r="E34" s="115">
        <v>3.77</v>
      </c>
      <c r="F34" s="116">
        <v>22.7</v>
      </c>
      <c r="G34" s="117">
        <v>28.8</v>
      </c>
      <c r="H34" s="118">
        <v>42</v>
      </c>
      <c r="I34" s="115" t="s">
        <v>143</v>
      </c>
      <c r="J34" s="118">
        <v>15</v>
      </c>
      <c r="K34" s="115">
        <v>0.47</v>
      </c>
      <c r="L34" s="169">
        <v>0.76</v>
      </c>
      <c r="M34" s="169">
        <v>9.3</v>
      </c>
      <c r="N34" s="114">
        <v>26</v>
      </c>
      <c r="O34" s="170" t="s">
        <v>143</v>
      </c>
      <c r="P34" s="114">
        <v>6</v>
      </c>
      <c r="Q34" s="169">
        <v>0.12</v>
      </c>
      <c r="R34" s="169">
        <v>0.48</v>
      </c>
      <c r="S34" s="169">
        <v>7.42</v>
      </c>
      <c r="T34" s="121">
        <v>77.9</v>
      </c>
      <c r="U34" s="119" t="s">
        <v>124</v>
      </c>
      <c r="V34" s="194"/>
      <c r="W34" s="195">
        <f t="shared" si="0"/>
        <v>0.742361111111111</v>
      </c>
    </row>
    <row r="35" ht="12.95" customHeight="1" spans="1:23">
      <c r="A35" s="111">
        <v>29</v>
      </c>
      <c r="B35" s="119">
        <v>178</v>
      </c>
      <c r="C35" s="116">
        <v>94.3</v>
      </c>
      <c r="D35" s="114">
        <v>112</v>
      </c>
      <c r="E35" s="115">
        <v>3.92</v>
      </c>
      <c r="F35" s="116">
        <v>24</v>
      </c>
      <c r="G35" s="117">
        <v>29.5</v>
      </c>
      <c r="H35" s="118">
        <v>40</v>
      </c>
      <c r="I35" s="115">
        <v>2.14</v>
      </c>
      <c r="J35" s="118">
        <v>11</v>
      </c>
      <c r="K35" s="115">
        <v>0.26</v>
      </c>
      <c r="L35" s="169">
        <v>0.83</v>
      </c>
      <c r="M35" s="169">
        <v>8.21</v>
      </c>
      <c r="N35" s="114">
        <v>27</v>
      </c>
      <c r="O35" s="170" t="s">
        <v>143</v>
      </c>
      <c r="P35" s="114">
        <v>5</v>
      </c>
      <c r="Q35" s="169">
        <v>0.09</v>
      </c>
      <c r="R35" s="169">
        <v>0.55</v>
      </c>
      <c r="S35" s="169">
        <v>5.96</v>
      </c>
      <c r="T35" s="121">
        <v>77.4</v>
      </c>
      <c r="U35" s="119" t="s">
        <v>124</v>
      </c>
      <c r="V35" s="194"/>
      <c r="W35" s="195">
        <f t="shared" si="0"/>
        <v>0.797966101694915</v>
      </c>
    </row>
    <row r="36" ht="12.95" customHeight="1" spans="1:23">
      <c r="A36" s="111">
        <v>30</v>
      </c>
      <c r="B36" s="119">
        <v>139</v>
      </c>
      <c r="C36" s="116">
        <v>75.1</v>
      </c>
      <c r="D36" s="114">
        <v>78</v>
      </c>
      <c r="E36" s="115">
        <v>2.17</v>
      </c>
      <c r="F36" s="121">
        <v>19.4</v>
      </c>
      <c r="G36" s="117">
        <v>25.2</v>
      </c>
      <c r="H36" s="118">
        <v>38</v>
      </c>
      <c r="I36" s="115">
        <v>2.06</v>
      </c>
      <c r="J36" s="118">
        <v>10</v>
      </c>
      <c r="K36" s="115">
        <v>0.3</v>
      </c>
      <c r="L36" s="169">
        <v>0.47</v>
      </c>
      <c r="M36" s="169">
        <v>7.42</v>
      </c>
      <c r="N36" s="114">
        <v>25</v>
      </c>
      <c r="O36" s="170" t="s">
        <v>143</v>
      </c>
      <c r="P36" s="114">
        <v>5</v>
      </c>
      <c r="Q36" s="169">
        <v>0.09</v>
      </c>
      <c r="R36" s="169">
        <v>0.42</v>
      </c>
      <c r="S36" s="169">
        <v>6.77</v>
      </c>
      <c r="T36" s="121">
        <v>77.8</v>
      </c>
      <c r="U36" s="119" t="s">
        <v>124</v>
      </c>
      <c r="V36" s="194"/>
      <c r="W36" s="195">
        <f t="shared" si="0"/>
        <v>0.731349206349206</v>
      </c>
    </row>
    <row r="37" ht="12.95" customHeight="1" spans="1:21">
      <c r="A37" s="111" t="s">
        <v>63</v>
      </c>
      <c r="B37" s="114">
        <f>ROUND(AVERAGE(B7:B36),0)</f>
        <v>221</v>
      </c>
      <c r="C37" s="114">
        <f>ROUND(AVERAGE(C7:C36),0)</f>
        <v>115</v>
      </c>
      <c r="D37" s="114">
        <f>ROUND(AVERAGE(D7:D36),0)</f>
        <v>136</v>
      </c>
      <c r="E37" s="115">
        <f>ROUND(AVERAGE(E7:E36),2)</f>
        <v>2.78</v>
      </c>
      <c r="F37" s="121">
        <f>ROUND(AVERAGE(F7:F36),1)</f>
        <v>19.6</v>
      </c>
      <c r="G37" s="121">
        <f>ROUND(AVERAGE(G7:G36),1)</f>
        <v>25.8</v>
      </c>
      <c r="H37" s="127">
        <f>ROUND(AVERAGE(H7:H36),1)</f>
        <v>42.9</v>
      </c>
      <c r="I37" s="173">
        <f>ROUND(AVERAGE(I7:I36),2)</f>
        <v>2.34</v>
      </c>
      <c r="J37" s="174">
        <f>ROUND(AVERAGE(J7:J36),2)</f>
        <v>16.83</v>
      </c>
      <c r="K37" s="173">
        <f>ROUND(AVERAGE(K7:K36),2)</f>
        <v>0.35</v>
      </c>
      <c r="L37" s="173">
        <f>ROUND(AVERAGE(L7:L36),2)</f>
        <v>0.61</v>
      </c>
      <c r="M37" s="175">
        <f>ROUND(AVERAGE(M7:M36),1)</f>
        <v>7.9</v>
      </c>
      <c r="N37" s="114">
        <f>ROUND(AVERAGE(N7:N36),1)</f>
        <v>28.1</v>
      </c>
      <c r="O37" s="176" t="s">
        <v>143</v>
      </c>
      <c r="P37" s="114">
        <f>ROUND(AVERAGE(P7:P36),2)</f>
        <v>5.33</v>
      </c>
      <c r="Q37" s="169">
        <f>ROUND(AVERAGE(Q7:Q36),2)</f>
        <v>0.11</v>
      </c>
      <c r="R37" s="115">
        <f>ROUND(AVERAGE(R7:R36),2)</f>
        <v>0.44</v>
      </c>
      <c r="S37" s="175">
        <f>ROUND(AVERAGE(S7:S36),2)</f>
        <v>7</v>
      </c>
      <c r="T37" s="117">
        <f>ROUND(AVERAGE(T7:T36),2)</f>
        <v>78.02</v>
      </c>
      <c r="U37" s="119" t="s">
        <v>124</v>
      </c>
    </row>
    <row r="38" ht="21" customHeight="1" spans="1:21">
      <c r="A38" s="128" t="s">
        <v>66</v>
      </c>
      <c r="B38" s="129"/>
      <c r="C38" s="129"/>
      <c r="D38" s="130"/>
      <c r="E38" s="131"/>
      <c r="F38" s="132"/>
      <c r="H38"/>
      <c r="I38"/>
      <c r="J38" s="128" t="s">
        <v>67</v>
      </c>
      <c r="K38" s="177"/>
      <c r="L38" s="177"/>
      <c r="M38" s="177"/>
      <c r="N38" s="128"/>
      <c r="O38" s="178"/>
      <c r="P38" s="178"/>
      <c r="Q38" s="196" t="s">
        <v>144</v>
      </c>
      <c r="R38" s="196"/>
      <c r="S38" s="196"/>
      <c r="T38" s="196"/>
      <c r="U38" s="197"/>
    </row>
    <row r="39" ht="21" customHeight="1" spans="1:21">
      <c r="A39" s="133"/>
      <c r="B39" s="134"/>
      <c r="C39" s="135"/>
      <c r="D39" s="136"/>
      <c r="E39" s="137"/>
      <c r="F39" s="138"/>
      <c r="H39"/>
      <c r="I39"/>
      <c r="J39" s="178"/>
      <c r="K39" s="178"/>
      <c r="L39" s="178"/>
      <c r="M39" s="178"/>
      <c r="N39" s="133"/>
      <c r="O39" s="178"/>
      <c r="P39" s="178"/>
      <c r="Q39" s="198"/>
      <c r="R39" s="198"/>
      <c r="S39" s="198"/>
      <c r="T39" s="198"/>
      <c r="U39" s="197"/>
    </row>
    <row r="40" ht="15.75" spans="2:19">
      <c r="B40" s="139" t="s">
        <v>105</v>
      </c>
      <c r="C40" s="139" t="s">
        <v>145</v>
      </c>
      <c r="D40" s="140" t="s">
        <v>146</v>
      </c>
      <c r="E40" s="139" t="s">
        <v>147</v>
      </c>
      <c r="F40" s="139" t="s">
        <v>148</v>
      </c>
      <c r="G40" s="140" t="s">
        <v>146</v>
      </c>
      <c r="H40" s="139" t="s">
        <v>147</v>
      </c>
      <c r="I40" s="140" t="s">
        <v>149</v>
      </c>
      <c r="J40" s="178"/>
      <c r="K40" s="178"/>
      <c r="L40" s="178"/>
      <c r="S40" s="199"/>
    </row>
    <row r="41" ht="30" spans="2:20">
      <c r="B41" s="139"/>
      <c r="C41" s="139"/>
      <c r="D41" s="141" t="s">
        <v>150</v>
      </c>
      <c r="E41" s="139"/>
      <c r="F41" s="139"/>
      <c r="G41" s="141" t="s">
        <v>150</v>
      </c>
      <c r="H41" s="139"/>
      <c r="I41" s="141" t="s">
        <v>151</v>
      </c>
      <c r="J41" s="178"/>
      <c r="K41" s="178"/>
      <c r="L41" s="178"/>
      <c r="M41" s="179"/>
      <c r="N41" s="179"/>
      <c r="O41" s="179"/>
      <c r="P41" s="179"/>
      <c r="Q41" s="179"/>
      <c r="R41" s="179"/>
      <c r="S41" s="200"/>
      <c r="T41" s="200"/>
    </row>
    <row r="42" ht="18" spans="2:18">
      <c r="B42" s="142" t="s">
        <v>152</v>
      </c>
      <c r="C42" s="143">
        <f>B37</f>
        <v>221</v>
      </c>
      <c r="D42" s="144">
        <f>MAX(B7:B36)</f>
        <v>494</v>
      </c>
      <c r="E42" s="144">
        <f>MIN(B7:B36)</f>
        <v>134</v>
      </c>
      <c r="F42" s="145">
        <f>N37</f>
        <v>28.1</v>
      </c>
      <c r="G42" s="146">
        <f>MAX(N7:N36)</f>
        <v>33</v>
      </c>
      <c r="H42" s="144">
        <f>MIN(N7:N36)</f>
        <v>22</v>
      </c>
      <c r="I42" s="180">
        <f t="shared" ref="I42:I47" si="1">1-F42/C42</f>
        <v>0.872850678733032</v>
      </c>
      <c r="J42" s="161"/>
      <c r="K42" s="142" t="s">
        <v>153</v>
      </c>
      <c r="L42" s="181">
        <f>C43/C42</f>
        <v>0.520361990950226</v>
      </c>
      <c r="M42" s="182"/>
      <c r="N42" s="183"/>
      <c r="O42" s="183"/>
      <c r="P42" s="183"/>
      <c r="Q42" s="182"/>
      <c r="R42" s="187"/>
    </row>
    <row r="43" ht="17.25" spans="2:18">
      <c r="B43" s="147" t="s">
        <v>154</v>
      </c>
      <c r="C43" s="148">
        <f>C37</f>
        <v>115</v>
      </c>
      <c r="D43" s="149">
        <f>MAX(C7:C36)</f>
        <v>256</v>
      </c>
      <c r="E43" s="150">
        <f>MIN(C7:C36)</f>
        <v>68.9</v>
      </c>
      <c r="F43" s="151" t="s">
        <v>143</v>
      </c>
      <c r="G43" s="150" t="s">
        <v>143</v>
      </c>
      <c r="H43" s="150" t="s">
        <v>143</v>
      </c>
      <c r="I43" s="184">
        <f>1-2/C43</f>
        <v>0.982608695652174</v>
      </c>
      <c r="J43" s="161"/>
      <c r="K43" s="147" t="s">
        <v>155</v>
      </c>
      <c r="L43" s="185">
        <f>C43/C47</f>
        <v>4.45736434108527</v>
      </c>
      <c r="M43" s="182"/>
      <c r="N43" s="183"/>
      <c r="O43" s="183"/>
      <c r="P43" s="183"/>
      <c r="Q43" s="182"/>
      <c r="R43" s="187"/>
    </row>
    <row r="44" ht="17.25" spans="2:18">
      <c r="B44" s="147" t="s">
        <v>114</v>
      </c>
      <c r="C44" s="152">
        <f>D37</f>
        <v>136</v>
      </c>
      <c r="D44" s="150">
        <f>MAX(D7:D36)</f>
        <v>288</v>
      </c>
      <c r="E44" s="153">
        <f>MIN(D7:D36)</f>
        <v>70</v>
      </c>
      <c r="F44" s="154">
        <f>P37</f>
        <v>5.33</v>
      </c>
      <c r="G44" s="155">
        <f>MAX(P7:P36)</f>
        <v>7</v>
      </c>
      <c r="H44" s="155">
        <f>MIN(P7:P36)</f>
        <v>5</v>
      </c>
      <c r="I44" s="184">
        <f t="shared" si="1"/>
        <v>0.960808823529412</v>
      </c>
      <c r="J44" s="161"/>
      <c r="K44" s="147" t="s">
        <v>156</v>
      </c>
      <c r="L44" s="186">
        <f>C43/C45</f>
        <v>41.3669064748201</v>
      </c>
      <c r="M44" s="187"/>
      <c r="N44" s="187"/>
      <c r="O44" s="187"/>
      <c r="P44" s="187"/>
      <c r="Q44" s="187"/>
      <c r="R44" s="187"/>
    </row>
    <row r="45" ht="17.25" spans="2:12">
      <c r="B45" s="147" t="s">
        <v>116</v>
      </c>
      <c r="C45" s="154">
        <f>E37</f>
        <v>2.78</v>
      </c>
      <c r="D45" s="150">
        <f>MAX(E7:E36)</f>
        <v>5.81</v>
      </c>
      <c r="E45" s="150">
        <f>MIN(E7:E36)</f>
        <v>1.81</v>
      </c>
      <c r="F45" s="154">
        <f>Q37</f>
        <v>0.11</v>
      </c>
      <c r="G45" s="155">
        <f>MAX(Q7:Q36)</f>
        <v>0.19</v>
      </c>
      <c r="H45" s="155">
        <f>MIN(Q7:Q36)</f>
        <v>0.06</v>
      </c>
      <c r="I45" s="184">
        <f t="shared" si="1"/>
        <v>0.960431654676259</v>
      </c>
      <c r="J45" s="161"/>
      <c r="K45" s="147"/>
      <c r="L45" s="188"/>
    </row>
    <row r="46" ht="17.25" spans="2:12">
      <c r="B46" s="147" t="s">
        <v>157</v>
      </c>
      <c r="C46" s="148">
        <f>F37</f>
        <v>19.6</v>
      </c>
      <c r="D46" s="150">
        <f>MAX(F7:F36)</f>
        <v>27.4</v>
      </c>
      <c r="E46" s="150">
        <f>MIN(F7:F36)</f>
        <v>12.9</v>
      </c>
      <c r="F46" s="154">
        <f>R37</f>
        <v>0.44</v>
      </c>
      <c r="G46" s="150">
        <f>MAX(R7:R36)</f>
        <v>0.55</v>
      </c>
      <c r="H46" s="155">
        <f>MIN(R7:R36)</f>
        <v>0.25</v>
      </c>
      <c r="I46" s="184">
        <f t="shared" si="1"/>
        <v>0.977551020408163</v>
      </c>
      <c r="J46" s="161"/>
      <c r="K46" s="147"/>
      <c r="L46" s="188"/>
    </row>
    <row r="47" ht="17.25" spans="2:12">
      <c r="B47" s="156" t="s">
        <v>119</v>
      </c>
      <c r="C47" s="157">
        <f>G37</f>
        <v>25.8</v>
      </c>
      <c r="D47" s="158">
        <f>MAX(G7:G36)</f>
        <v>32.4</v>
      </c>
      <c r="E47" s="158">
        <f>MIN(G7:G36)</f>
        <v>20</v>
      </c>
      <c r="F47" s="159">
        <f>S37</f>
        <v>7</v>
      </c>
      <c r="G47" s="158">
        <f>MAX(S7:S36)</f>
        <v>8.9</v>
      </c>
      <c r="H47" s="158">
        <f>MIN(S7:S36)</f>
        <v>5.44</v>
      </c>
      <c r="I47" s="189">
        <f t="shared" si="1"/>
        <v>0.728682170542636</v>
      </c>
      <c r="J47" s="161"/>
      <c r="K47" s="156"/>
      <c r="L47" s="190"/>
    </row>
    <row r="48" ht="17.25" spans="2:12">
      <c r="B48" s="160"/>
      <c r="C48" s="161"/>
      <c r="D48" s="161"/>
      <c r="E48" s="161"/>
      <c r="F48" s="161"/>
      <c r="G48" s="161"/>
      <c r="H48" s="162"/>
      <c r="I48" s="161"/>
      <c r="J48" s="161"/>
      <c r="K48" s="162"/>
      <c r="L48" s="161"/>
    </row>
    <row r="49" spans="2:2">
      <c r="B49" s="163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opLeftCell="A112" workbookViewId="0">
      <selection activeCell="J313" sqref="J313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158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44287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159</v>
      </c>
      <c r="B3" s="6" t="s">
        <v>160</v>
      </c>
      <c r="C3" s="6" t="s">
        <v>161</v>
      </c>
      <c r="D3" s="6" t="s">
        <v>162</v>
      </c>
      <c r="E3" s="60" t="s">
        <v>163</v>
      </c>
      <c r="F3" s="60" t="s">
        <v>164</v>
      </c>
      <c r="G3" s="61" t="s">
        <v>165</v>
      </c>
      <c r="H3" s="62" t="s">
        <v>166</v>
      </c>
      <c r="I3" s="60" t="s">
        <v>167</v>
      </c>
      <c r="J3" s="6" t="s">
        <v>168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169</v>
      </c>
      <c r="E5" s="60" t="s">
        <v>170</v>
      </c>
      <c r="F5" s="60" t="s">
        <v>171</v>
      </c>
      <c r="G5" s="61" t="s">
        <v>171</v>
      </c>
      <c r="H5" s="62" t="s">
        <v>172</v>
      </c>
      <c r="I5" s="60" t="s">
        <v>172</v>
      </c>
      <c r="J5" s="6"/>
    </row>
    <row r="6" customHeight="1" spans="1:10">
      <c r="A6" s="64" t="s">
        <v>173</v>
      </c>
      <c r="B6" s="65" t="s">
        <v>174</v>
      </c>
      <c r="C6" s="65" t="s">
        <v>175</v>
      </c>
      <c r="D6" s="65">
        <v>30</v>
      </c>
      <c r="E6" s="65">
        <v>2</v>
      </c>
      <c r="F6" s="65">
        <v>60</v>
      </c>
      <c r="G6" s="65">
        <v>60</v>
      </c>
      <c r="H6" s="66">
        <v>1</v>
      </c>
      <c r="I6" s="66">
        <v>1</v>
      </c>
      <c r="J6" s="65" t="s">
        <v>176</v>
      </c>
    </row>
    <row r="7" customHeight="1" spans="1:10">
      <c r="A7" s="64"/>
      <c r="B7" s="65"/>
      <c r="C7" s="65" t="s">
        <v>177</v>
      </c>
      <c r="D7" s="65">
        <v>30</v>
      </c>
      <c r="E7" s="65">
        <v>2</v>
      </c>
      <c r="F7" s="65">
        <v>60</v>
      </c>
      <c r="G7" s="65">
        <v>60</v>
      </c>
      <c r="H7" s="66">
        <v>1</v>
      </c>
      <c r="I7" s="66">
        <v>1</v>
      </c>
      <c r="J7" s="65" t="s">
        <v>176</v>
      </c>
    </row>
    <row r="8" customHeight="1" spans="1:10">
      <c r="A8" s="64"/>
      <c r="B8" s="65" t="s">
        <v>178</v>
      </c>
      <c r="C8" s="65" t="s">
        <v>64</v>
      </c>
      <c r="D8" s="65">
        <v>30</v>
      </c>
      <c r="E8" s="65">
        <v>2</v>
      </c>
      <c r="F8" s="65">
        <v>60</v>
      </c>
      <c r="G8" s="65">
        <v>60</v>
      </c>
      <c r="H8" s="66">
        <v>1</v>
      </c>
      <c r="I8" s="66">
        <v>1</v>
      </c>
      <c r="J8" s="65" t="s">
        <v>176</v>
      </c>
    </row>
    <row r="9" customHeight="1" spans="1:10">
      <c r="A9" s="64"/>
      <c r="B9" s="65" t="s">
        <v>179</v>
      </c>
      <c r="C9" s="65" t="s">
        <v>64</v>
      </c>
      <c r="D9" s="65">
        <v>30</v>
      </c>
      <c r="E9" s="65">
        <v>2</v>
      </c>
      <c r="F9" s="65">
        <v>60</v>
      </c>
      <c r="G9" s="65">
        <v>60</v>
      </c>
      <c r="H9" s="66">
        <v>1</v>
      </c>
      <c r="I9" s="66">
        <v>1</v>
      </c>
      <c r="J9" s="65" t="s">
        <v>176</v>
      </c>
    </row>
    <row r="10" customHeight="1" spans="1:10">
      <c r="A10" s="64"/>
      <c r="B10" s="65" t="s">
        <v>180</v>
      </c>
      <c r="C10" s="65" t="s">
        <v>175</v>
      </c>
      <c r="D10" s="65">
        <v>30</v>
      </c>
      <c r="E10" s="65">
        <v>24</v>
      </c>
      <c r="F10" s="65">
        <v>720</v>
      </c>
      <c r="G10" s="65">
        <v>694</v>
      </c>
      <c r="H10" s="66">
        <v>0.963888888888889</v>
      </c>
      <c r="I10" s="66">
        <v>1</v>
      </c>
      <c r="J10" s="65" t="s">
        <v>181</v>
      </c>
    </row>
    <row r="11" customHeight="1" spans="1:10">
      <c r="A11" s="64"/>
      <c r="B11" s="65"/>
      <c r="C11" s="65" t="s">
        <v>177</v>
      </c>
      <c r="D11" s="65">
        <v>30</v>
      </c>
      <c r="E11" s="65">
        <v>24</v>
      </c>
      <c r="F11" s="65">
        <v>720</v>
      </c>
      <c r="G11" s="65">
        <v>397</v>
      </c>
      <c r="H11" s="66">
        <v>0.551388888888889</v>
      </c>
      <c r="I11" s="66">
        <v>1</v>
      </c>
      <c r="J11" s="65" t="s">
        <v>181</v>
      </c>
    </row>
    <row r="12" customHeight="1" spans="1:10">
      <c r="A12" s="64"/>
      <c r="B12" s="65"/>
      <c r="C12" s="65" t="s">
        <v>182</v>
      </c>
      <c r="D12" s="65">
        <v>30</v>
      </c>
      <c r="E12" s="65">
        <v>24</v>
      </c>
      <c r="F12" s="65">
        <v>720</v>
      </c>
      <c r="G12" s="65">
        <v>0</v>
      </c>
      <c r="H12" s="66">
        <v>0</v>
      </c>
      <c r="I12" s="66">
        <v>1</v>
      </c>
      <c r="J12" s="65" t="s">
        <v>181</v>
      </c>
    </row>
    <row r="13" customHeight="1" spans="1:10">
      <c r="A13" s="64"/>
      <c r="B13" s="65"/>
      <c r="C13" s="65" t="s">
        <v>183</v>
      </c>
      <c r="D13" s="65">
        <v>30</v>
      </c>
      <c r="E13" s="65">
        <v>24</v>
      </c>
      <c r="F13" s="65">
        <v>720</v>
      </c>
      <c r="G13" s="65">
        <v>401</v>
      </c>
      <c r="H13" s="66">
        <v>0.556944444444444</v>
      </c>
      <c r="I13" s="66">
        <v>1</v>
      </c>
      <c r="J13" s="65" t="s">
        <v>181</v>
      </c>
    </row>
    <row r="14" customHeight="1" spans="1:10">
      <c r="A14" s="64"/>
      <c r="B14" s="65"/>
      <c r="C14" s="65" t="s">
        <v>184</v>
      </c>
      <c r="D14" s="65">
        <v>30</v>
      </c>
      <c r="E14" s="65">
        <v>24</v>
      </c>
      <c r="F14" s="65">
        <v>720</v>
      </c>
      <c r="G14" s="65">
        <v>710</v>
      </c>
      <c r="H14" s="66">
        <v>0.99</v>
      </c>
      <c r="I14" s="66">
        <v>1</v>
      </c>
      <c r="J14" s="65" t="s">
        <v>181</v>
      </c>
    </row>
    <row r="15" customHeight="1" spans="1:10">
      <c r="A15" s="64"/>
      <c r="B15" s="65" t="s">
        <v>185</v>
      </c>
      <c r="C15" s="65" t="s">
        <v>175</v>
      </c>
      <c r="D15" s="65">
        <v>30</v>
      </c>
      <c r="E15" s="65">
        <v>2.4</v>
      </c>
      <c r="F15" s="65">
        <v>72</v>
      </c>
      <c r="G15" s="65">
        <v>72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177</v>
      </c>
      <c r="D16" s="65">
        <v>30</v>
      </c>
      <c r="E16" s="65">
        <v>2.4</v>
      </c>
      <c r="F16" s="65">
        <v>72</v>
      </c>
      <c r="G16" s="65">
        <v>72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182</v>
      </c>
      <c r="D17" s="65">
        <v>30</v>
      </c>
      <c r="E17" s="65">
        <v>2.4</v>
      </c>
      <c r="F17" s="65">
        <v>72</v>
      </c>
      <c r="G17" s="65">
        <v>72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183</v>
      </c>
      <c r="D18" s="65">
        <v>30</v>
      </c>
      <c r="E18" s="65">
        <v>2.4</v>
      </c>
      <c r="F18" s="65">
        <v>72</v>
      </c>
      <c r="G18" s="65">
        <v>72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184</v>
      </c>
      <c r="D19" s="65">
        <v>30</v>
      </c>
      <c r="E19" s="65">
        <v>2.4</v>
      </c>
      <c r="F19" s="65">
        <v>72</v>
      </c>
      <c r="G19" s="65">
        <v>72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186</v>
      </c>
      <c r="D20" s="65">
        <v>30</v>
      </c>
      <c r="E20" s="65">
        <v>2.4</v>
      </c>
      <c r="F20" s="65">
        <v>72</v>
      </c>
      <c r="G20" s="65">
        <v>72</v>
      </c>
      <c r="H20" s="66">
        <v>1</v>
      </c>
      <c r="I20" s="66">
        <v>1</v>
      </c>
      <c r="J20" s="65"/>
    </row>
    <row r="21" customHeight="1" spans="1:10">
      <c r="A21" s="64"/>
      <c r="B21" s="65" t="s">
        <v>178</v>
      </c>
      <c r="C21" s="65" t="s">
        <v>175</v>
      </c>
      <c r="D21" s="65">
        <v>30</v>
      </c>
      <c r="E21" s="65">
        <v>2</v>
      </c>
      <c r="F21" s="65">
        <v>60</v>
      </c>
      <c r="G21" s="65">
        <v>15</v>
      </c>
      <c r="H21" s="66">
        <v>0.25</v>
      </c>
      <c r="I21" s="66">
        <v>1</v>
      </c>
      <c r="J21" s="65"/>
    </row>
    <row r="22" customHeight="1" spans="1:10">
      <c r="A22" s="64"/>
      <c r="B22" s="65"/>
      <c r="C22" s="65" t="s">
        <v>177</v>
      </c>
      <c r="D22" s="65">
        <v>30</v>
      </c>
      <c r="E22" s="65">
        <v>2</v>
      </c>
      <c r="F22" s="65">
        <v>60</v>
      </c>
      <c r="G22" s="65">
        <v>15</v>
      </c>
      <c r="H22" s="66">
        <v>0.25</v>
      </c>
      <c r="I22" s="66">
        <v>1</v>
      </c>
      <c r="J22" s="65"/>
    </row>
    <row r="23" customHeight="1" spans="1:10">
      <c r="A23" s="64"/>
      <c r="B23" s="65" t="s">
        <v>179</v>
      </c>
      <c r="C23" s="65" t="s">
        <v>175</v>
      </c>
      <c r="D23" s="65">
        <v>30</v>
      </c>
      <c r="E23" s="65">
        <v>2</v>
      </c>
      <c r="F23" s="65">
        <v>60</v>
      </c>
      <c r="G23" s="65">
        <v>15</v>
      </c>
      <c r="H23" s="66">
        <v>0.25</v>
      </c>
      <c r="I23" s="66">
        <v>1</v>
      </c>
      <c r="J23" s="65"/>
    </row>
    <row r="24" customHeight="1" spans="1:10">
      <c r="A24" s="64"/>
      <c r="B24" s="65"/>
      <c r="C24" s="65" t="s">
        <v>177</v>
      </c>
      <c r="D24" s="65">
        <v>30</v>
      </c>
      <c r="E24" s="65">
        <v>2</v>
      </c>
      <c r="F24" s="65">
        <v>60</v>
      </c>
      <c r="G24" s="65">
        <v>15</v>
      </c>
      <c r="H24" s="66">
        <v>0.25</v>
      </c>
      <c r="I24" s="66">
        <v>1</v>
      </c>
      <c r="J24" s="65"/>
    </row>
    <row r="25" customHeight="1" spans="1:10">
      <c r="A25" s="64"/>
      <c r="B25" s="65" t="s">
        <v>187</v>
      </c>
      <c r="C25" s="65" t="s">
        <v>175</v>
      </c>
      <c r="D25" s="65">
        <v>30</v>
      </c>
      <c r="E25" s="65">
        <v>24</v>
      </c>
      <c r="F25" s="65">
        <v>720</v>
      </c>
      <c r="G25" s="65">
        <v>0</v>
      </c>
      <c r="H25" s="66">
        <v>0</v>
      </c>
      <c r="I25" s="66">
        <v>1</v>
      </c>
      <c r="J25" s="65"/>
    </row>
    <row r="26" customHeight="1" spans="1:10">
      <c r="A26" s="64"/>
      <c r="B26" s="65" t="s">
        <v>188</v>
      </c>
      <c r="C26" s="65" t="s">
        <v>175</v>
      </c>
      <c r="D26" s="65">
        <v>30</v>
      </c>
      <c r="E26" s="65">
        <v>0.5</v>
      </c>
      <c r="F26" s="65">
        <v>15</v>
      </c>
      <c r="G26" s="65">
        <v>15</v>
      </c>
      <c r="H26" s="66">
        <v>1</v>
      </c>
      <c r="I26" s="66">
        <v>1</v>
      </c>
      <c r="J26" s="65"/>
    </row>
    <row r="27" customHeight="1" spans="1:10">
      <c r="A27" s="64"/>
      <c r="B27" s="65" t="s">
        <v>187</v>
      </c>
      <c r="C27" s="65" t="s">
        <v>177</v>
      </c>
      <c r="D27" s="65">
        <v>30</v>
      </c>
      <c r="E27" s="65">
        <v>24</v>
      </c>
      <c r="F27" s="65">
        <v>720</v>
      </c>
      <c r="G27" s="65">
        <v>720</v>
      </c>
      <c r="H27" s="66">
        <v>1</v>
      </c>
      <c r="I27" s="66">
        <v>1</v>
      </c>
      <c r="J27" s="65"/>
    </row>
    <row r="28" customHeight="1" spans="1:10">
      <c r="A28" s="64"/>
      <c r="B28" s="65" t="s">
        <v>188</v>
      </c>
      <c r="C28" s="65" t="s">
        <v>177</v>
      </c>
      <c r="D28" s="65">
        <v>30</v>
      </c>
      <c r="E28" s="65">
        <v>0.5</v>
      </c>
      <c r="F28" s="65">
        <v>15</v>
      </c>
      <c r="G28" s="65">
        <v>15</v>
      </c>
      <c r="H28" s="66">
        <v>1</v>
      </c>
      <c r="I28" s="66">
        <v>1</v>
      </c>
      <c r="J28" s="65"/>
    </row>
    <row r="29" customHeight="1" spans="1:10">
      <c r="A29" s="64"/>
      <c r="B29" s="65" t="s">
        <v>187</v>
      </c>
      <c r="C29" s="65" t="s">
        <v>182</v>
      </c>
      <c r="D29" s="65">
        <v>30</v>
      </c>
      <c r="E29" s="65">
        <v>24</v>
      </c>
      <c r="F29" s="65">
        <v>720</v>
      </c>
      <c r="G29" s="65">
        <v>720</v>
      </c>
      <c r="H29" s="66">
        <v>1</v>
      </c>
      <c r="I29" s="66">
        <v>1</v>
      </c>
      <c r="J29" s="65"/>
    </row>
    <row r="30" customHeight="1" spans="1:10">
      <c r="A30" s="64"/>
      <c r="B30" s="65" t="s">
        <v>188</v>
      </c>
      <c r="C30" s="65" t="s">
        <v>182</v>
      </c>
      <c r="D30" s="65">
        <v>30</v>
      </c>
      <c r="E30" s="65">
        <v>0.5</v>
      </c>
      <c r="F30" s="65">
        <v>15</v>
      </c>
      <c r="G30" s="65">
        <v>15</v>
      </c>
      <c r="H30" s="66">
        <v>1</v>
      </c>
      <c r="I30" s="66">
        <v>1</v>
      </c>
      <c r="J30" s="65"/>
    </row>
    <row r="31" customHeight="1" spans="1:10">
      <c r="A31" s="64"/>
      <c r="B31" s="65" t="s">
        <v>187</v>
      </c>
      <c r="C31" s="65" t="s">
        <v>183</v>
      </c>
      <c r="D31" s="65">
        <v>30</v>
      </c>
      <c r="E31" s="65">
        <v>24</v>
      </c>
      <c r="F31" s="65">
        <v>720</v>
      </c>
      <c r="G31" s="65">
        <v>0</v>
      </c>
      <c r="H31" s="66">
        <v>0</v>
      </c>
      <c r="I31" s="66">
        <v>1</v>
      </c>
      <c r="J31" s="65"/>
    </row>
    <row r="32" customHeight="1" spans="1:10">
      <c r="A32" s="64"/>
      <c r="B32" s="65" t="s">
        <v>188</v>
      </c>
      <c r="C32" s="65" t="s">
        <v>183</v>
      </c>
      <c r="D32" s="65">
        <v>30</v>
      </c>
      <c r="E32" s="65">
        <v>0.5</v>
      </c>
      <c r="F32" s="65">
        <v>15</v>
      </c>
      <c r="G32" s="65">
        <v>15</v>
      </c>
      <c r="H32" s="66">
        <v>1</v>
      </c>
      <c r="I32" s="66">
        <v>1</v>
      </c>
      <c r="J32" s="65"/>
    </row>
    <row r="33" customHeight="1" spans="1:10">
      <c r="A33" s="64"/>
      <c r="B33" s="65" t="s">
        <v>189</v>
      </c>
      <c r="C33" s="65" t="s">
        <v>175</v>
      </c>
      <c r="D33" s="65">
        <v>30</v>
      </c>
      <c r="E33" s="65">
        <v>24</v>
      </c>
      <c r="F33" s="65">
        <v>720</v>
      </c>
      <c r="G33" s="65">
        <v>248</v>
      </c>
      <c r="H33" s="66">
        <v>0.344444444444444</v>
      </c>
      <c r="I33" s="66">
        <v>1</v>
      </c>
      <c r="J33" s="65"/>
    </row>
    <row r="34" customHeight="1" spans="1:10">
      <c r="A34" s="64"/>
      <c r="B34" s="65"/>
      <c r="C34" s="65" t="s">
        <v>177</v>
      </c>
      <c r="D34" s="65">
        <v>30</v>
      </c>
      <c r="E34" s="65">
        <v>24</v>
      </c>
      <c r="F34" s="65">
        <v>720</v>
      </c>
      <c r="G34" s="65">
        <v>110</v>
      </c>
      <c r="H34" s="66">
        <v>0.152777777777778</v>
      </c>
      <c r="I34" s="66">
        <v>1</v>
      </c>
      <c r="J34" s="65"/>
    </row>
    <row r="35" customHeight="1" spans="1:10">
      <c r="A35" s="64"/>
      <c r="B35" s="65"/>
      <c r="C35" s="65" t="s">
        <v>182</v>
      </c>
      <c r="D35" s="65">
        <v>30</v>
      </c>
      <c r="E35" s="65">
        <v>24</v>
      </c>
      <c r="F35" s="65">
        <v>720</v>
      </c>
      <c r="G35" s="65">
        <v>470</v>
      </c>
      <c r="H35" s="66">
        <v>0.652777777777778</v>
      </c>
      <c r="I35" s="66">
        <v>1</v>
      </c>
      <c r="J35" s="65"/>
    </row>
    <row r="36" customHeight="1" spans="1:10">
      <c r="A36" s="64"/>
      <c r="B36" s="65"/>
      <c r="C36" s="65" t="s">
        <v>183</v>
      </c>
      <c r="D36" s="65">
        <v>30</v>
      </c>
      <c r="E36" s="65">
        <v>24</v>
      </c>
      <c r="F36" s="65">
        <v>720</v>
      </c>
      <c r="G36" s="65">
        <v>0</v>
      </c>
      <c r="H36" s="66">
        <v>0</v>
      </c>
      <c r="I36" s="66">
        <v>1</v>
      </c>
      <c r="J36" s="65"/>
    </row>
    <row r="37" customHeight="1" spans="1:10">
      <c r="A37" s="64"/>
      <c r="B37" s="65"/>
      <c r="C37" s="65" t="s">
        <v>184</v>
      </c>
      <c r="D37" s="65">
        <v>30</v>
      </c>
      <c r="E37" s="65">
        <v>24</v>
      </c>
      <c r="F37" s="65">
        <v>720</v>
      </c>
      <c r="G37" s="65">
        <v>700</v>
      </c>
      <c r="H37" s="66">
        <v>0.972222222222222</v>
      </c>
      <c r="I37" s="66">
        <v>1</v>
      </c>
      <c r="J37" s="65"/>
    </row>
    <row r="38" customHeight="1" spans="1:10">
      <c r="A38" s="67" t="s">
        <v>66</v>
      </c>
      <c r="B38" s="67"/>
      <c r="C38" s="68"/>
      <c r="D38" s="68"/>
      <c r="E38" s="69" t="s">
        <v>67</v>
      </c>
      <c r="F38" s="69"/>
      <c r="G38" s="70"/>
      <c r="H38" s="71" t="s">
        <v>144</v>
      </c>
      <c r="I38" s="71"/>
      <c r="J38" s="71"/>
    </row>
    <row r="39" ht="34" customHeight="1"/>
    <row r="46" ht="33" customHeight="1" spans="1:10">
      <c r="A46" s="57" t="s">
        <v>158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2">
        <v>44287</v>
      </c>
      <c r="B47" s="72"/>
      <c r="C47" s="72"/>
      <c r="D47" s="72"/>
      <c r="E47" s="72"/>
      <c r="F47" s="72"/>
      <c r="G47" s="72"/>
      <c r="H47" s="72"/>
      <c r="I47" s="72"/>
      <c r="J47" s="72"/>
    </row>
    <row r="48" customHeight="1" spans="1:10">
      <c r="A48" s="6" t="s">
        <v>159</v>
      </c>
      <c r="B48" s="6" t="s">
        <v>160</v>
      </c>
      <c r="C48" s="6" t="s">
        <v>161</v>
      </c>
      <c r="D48" s="6" t="s">
        <v>162</v>
      </c>
      <c r="E48" s="60" t="s">
        <v>163</v>
      </c>
      <c r="F48" s="60" t="s">
        <v>164</v>
      </c>
      <c r="G48" s="61" t="s">
        <v>165</v>
      </c>
      <c r="H48" s="62" t="s">
        <v>166</v>
      </c>
      <c r="I48" s="60" t="s">
        <v>167</v>
      </c>
      <c r="J48" s="6" t="s">
        <v>168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3"/>
      <c r="D50" s="8" t="s">
        <v>169</v>
      </c>
      <c r="E50" s="74" t="s">
        <v>170</v>
      </c>
      <c r="F50" s="74" t="s">
        <v>171</v>
      </c>
      <c r="G50" s="75" t="s">
        <v>171</v>
      </c>
      <c r="H50" s="76" t="s">
        <v>172</v>
      </c>
      <c r="I50" s="60" t="s">
        <v>172</v>
      </c>
      <c r="J50" s="6"/>
    </row>
    <row r="51" customHeight="1" spans="1:10">
      <c r="A51" s="77" t="s">
        <v>190</v>
      </c>
      <c r="B51" s="64" t="s">
        <v>191</v>
      </c>
      <c r="C51" s="65" t="s">
        <v>175</v>
      </c>
      <c r="D51" s="65">
        <v>30</v>
      </c>
      <c r="E51" s="65">
        <v>24</v>
      </c>
      <c r="F51" s="65">
        <v>720</v>
      </c>
      <c r="G51" s="65">
        <v>0</v>
      </c>
      <c r="H51" s="66">
        <v>0</v>
      </c>
      <c r="I51" s="79">
        <v>1</v>
      </c>
      <c r="J51" s="65"/>
    </row>
    <row r="52" customHeight="1" spans="1:10">
      <c r="A52" s="78"/>
      <c r="B52" s="65"/>
      <c r="C52" s="65" t="s">
        <v>177</v>
      </c>
      <c r="D52" s="65">
        <v>30</v>
      </c>
      <c r="E52" s="65">
        <v>24</v>
      </c>
      <c r="F52" s="65">
        <v>720</v>
      </c>
      <c r="G52" s="65">
        <v>0</v>
      </c>
      <c r="H52" s="66">
        <v>0</v>
      </c>
      <c r="I52" s="79">
        <v>1</v>
      </c>
      <c r="J52" s="65"/>
    </row>
    <row r="53" customHeight="1" spans="1:10">
      <c r="A53" s="78"/>
      <c r="B53" s="65"/>
      <c r="C53" s="65" t="s">
        <v>182</v>
      </c>
      <c r="D53" s="65">
        <v>30</v>
      </c>
      <c r="E53" s="65">
        <v>24</v>
      </c>
      <c r="F53" s="65">
        <v>720</v>
      </c>
      <c r="G53" s="65">
        <v>0</v>
      </c>
      <c r="H53" s="66">
        <v>0</v>
      </c>
      <c r="I53" s="79">
        <v>1</v>
      </c>
      <c r="J53" s="65"/>
    </row>
    <row r="54" customHeight="1" spans="1:10">
      <c r="A54" s="78"/>
      <c r="B54" s="65"/>
      <c r="C54" s="65" t="s">
        <v>183</v>
      </c>
      <c r="D54" s="65">
        <v>30</v>
      </c>
      <c r="E54" s="65">
        <v>24</v>
      </c>
      <c r="F54" s="65">
        <v>720</v>
      </c>
      <c r="G54" s="65">
        <v>0</v>
      </c>
      <c r="H54" s="66">
        <v>0</v>
      </c>
      <c r="I54" s="79">
        <v>1</v>
      </c>
      <c r="J54" s="65"/>
    </row>
    <row r="55" customHeight="1" spans="1:10">
      <c r="A55" s="78"/>
      <c r="B55" s="65"/>
      <c r="C55" s="65" t="s">
        <v>184</v>
      </c>
      <c r="D55" s="65">
        <v>30</v>
      </c>
      <c r="E55" s="65">
        <v>24</v>
      </c>
      <c r="F55" s="65">
        <v>720</v>
      </c>
      <c r="G55" s="65">
        <v>0</v>
      </c>
      <c r="H55" s="66">
        <v>0</v>
      </c>
      <c r="I55" s="79">
        <v>1</v>
      </c>
      <c r="J55" s="65"/>
    </row>
    <row r="56" customHeight="1" spans="1:10">
      <c r="A56" s="78"/>
      <c r="B56" s="65"/>
      <c r="C56" s="65" t="s">
        <v>186</v>
      </c>
      <c r="D56" s="65">
        <v>30</v>
      </c>
      <c r="E56" s="65">
        <v>24</v>
      </c>
      <c r="F56" s="65">
        <v>720</v>
      </c>
      <c r="G56" s="65">
        <v>0</v>
      </c>
      <c r="H56" s="66">
        <v>0</v>
      </c>
      <c r="I56" s="79">
        <v>1</v>
      </c>
      <c r="J56" s="65"/>
    </row>
    <row r="57" customHeight="1" spans="1:10">
      <c r="A57" s="78"/>
      <c r="B57" s="65"/>
      <c r="C57" s="65" t="s">
        <v>192</v>
      </c>
      <c r="D57" s="65">
        <v>30</v>
      </c>
      <c r="E57" s="65">
        <v>24</v>
      </c>
      <c r="F57" s="65">
        <v>720</v>
      </c>
      <c r="G57" s="65">
        <v>0</v>
      </c>
      <c r="H57" s="66">
        <v>0</v>
      </c>
      <c r="I57" s="79">
        <v>1</v>
      </c>
      <c r="J57" s="65"/>
    </row>
    <row r="58" customHeight="1" spans="1:10">
      <c r="A58" s="78"/>
      <c r="B58" s="65"/>
      <c r="C58" s="65" t="s">
        <v>193</v>
      </c>
      <c r="D58" s="65">
        <v>30</v>
      </c>
      <c r="E58" s="65">
        <v>24</v>
      </c>
      <c r="F58" s="65">
        <v>720</v>
      </c>
      <c r="G58" s="65">
        <v>0</v>
      </c>
      <c r="H58" s="66">
        <v>0</v>
      </c>
      <c r="I58" s="79">
        <v>1</v>
      </c>
      <c r="J58" s="65"/>
    </row>
    <row r="59" customHeight="1" spans="1:10">
      <c r="A59" s="78"/>
      <c r="B59" s="65"/>
      <c r="C59" s="65" t="s">
        <v>194</v>
      </c>
      <c r="D59" s="65">
        <v>30</v>
      </c>
      <c r="E59" s="65">
        <v>24</v>
      </c>
      <c r="F59" s="65">
        <v>720</v>
      </c>
      <c r="G59" s="65">
        <v>0</v>
      </c>
      <c r="H59" s="66">
        <v>0</v>
      </c>
      <c r="I59" s="79">
        <v>1</v>
      </c>
      <c r="J59" s="65"/>
    </row>
    <row r="60" customHeight="1" spans="1:10">
      <c r="A60" s="78"/>
      <c r="B60" s="65"/>
      <c r="C60" s="65" t="s">
        <v>195</v>
      </c>
      <c r="D60" s="65">
        <v>30</v>
      </c>
      <c r="E60" s="65">
        <v>24</v>
      </c>
      <c r="F60" s="65">
        <v>720</v>
      </c>
      <c r="G60" s="65">
        <v>0</v>
      </c>
      <c r="H60" s="66">
        <v>0</v>
      </c>
      <c r="I60" s="79">
        <v>1</v>
      </c>
      <c r="J60" s="65"/>
    </row>
    <row r="61" customHeight="1" spans="1:10">
      <c r="A61" s="78"/>
      <c r="B61" s="65"/>
      <c r="C61" s="65" t="s">
        <v>196</v>
      </c>
      <c r="D61" s="65">
        <v>30</v>
      </c>
      <c r="E61" s="65">
        <v>24</v>
      </c>
      <c r="F61" s="65">
        <v>720</v>
      </c>
      <c r="G61" s="65">
        <v>0</v>
      </c>
      <c r="H61" s="66">
        <v>0</v>
      </c>
      <c r="I61" s="79">
        <v>1</v>
      </c>
      <c r="J61" s="65"/>
    </row>
    <row r="62" customHeight="1" spans="1:10">
      <c r="A62" s="78"/>
      <c r="B62" s="65"/>
      <c r="C62" s="65" t="s">
        <v>197</v>
      </c>
      <c r="D62" s="65">
        <v>30</v>
      </c>
      <c r="E62" s="65">
        <v>24</v>
      </c>
      <c r="F62" s="65">
        <v>720</v>
      </c>
      <c r="G62" s="65">
        <v>0</v>
      </c>
      <c r="H62" s="66">
        <v>0</v>
      </c>
      <c r="I62" s="79">
        <v>1</v>
      </c>
      <c r="J62" s="65"/>
    </row>
    <row r="63" customHeight="1" spans="1:10">
      <c r="A63" s="78"/>
      <c r="B63" s="65"/>
      <c r="C63" s="65" t="s">
        <v>198</v>
      </c>
      <c r="D63" s="65">
        <v>30</v>
      </c>
      <c r="E63" s="65">
        <v>24</v>
      </c>
      <c r="F63" s="65">
        <v>720</v>
      </c>
      <c r="G63" s="65">
        <v>0</v>
      </c>
      <c r="H63" s="66">
        <v>0</v>
      </c>
      <c r="I63" s="79">
        <v>1</v>
      </c>
      <c r="J63" s="65"/>
    </row>
    <row r="64" customHeight="1" spans="1:10">
      <c r="A64" s="78"/>
      <c r="B64" s="65"/>
      <c r="C64" s="65" t="s">
        <v>199</v>
      </c>
      <c r="D64" s="65">
        <v>30</v>
      </c>
      <c r="E64" s="65">
        <v>24</v>
      </c>
      <c r="F64" s="65">
        <v>720</v>
      </c>
      <c r="G64" s="65">
        <v>0</v>
      </c>
      <c r="H64" s="66">
        <v>0</v>
      </c>
      <c r="I64" s="79">
        <v>1</v>
      </c>
      <c r="J64" s="65"/>
    </row>
    <row r="65" customHeight="1" spans="1:10">
      <c r="A65" s="78"/>
      <c r="B65" s="65"/>
      <c r="C65" s="65" t="s">
        <v>200</v>
      </c>
      <c r="D65" s="65">
        <v>30</v>
      </c>
      <c r="E65" s="65">
        <v>24</v>
      </c>
      <c r="F65" s="65">
        <v>720</v>
      </c>
      <c r="G65" s="65">
        <v>0</v>
      </c>
      <c r="H65" s="66">
        <v>0</v>
      </c>
      <c r="I65" s="79">
        <v>1</v>
      </c>
      <c r="J65" s="65"/>
    </row>
    <row r="66" customHeight="1" spans="1:10">
      <c r="A66" s="78"/>
      <c r="B66" s="65"/>
      <c r="C66" s="65" t="s">
        <v>201</v>
      </c>
      <c r="D66" s="65">
        <v>30</v>
      </c>
      <c r="E66" s="65">
        <v>24</v>
      </c>
      <c r="F66" s="65">
        <v>720</v>
      </c>
      <c r="G66" s="65">
        <v>0</v>
      </c>
      <c r="H66" s="66">
        <v>0</v>
      </c>
      <c r="I66" s="79">
        <v>1</v>
      </c>
      <c r="J66" s="65"/>
    </row>
    <row r="67" customHeight="1" spans="1:10">
      <c r="A67" s="78"/>
      <c r="B67" s="65"/>
      <c r="C67" s="65" t="s">
        <v>202</v>
      </c>
      <c r="D67" s="65">
        <v>30</v>
      </c>
      <c r="E67" s="65">
        <v>24</v>
      </c>
      <c r="F67" s="65">
        <v>720</v>
      </c>
      <c r="G67" s="65">
        <v>0</v>
      </c>
      <c r="H67" s="66">
        <v>0</v>
      </c>
      <c r="I67" s="79">
        <v>1</v>
      </c>
      <c r="J67" s="65"/>
    </row>
    <row r="68" customHeight="1" spans="1:10">
      <c r="A68" s="78"/>
      <c r="B68" s="65"/>
      <c r="C68" s="65" t="s">
        <v>203</v>
      </c>
      <c r="D68" s="65">
        <v>30</v>
      </c>
      <c r="E68" s="65">
        <v>24</v>
      </c>
      <c r="F68" s="65">
        <v>720</v>
      </c>
      <c r="G68" s="65">
        <v>0</v>
      </c>
      <c r="H68" s="66">
        <v>0</v>
      </c>
      <c r="I68" s="79">
        <v>1</v>
      </c>
      <c r="J68" s="65"/>
    </row>
    <row r="69" customHeight="1" spans="1:10">
      <c r="A69" s="78"/>
      <c r="B69" s="64" t="s">
        <v>204</v>
      </c>
      <c r="C69" s="65" t="s">
        <v>205</v>
      </c>
      <c r="D69" s="65">
        <v>30</v>
      </c>
      <c r="E69" s="65">
        <v>24</v>
      </c>
      <c r="F69" s="65">
        <v>720</v>
      </c>
      <c r="G69" s="65">
        <v>0</v>
      </c>
      <c r="H69" s="66">
        <v>0</v>
      </c>
      <c r="I69" s="79">
        <v>1</v>
      </c>
      <c r="J69" s="65"/>
    </row>
    <row r="70" customHeight="1" spans="1:10">
      <c r="A70" s="78"/>
      <c r="B70" s="65"/>
      <c r="C70" s="65" t="s">
        <v>206</v>
      </c>
      <c r="D70" s="65">
        <v>30</v>
      </c>
      <c r="E70" s="65">
        <v>24</v>
      </c>
      <c r="F70" s="65">
        <v>720</v>
      </c>
      <c r="G70" s="65">
        <v>0</v>
      </c>
      <c r="H70" s="66">
        <v>0</v>
      </c>
      <c r="I70" s="79">
        <v>1</v>
      </c>
      <c r="J70" s="65"/>
    </row>
    <row r="71" customHeight="1" spans="1:10">
      <c r="A71" s="78"/>
      <c r="B71" s="65"/>
      <c r="C71" s="65" t="s">
        <v>207</v>
      </c>
      <c r="D71" s="65">
        <v>30</v>
      </c>
      <c r="E71" s="65">
        <v>24</v>
      </c>
      <c r="F71" s="65">
        <v>720</v>
      </c>
      <c r="G71" s="65">
        <v>0</v>
      </c>
      <c r="H71" s="66">
        <v>0</v>
      </c>
      <c r="I71" s="79">
        <v>1</v>
      </c>
      <c r="J71" s="65"/>
    </row>
    <row r="72" customHeight="1" spans="1:10">
      <c r="A72" s="78"/>
      <c r="B72" s="65"/>
      <c r="C72" s="65" t="s">
        <v>208</v>
      </c>
      <c r="D72" s="65">
        <v>30</v>
      </c>
      <c r="E72" s="65">
        <v>24</v>
      </c>
      <c r="F72" s="65">
        <v>720</v>
      </c>
      <c r="G72" s="65">
        <v>0</v>
      </c>
      <c r="H72" s="66">
        <v>0</v>
      </c>
      <c r="I72" s="79">
        <v>1</v>
      </c>
      <c r="J72" s="65"/>
    </row>
    <row r="73" customHeight="1" spans="1:10">
      <c r="A73" s="78"/>
      <c r="B73" s="65"/>
      <c r="C73" s="65" t="s">
        <v>209</v>
      </c>
      <c r="D73" s="65">
        <v>30</v>
      </c>
      <c r="E73" s="65">
        <v>24</v>
      </c>
      <c r="F73" s="65">
        <v>720</v>
      </c>
      <c r="G73" s="65">
        <v>0</v>
      </c>
      <c r="H73" s="66">
        <v>0</v>
      </c>
      <c r="I73" s="79">
        <v>1</v>
      </c>
      <c r="J73" s="65"/>
    </row>
    <row r="74" customHeight="1" spans="1:10">
      <c r="A74" s="78"/>
      <c r="B74" s="65"/>
      <c r="C74" s="65" t="s">
        <v>210</v>
      </c>
      <c r="D74" s="65">
        <v>30</v>
      </c>
      <c r="E74" s="65">
        <v>24</v>
      </c>
      <c r="F74" s="65">
        <v>720</v>
      </c>
      <c r="G74" s="65">
        <v>0</v>
      </c>
      <c r="H74" s="66">
        <v>0</v>
      </c>
      <c r="I74" s="79">
        <v>1</v>
      </c>
      <c r="J74" s="65"/>
    </row>
    <row r="75" customHeight="1" spans="1:10">
      <c r="A75" s="78"/>
      <c r="B75" s="65"/>
      <c r="C75" s="65" t="s">
        <v>211</v>
      </c>
      <c r="D75" s="65">
        <v>30</v>
      </c>
      <c r="E75" s="65">
        <v>24</v>
      </c>
      <c r="F75" s="65">
        <v>720</v>
      </c>
      <c r="G75" s="65">
        <v>0</v>
      </c>
      <c r="H75" s="66">
        <v>0</v>
      </c>
      <c r="I75" s="79">
        <v>1</v>
      </c>
      <c r="J75" s="65"/>
    </row>
    <row r="76" customHeight="1" spans="1:10">
      <c r="A76" s="78"/>
      <c r="B76" s="65"/>
      <c r="C76" s="65" t="s">
        <v>212</v>
      </c>
      <c r="D76" s="65">
        <v>30</v>
      </c>
      <c r="E76" s="65">
        <v>24</v>
      </c>
      <c r="F76" s="65">
        <v>720</v>
      </c>
      <c r="G76" s="65">
        <v>0</v>
      </c>
      <c r="H76" s="66">
        <v>0</v>
      </c>
      <c r="I76" s="79">
        <v>1</v>
      </c>
      <c r="J76" s="65"/>
    </row>
    <row r="77" customHeight="1" spans="1:10">
      <c r="A77" s="78"/>
      <c r="B77" s="65"/>
      <c r="C77" s="65" t="s">
        <v>213</v>
      </c>
      <c r="D77" s="65">
        <v>30</v>
      </c>
      <c r="E77" s="65">
        <v>24</v>
      </c>
      <c r="F77" s="65">
        <v>720</v>
      </c>
      <c r="G77" s="65">
        <v>0</v>
      </c>
      <c r="H77" s="66">
        <v>0</v>
      </c>
      <c r="I77" s="79">
        <v>1</v>
      </c>
      <c r="J77" s="65"/>
    </row>
    <row r="78" customHeight="1" spans="1:10">
      <c r="A78" s="78"/>
      <c r="B78" s="65"/>
      <c r="C78" s="65" t="s">
        <v>214</v>
      </c>
      <c r="D78" s="65">
        <v>30</v>
      </c>
      <c r="E78" s="65">
        <v>24</v>
      </c>
      <c r="F78" s="65">
        <v>720</v>
      </c>
      <c r="G78" s="65">
        <v>0</v>
      </c>
      <c r="H78" s="66">
        <v>0</v>
      </c>
      <c r="I78" s="79">
        <v>1</v>
      </c>
      <c r="J78" s="65"/>
    </row>
    <row r="79" customHeight="1" spans="1:10">
      <c r="A79" s="78"/>
      <c r="B79" s="65"/>
      <c r="C79" s="65" t="s">
        <v>215</v>
      </c>
      <c r="D79" s="65">
        <v>30</v>
      </c>
      <c r="E79" s="65">
        <v>24</v>
      </c>
      <c r="F79" s="65">
        <v>720</v>
      </c>
      <c r="G79" s="65">
        <v>0</v>
      </c>
      <c r="H79" s="66">
        <v>0</v>
      </c>
      <c r="I79" s="79">
        <v>1</v>
      </c>
      <c r="J79" s="65"/>
    </row>
    <row r="80" customHeight="1" spans="1:10">
      <c r="A80" s="78"/>
      <c r="B80" s="65"/>
      <c r="C80" s="65" t="s">
        <v>216</v>
      </c>
      <c r="D80" s="65">
        <v>30</v>
      </c>
      <c r="E80" s="65">
        <v>24</v>
      </c>
      <c r="F80" s="65">
        <v>720</v>
      </c>
      <c r="G80" s="65">
        <v>0</v>
      </c>
      <c r="H80" s="66">
        <v>0</v>
      </c>
      <c r="I80" s="79">
        <v>1</v>
      </c>
      <c r="J80" s="65"/>
    </row>
    <row r="81" customHeight="1" spans="1:10">
      <c r="A81" s="78"/>
      <c r="B81" s="65"/>
      <c r="C81" s="65" t="s">
        <v>217</v>
      </c>
      <c r="D81" s="65">
        <v>30</v>
      </c>
      <c r="E81" s="65">
        <v>24</v>
      </c>
      <c r="F81" s="65">
        <v>720</v>
      </c>
      <c r="G81" s="65">
        <v>0</v>
      </c>
      <c r="H81" s="66">
        <v>0</v>
      </c>
      <c r="I81" s="79">
        <v>1</v>
      </c>
      <c r="J81" s="65"/>
    </row>
    <row r="82" customHeight="1" spans="1:10">
      <c r="A82" s="78"/>
      <c r="B82" s="65"/>
      <c r="C82" s="65" t="s">
        <v>218</v>
      </c>
      <c r="D82" s="65">
        <v>30</v>
      </c>
      <c r="E82" s="65">
        <v>24</v>
      </c>
      <c r="F82" s="65">
        <v>720</v>
      </c>
      <c r="G82" s="65">
        <v>0</v>
      </c>
      <c r="H82" s="66">
        <v>0</v>
      </c>
      <c r="I82" s="79">
        <v>1</v>
      </c>
      <c r="J82" s="65"/>
    </row>
    <row r="83" customHeight="1" spans="1:10">
      <c r="A83" s="78"/>
      <c r="B83" s="65"/>
      <c r="C83" s="65" t="s">
        <v>219</v>
      </c>
      <c r="D83" s="65">
        <v>30</v>
      </c>
      <c r="E83" s="65">
        <v>24</v>
      </c>
      <c r="F83" s="65">
        <v>720</v>
      </c>
      <c r="G83" s="65">
        <v>0</v>
      </c>
      <c r="H83" s="66">
        <v>0</v>
      </c>
      <c r="I83" s="79">
        <v>1</v>
      </c>
      <c r="J83" s="65"/>
    </row>
    <row r="84" customHeight="1" spans="1:10">
      <c r="A84" s="78"/>
      <c r="B84" s="65"/>
      <c r="C84" s="65" t="s">
        <v>220</v>
      </c>
      <c r="D84" s="65">
        <v>30</v>
      </c>
      <c r="E84" s="65">
        <v>24</v>
      </c>
      <c r="F84" s="65">
        <v>720</v>
      </c>
      <c r="G84" s="65">
        <v>0</v>
      </c>
      <c r="H84" s="66">
        <v>0</v>
      </c>
      <c r="I84" s="79">
        <v>1</v>
      </c>
      <c r="J84" s="65"/>
    </row>
    <row r="85" customHeight="1" spans="1:10">
      <c r="A85" s="78"/>
      <c r="B85" s="65"/>
      <c r="C85" s="65" t="s">
        <v>221</v>
      </c>
      <c r="D85" s="65">
        <v>30</v>
      </c>
      <c r="E85" s="65">
        <v>24</v>
      </c>
      <c r="F85" s="65">
        <v>720</v>
      </c>
      <c r="G85" s="65">
        <v>0</v>
      </c>
      <c r="H85" s="66">
        <v>0</v>
      </c>
      <c r="I85" s="79">
        <v>1</v>
      </c>
      <c r="J85" s="65"/>
    </row>
    <row r="86" customHeight="1" spans="1:10">
      <c r="A86" s="80"/>
      <c r="B86" s="65"/>
      <c r="C86" s="65" t="s">
        <v>222</v>
      </c>
      <c r="D86" s="65">
        <v>30</v>
      </c>
      <c r="E86" s="65">
        <v>24</v>
      </c>
      <c r="F86" s="65">
        <v>720</v>
      </c>
      <c r="G86" s="65">
        <v>0</v>
      </c>
      <c r="H86" s="66">
        <v>0</v>
      </c>
      <c r="I86" s="79">
        <v>1</v>
      </c>
      <c r="J86" s="65"/>
    </row>
    <row r="87" customHeight="1" spans="1:10">
      <c r="A87" s="67" t="s">
        <v>66</v>
      </c>
      <c r="B87" s="67"/>
      <c r="C87" s="68"/>
      <c r="D87" s="68"/>
      <c r="E87" s="69" t="s">
        <v>67</v>
      </c>
      <c r="F87" s="69"/>
      <c r="G87" s="70"/>
      <c r="H87" s="71" t="s">
        <v>144</v>
      </c>
      <c r="I87" s="71"/>
      <c r="J87" s="71"/>
    </row>
    <row r="88" ht="16" customHeight="1"/>
    <row r="89" ht="15.95" customHeight="1"/>
    <row r="90" ht="20.1" customHeight="1"/>
    <row r="91" ht="34" customHeight="1" spans="1:10">
      <c r="A91" s="57" t="s">
        <v>158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v>44287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159</v>
      </c>
      <c r="B93" s="6" t="s">
        <v>160</v>
      </c>
      <c r="C93" s="6" t="s">
        <v>161</v>
      </c>
      <c r="D93" s="6" t="s">
        <v>162</v>
      </c>
      <c r="E93" s="60" t="s">
        <v>163</v>
      </c>
      <c r="F93" s="60" t="s">
        <v>164</v>
      </c>
      <c r="G93" s="61" t="s">
        <v>165</v>
      </c>
      <c r="H93" s="62" t="s">
        <v>166</v>
      </c>
      <c r="I93" s="60" t="s">
        <v>167</v>
      </c>
      <c r="J93" s="6" t="s">
        <v>168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169</v>
      </c>
      <c r="E95" s="60" t="s">
        <v>170</v>
      </c>
      <c r="F95" s="60" t="s">
        <v>171</v>
      </c>
      <c r="G95" s="61" t="s">
        <v>171</v>
      </c>
      <c r="H95" s="62" t="s">
        <v>172</v>
      </c>
      <c r="I95" s="60" t="s">
        <v>172</v>
      </c>
      <c r="J95" s="6"/>
    </row>
    <row r="96" customHeight="1" spans="1:10">
      <c r="A96" s="64" t="s">
        <v>190</v>
      </c>
      <c r="B96" s="64" t="s">
        <v>223</v>
      </c>
      <c r="C96" s="65" t="s">
        <v>175</v>
      </c>
      <c r="D96" s="65">
        <v>30</v>
      </c>
      <c r="E96" s="65">
        <v>24</v>
      </c>
      <c r="F96" s="65">
        <v>720</v>
      </c>
      <c r="G96" s="65">
        <v>0</v>
      </c>
      <c r="H96" s="81">
        <v>0</v>
      </c>
      <c r="I96" s="66">
        <v>1</v>
      </c>
      <c r="J96" s="65"/>
    </row>
    <row r="97" customHeight="1" spans="1:10">
      <c r="A97" s="65"/>
      <c r="B97" s="65"/>
      <c r="C97" s="65" t="s">
        <v>177</v>
      </c>
      <c r="D97" s="65">
        <v>30</v>
      </c>
      <c r="E97" s="65">
        <v>24</v>
      </c>
      <c r="F97" s="65">
        <v>720</v>
      </c>
      <c r="G97" s="65">
        <v>0</v>
      </c>
      <c r="H97" s="81">
        <v>0</v>
      </c>
      <c r="I97" s="66">
        <v>1</v>
      </c>
      <c r="J97" s="65"/>
    </row>
    <row r="98" customHeight="1" spans="1:10">
      <c r="A98" s="65"/>
      <c r="B98" s="64" t="s">
        <v>224</v>
      </c>
      <c r="C98" s="65" t="s">
        <v>175</v>
      </c>
      <c r="D98" s="65">
        <v>30</v>
      </c>
      <c r="E98" s="65">
        <v>24</v>
      </c>
      <c r="F98" s="65">
        <v>720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177</v>
      </c>
      <c r="D99" s="65">
        <v>30</v>
      </c>
      <c r="E99" s="65">
        <v>24</v>
      </c>
      <c r="F99" s="65">
        <v>720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182</v>
      </c>
      <c r="D100" s="65">
        <v>30</v>
      </c>
      <c r="E100" s="65">
        <v>24</v>
      </c>
      <c r="F100" s="65">
        <v>720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183</v>
      </c>
      <c r="D101" s="65">
        <v>30</v>
      </c>
      <c r="E101" s="65">
        <v>24</v>
      </c>
      <c r="F101" s="65">
        <v>720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184</v>
      </c>
      <c r="D102" s="65">
        <v>30</v>
      </c>
      <c r="E102" s="65">
        <v>24</v>
      </c>
      <c r="F102" s="65">
        <v>720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186</v>
      </c>
      <c r="D103" s="65">
        <v>30</v>
      </c>
      <c r="E103" s="65">
        <v>24</v>
      </c>
      <c r="F103" s="65">
        <v>720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225</v>
      </c>
      <c r="C104" s="65" t="s">
        <v>175</v>
      </c>
      <c r="D104" s="65">
        <v>30</v>
      </c>
      <c r="E104" s="65">
        <v>24</v>
      </c>
      <c r="F104" s="65">
        <v>720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177</v>
      </c>
      <c r="D105" s="65">
        <v>30</v>
      </c>
      <c r="E105" s="65">
        <v>24</v>
      </c>
      <c r="F105" s="65">
        <v>720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182</v>
      </c>
      <c r="D106" s="65">
        <v>30</v>
      </c>
      <c r="E106" s="65">
        <v>24</v>
      </c>
      <c r="F106" s="65">
        <v>720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226</v>
      </c>
      <c r="C107" s="65" t="s">
        <v>175</v>
      </c>
      <c r="D107" s="65">
        <v>30</v>
      </c>
      <c r="E107" s="65">
        <v>24</v>
      </c>
      <c r="F107" s="65">
        <v>720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177</v>
      </c>
      <c r="D108" s="65">
        <v>30</v>
      </c>
      <c r="E108" s="65">
        <v>24</v>
      </c>
      <c r="F108" s="65">
        <v>720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182</v>
      </c>
      <c r="D109" s="65">
        <v>30</v>
      </c>
      <c r="E109" s="65">
        <v>24</v>
      </c>
      <c r="F109" s="65">
        <v>720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183</v>
      </c>
      <c r="D110" s="65">
        <v>30</v>
      </c>
      <c r="E110" s="65">
        <v>24</v>
      </c>
      <c r="F110" s="65">
        <v>720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2" t="s">
        <v>227</v>
      </c>
      <c r="B111" s="82" t="s">
        <v>228</v>
      </c>
      <c r="C111" s="65" t="s">
        <v>175</v>
      </c>
      <c r="D111" s="65">
        <v>30</v>
      </c>
      <c r="E111" s="65">
        <v>24</v>
      </c>
      <c r="F111" s="65">
        <v>720</v>
      </c>
      <c r="G111" s="65">
        <v>720</v>
      </c>
      <c r="H111" s="66">
        <v>1</v>
      </c>
      <c r="I111" s="66">
        <v>1</v>
      </c>
      <c r="J111" s="65"/>
    </row>
    <row r="112" customHeight="1" spans="1:10">
      <c r="A112" s="83"/>
      <c r="B112" s="84"/>
      <c r="C112" s="65" t="s">
        <v>177</v>
      </c>
      <c r="D112" s="65">
        <v>30</v>
      </c>
      <c r="E112" s="65">
        <v>24</v>
      </c>
      <c r="F112" s="65">
        <v>720</v>
      </c>
      <c r="G112" s="65">
        <v>720</v>
      </c>
      <c r="H112" s="66">
        <v>1</v>
      </c>
      <c r="I112" s="66">
        <v>1</v>
      </c>
      <c r="J112" s="65"/>
    </row>
    <row r="113" customHeight="1" spans="1:10">
      <c r="A113" s="83"/>
      <c r="B113" s="84"/>
      <c r="C113" s="65" t="s">
        <v>182</v>
      </c>
      <c r="D113" s="65">
        <v>30</v>
      </c>
      <c r="E113" s="65">
        <v>24</v>
      </c>
      <c r="F113" s="65">
        <v>720</v>
      </c>
      <c r="G113" s="65">
        <v>720</v>
      </c>
      <c r="H113" s="66">
        <v>1</v>
      </c>
      <c r="I113" s="66">
        <v>1</v>
      </c>
      <c r="J113" s="65"/>
    </row>
    <row r="114" customHeight="1" spans="1:10">
      <c r="A114" s="83"/>
      <c r="B114" s="84"/>
      <c r="C114" s="65" t="s">
        <v>183</v>
      </c>
      <c r="D114" s="65">
        <v>30</v>
      </c>
      <c r="E114" s="65">
        <v>24</v>
      </c>
      <c r="F114" s="65">
        <v>720</v>
      </c>
      <c r="G114" s="65">
        <v>720</v>
      </c>
      <c r="H114" s="66">
        <v>1</v>
      </c>
      <c r="I114" s="66">
        <v>1</v>
      </c>
      <c r="J114" s="65"/>
    </row>
    <row r="115" customHeight="1" spans="1:10">
      <c r="A115" s="83"/>
      <c r="B115" s="84"/>
      <c r="C115" s="65" t="s">
        <v>184</v>
      </c>
      <c r="D115" s="65">
        <v>30</v>
      </c>
      <c r="E115" s="65">
        <v>24</v>
      </c>
      <c r="F115" s="65">
        <v>720</v>
      </c>
      <c r="G115" s="65">
        <v>0</v>
      </c>
      <c r="H115" s="66">
        <v>0</v>
      </c>
      <c r="I115" s="66">
        <v>0</v>
      </c>
      <c r="J115" s="65"/>
    </row>
    <row r="116" customHeight="1" spans="1:10">
      <c r="A116" s="83"/>
      <c r="B116" s="84"/>
      <c r="C116" s="65" t="s">
        <v>186</v>
      </c>
      <c r="D116" s="65">
        <v>30</v>
      </c>
      <c r="E116" s="65">
        <v>24</v>
      </c>
      <c r="F116" s="65">
        <v>720</v>
      </c>
      <c r="G116" s="65">
        <v>720</v>
      </c>
      <c r="H116" s="81">
        <v>1</v>
      </c>
      <c r="I116" s="81">
        <v>1</v>
      </c>
      <c r="J116" s="65"/>
    </row>
    <row r="117" customHeight="1" spans="1:10">
      <c r="A117" s="83"/>
      <c r="B117" s="84"/>
      <c r="C117" s="65" t="s">
        <v>192</v>
      </c>
      <c r="D117" s="65">
        <v>30</v>
      </c>
      <c r="E117" s="65">
        <v>24</v>
      </c>
      <c r="F117" s="65">
        <v>720</v>
      </c>
      <c r="G117" s="65">
        <v>720</v>
      </c>
      <c r="H117" s="66">
        <v>1</v>
      </c>
      <c r="I117" s="66">
        <v>1</v>
      </c>
      <c r="J117" s="65"/>
    </row>
    <row r="118" customHeight="1" spans="1:10">
      <c r="A118" s="83"/>
      <c r="B118" s="84"/>
      <c r="C118" s="65" t="s">
        <v>193</v>
      </c>
      <c r="D118" s="65">
        <v>30</v>
      </c>
      <c r="E118" s="65">
        <v>24</v>
      </c>
      <c r="F118" s="65">
        <v>720</v>
      </c>
      <c r="G118" s="65">
        <v>720</v>
      </c>
      <c r="H118" s="66">
        <v>1</v>
      </c>
      <c r="I118" s="66">
        <v>1</v>
      </c>
      <c r="J118" s="65"/>
    </row>
    <row r="119" customHeight="1" spans="1:10">
      <c r="A119" s="83"/>
      <c r="B119" s="84"/>
      <c r="C119" s="65" t="s">
        <v>194</v>
      </c>
      <c r="D119" s="65">
        <v>30</v>
      </c>
      <c r="E119" s="65">
        <v>24</v>
      </c>
      <c r="F119" s="65">
        <v>720</v>
      </c>
      <c r="G119" s="65">
        <v>720</v>
      </c>
      <c r="H119" s="66">
        <v>1</v>
      </c>
      <c r="I119" s="66">
        <v>1</v>
      </c>
      <c r="J119" s="65"/>
    </row>
    <row r="120" customHeight="1" spans="1:10">
      <c r="A120" s="83"/>
      <c r="B120" s="84"/>
      <c r="C120" s="65" t="s">
        <v>195</v>
      </c>
      <c r="D120" s="65">
        <v>30</v>
      </c>
      <c r="E120" s="65">
        <v>24</v>
      </c>
      <c r="F120" s="65">
        <v>720</v>
      </c>
      <c r="G120" s="65">
        <v>0</v>
      </c>
      <c r="H120" s="66">
        <v>0</v>
      </c>
      <c r="I120" s="66">
        <v>0</v>
      </c>
      <c r="J120" s="65"/>
    </row>
    <row r="121" customHeight="1" spans="1:10">
      <c r="A121" s="83"/>
      <c r="B121" s="84"/>
      <c r="C121" s="65" t="s">
        <v>196</v>
      </c>
      <c r="D121" s="65">
        <v>30</v>
      </c>
      <c r="E121" s="65">
        <v>24</v>
      </c>
      <c r="F121" s="65">
        <v>720</v>
      </c>
      <c r="G121" s="65">
        <v>720</v>
      </c>
      <c r="H121" s="66">
        <v>1</v>
      </c>
      <c r="I121" s="66">
        <v>1</v>
      </c>
      <c r="J121" s="65"/>
    </row>
    <row r="122" customHeight="1" spans="1:10">
      <c r="A122" s="83"/>
      <c r="B122" s="84"/>
      <c r="C122" s="65" t="s">
        <v>197</v>
      </c>
      <c r="D122" s="65">
        <v>30</v>
      </c>
      <c r="E122" s="65">
        <v>24</v>
      </c>
      <c r="F122" s="65">
        <v>720</v>
      </c>
      <c r="G122" s="65">
        <v>720</v>
      </c>
      <c r="H122" s="66">
        <v>1</v>
      </c>
      <c r="I122" s="66">
        <v>1</v>
      </c>
      <c r="J122" s="65"/>
    </row>
    <row r="123" customHeight="1" spans="1:10">
      <c r="A123" s="83"/>
      <c r="B123" s="84"/>
      <c r="C123" s="65" t="s">
        <v>198</v>
      </c>
      <c r="D123" s="65">
        <v>30</v>
      </c>
      <c r="E123" s="65">
        <v>24</v>
      </c>
      <c r="F123" s="65">
        <v>720</v>
      </c>
      <c r="G123" s="65">
        <v>720</v>
      </c>
      <c r="H123" s="66">
        <v>1</v>
      </c>
      <c r="I123" s="66">
        <v>1</v>
      </c>
      <c r="J123" s="65"/>
    </row>
    <row r="124" customHeight="1" spans="1:10">
      <c r="A124" s="83"/>
      <c r="B124" s="84"/>
      <c r="C124" s="65" t="s">
        <v>199</v>
      </c>
      <c r="D124" s="65">
        <v>30</v>
      </c>
      <c r="E124" s="65">
        <v>24</v>
      </c>
      <c r="F124" s="65">
        <v>720</v>
      </c>
      <c r="G124" s="65">
        <v>720</v>
      </c>
      <c r="H124" s="66">
        <v>1</v>
      </c>
      <c r="I124" s="66">
        <v>1</v>
      </c>
      <c r="J124" s="65"/>
    </row>
    <row r="125" customHeight="1" spans="1:10">
      <c r="A125" s="83"/>
      <c r="B125" s="84"/>
      <c r="C125" s="65" t="s">
        <v>200</v>
      </c>
      <c r="D125" s="65">
        <v>30</v>
      </c>
      <c r="E125" s="65">
        <v>24</v>
      </c>
      <c r="F125" s="65">
        <v>720</v>
      </c>
      <c r="G125" s="65">
        <v>720</v>
      </c>
      <c r="H125" s="66">
        <v>1</v>
      </c>
      <c r="I125" s="66">
        <v>1</v>
      </c>
      <c r="J125" s="65"/>
    </row>
    <row r="126" customHeight="1" spans="1:10">
      <c r="A126" s="83"/>
      <c r="B126" s="84"/>
      <c r="C126" s="65" t="s">
        <v>201</v>
      </c>
      <c r="D126" s="65">
        <v>30</v>
      </c>
      <c r="E126" s="65">
        <v>24</v>
      </c>
      <c r="F126" s="65">
        <v>720</v>
      </c>
      <c r="G126" s="65">
        <v>720</v>
      </c>
      <c r="H126" s="66">
        <v>1</v>
      </c>
      <c r="I126" s="66">
        <v>1</v>
      </c>
      <c r="J126" s="65"/>
    </row>
    <row r="127" customHeight="1" spans="1:10">
      <c r="A127" s="83"/>
      <c r="B127" s="84"/>
      <c r="C127" s="65" t="s">
        <v>202</v>
      </c>
      <c r="D127" s="65">
        <v>30</v>
      </c>
      <c r="E127" s="65">
        <v>24</v>
      </c>
      <c r="F127" s="65">
        <v>720</v>
      </c>
      <c r="G127" s="65">
        <v>720</v>
      </c>
      <c r="H127" s="66">
        <v>1</v>
      </c>
      <c r="I127" s="66">
        <v>1</v>
      </c>
      <c r="J127" s="65"/>
    </row>
    <row r="128" customHeight="1" spans="1:10">
      <c r="A128" s="83"/>
      <c r="B128" s="84"/>
      <c r="C128" s="65" t="s">
        <v>203</v>
      </c>
      <c r="D128" s="65">
        <v>30</v>
      </c>
      <c r="E128" s="65">
        <v>24</v>
      </c>
      <c r="F128" s="65">
        <v>720</v>
      </c>
      <c r="G128" s="65">
        <v>720</v>
      </c>
      <c r="H128" s="66">
        <v>1</v>
      </c>
      <c r="I128" s="66">
        <v>1</v>
      </c>
      <c r="J128" s="65"/>
    </row>
    <row r="129" customHeight="1" spans="1:10">
      <c r="A129" s="83"/>
      <c r="B129" s="84"/>
      <c r="C129" s="65" t="s">
        <v>205</v>
      </c>
      <c r="D129" s="65">
        <v>30</v>
      </c>
      <c r="E129" s="65">
        <v>24</v>
      </c>
      <c r="F129" s="65">
        <v>720</v>
      </c>
      <c r="G129" s="65">
        <v>720</v>
      </c>
      <c r="H129" s="66">
        <v>1</v>
      </c>
      <c r="I129" s="66">
        <v>1</v>
      </c>
      <c r="J129" s="65"/>
    </row>
    <row r="130" customHeight="1" spans="1:10">
      <c r="A130" s="83"/>
      <c r="B130" s="84"/>
      <c r="C130" s="65" t="s">
        <v>206</v>
      </c>
      <c r="D130" s="65">
        <v>30</v>
      </c>
      <c r="E130" s="65">
        <v>24</v>
      </c>
      <c r="F130" s="65">
        <v>720</v>
      </c>
      <c r="G130" s="65">
        <v>720</v>
      </c>
      <c r="H130" s="66">
        <v>1</v>
      </c>
      <c r="I130" s="66">
        <v>1</v>
      </c>
      <c r="J130" s="65"/>
    </row>
    <row r="131" customHeight="1" spans="1:10">
      <c r="A131" s="83"/>
      <c r="B131" s="84"/>
      <c r="C131" s="65" t="s">
        <v>207</v>
      </c>
      <c r="D131" s="65">
        <v>30</v>
      </c>
      <c r="E131" s="65">
        <v>24</v>
      </c>
      <c r="F131" s="65">
        <v>720</v>
      </c>
      <c r="G131" s="65">
        <v>720</v>
      </c>
      <c r="H131" s="81">
        <v>1</v>
      </c>
      <c r="I131" s="81">
        <v>1</v>
      </c>
      <c r="J131" s="65"/>
    </row>
    <row r="132" customHeight="1" spans="1:10">
      <c r="A132" s="85"/>
      <c r="B132" s="86"/>
      <c r="C132" s="65" t="s">
        <v>208</v>
      </c>
      <c r="D132" s="65">
        <v>30</v>
      </c>
      <c r="E132" s="65">
        <v>24</v>
      </c>
      <c r="F132" s="65">
        <v>720</v>
      </c>
      <c r="G132" s="65">
        <v>720</v>
      </c>
      <c r="H132" s="66">
        <v>1</v>
      </c>
      <c r="I132" s="66">
        <v>1</v>
      </c>
      <c r="J132" s="65"/>
    </row>
    <row r="133" ht="14.25" spans="1:10">
      <c r="A133" s="67" t="s">
        <v>66</v>
      </c>
      <c r="B133" s="67"/>
      <c r="C133" s="68"/>
      <c r="D133" s="68"/>
      <c r="E133" s="69" t="s">
        <v>67</v>
      </c>
      <c r="F133" s="69"/>
      <c r="G133" s="70"/>
      <c r="H133" s="71" t="s">
        <v>144</v>
      </c>
      <c r="I133" s="71"/>
      <c r="J133" s="71"/>
    </row>
    <row r="134" ht="7" customHeight="1" spans="2:6">
      <c r="B134" s="87"/>
      <c r="F134" s="88"/>
    </row>
    <row r="135" ht="5" customHeight="1" spans="2:6">
      <c r="B135" s="87"/>
      <c r="F135" s="88"/>
    </row>
    <row r="136" s="53" customFormat="1" ht="29" customHeight="1" spans="1:212">
      <c r="A136" s="57" t="s">
        <v>158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v>44287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159</v>
      </c>
      <c r="B138" s="6" t="s">
        <v>160</v>
      </c>
      <c r="C138" s="6" t="s">
        <v>161</v>
      </c>
      <c r="D138" s="6" t="s">
        <v>162</v>
      </c>
      <c r="E138" s="60" t="s">
        <v>163</v>
      </c>
      <c r="F138" s="60" t="s">
        <v>164</v>
      </c>
      <c r="G138" s="61" t="s">
        <v>165</v>
      </c>
      <c r="H138" s="62" t="s">
        <v>166</v>
      </c>
      <c r="I138" s="60" t="s">
        <v>167</v>
      </c>
      <c r="J138" s="6" t="s">
        <v>168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169</v>
      </c>
      <c r="E140" s="60" t="s">
        <v>170</v>
      </c>
      <c r="F140" s="60" t="s">
        <v>171</v>
      </c>
      <c r="G140" s="61" t="s">
        <v>171</v>
      </c>
      <c r="H140" s="62" t="s">
        <v>172</v>
      </c>
      <c r="I140" s="60" t="s">
        <v>172</v>
      </c>
      <c r="J140" s="6"/>
    </row>
    <row r="141" customHeight="1" spans="1:10">
      <c r="A141" s="64" t="s">
        <v>227</v>
      </c>
      <c r="B141" s="64" t="s">
        <v>229</v>
      </c>
      <c r="C141" s="65" t="s">
        <v>209</v>
      </c>
      <c r="D141" s="65">
        <v>30</v>
      </c>
      <c r="E141" s="65">
        <v>24</v>
      </c>
      <c r="F141" s="65">
        <v>720</v>
      </c>
      <c r="G141" s="65">
        <v>720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210</v>
      </c>
      <c r="D142" s="65">
        <v>30</v>
      </c>
      <c r="E142" s="65">
        <v>24</v>
      </c>
      <c r="F142" s="65">
        <v>720</v>
      </c>
      <c r="G142" s="65">
        <v>720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211</v>
      </c>
      <c r="D143" s="65">
        <v>30</v>
      </c>
      <c r="E143" s="65">
        <v>24</v>
      </c>
      <c r="F143" s="65">
        <v>720</v>
      </c>
      <c r="G143" s="65">
        <v>720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212</v>
      </c>
      <c r="D144" s="65">
        <v>30</v>
      </c>
      <c r="E144" s="65">
        <v>24</v>
      </c>
      <c r="F144" s="65">
        <v>720</v>
      </c>
      <c r="G144" s="65">
        <v>720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213</v>
      </c>
      <c r="D145" s="65">
        <v>30</v>
      </c>
      <c r="E145" s="65">
        <v>24</v>
      </c>
      <c r="F145" s="65">
        <v>720</v>
      </c>
      <c r="G145" s="65">
        <v>720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214</v>
      </c>
      <c r="D146" s="65">
        <v>30</v>
      </c>
      <c r="E146" s="65">
        <v>24</v>
      </c>
      <c r="F146" s="65">
        <v>720</v>
      </c>
      <c r="G146" s="65">
        <v>720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230</v>
      </c>
      <c r="C147" s="65" t="s">
        <v>175</v>
      </c>
      <c r="D147" s="65">
        <v>30</v>
      </c>
      <c r="E147" s="65">
        <v>24</v>
      </c>
      <c r="F147" s="65">
        <v>720</v>
      </c>
      <c r="G147" s="65">
        <v>720</v>
      </c>
      <c r="H147" s="81">
        <v>1</v>
      </c>
      <c r="I147" s="81">
        <v>1</v>
      </c>
      <c r="J147" s="65"/>
    </row>
    <row r="148" customHeight="1" spans="1:10">
      <c r="A148" s="65"/>
      <c r="B148" s="65"/>
      <c r="C148" s="65" t="s">
        <v>177</v>
      </c>
      <c r="D148" s="65">
        <v>30</v>
      </c>
      <c r="E148" s="65">
        <v>24</v>
      </c>
      <c r="F148" s="65">
        <v>720</v>
      </c>
      <c r="G148" s="65">
        <v>720</v>
      </c>
      <c r="H148" s="81">
        <v>1</v>
      </c>
      <c r="I148" s="81">
        <v>1</v>
      </c>
      <c r="J148" s="65"/>
    </row>
    <row r="149" customHeight="1" spans="1:10">
      <c r="A149" s="65"/>
      <c r="B149" s="64" t="s">
        <v>231</v>
      </c>
      <c r="C149" s="65" t="s">
        <v>175</v>
      </c>
      <c r="D149" s="65">
        <v>30</v>
      </c>
      <c r="E149" s="65">
        <v>24</v>
      </c>
      <c r="F149" s="65">
        <v>720</v>
      </c>
      <c r="G149" s="65">
        <v>413</v>
      </c>
      <c r="H149" s="66">
        <v>0.573611111111111</v>
      </c>
      <c r="I149" s="66">
        <v>1</v>
      </c>
      <c r="J149" s="65" t="s">
        <v>232</v>
      </c>
    </row>
    <row r="150" customHeight="1" spans="1:10">
      <c r="A150" s="65"/>
      <c r="B150" s="65"/>
      <c r="C150" s="65" t="s">
        <v>177</v>
      </c>
      <c r="D150" s="65">
        <v>30</v>
      </c>
      <c r="E150" s="65">
        <v>24</v>
      </c>
      <c r="F150" s="65">
        <v>720</v>
      </c>
      <c r="G150" s="65">
        <v>8</v>
      </c>
      <c r="H150" s="66">
        <v>0.0111111111111111</v>
      </c>
      <c r="I150" s="66">
        <v>1</v>
      </c>
      <c r="J150" s="65" t="s">
        <v>232</v>
      </c>
    </row>
    <row r="151" customHeight="1" spans="1:10">
      <c r="A151" s="65"/>
      <c r="B151" s="65"/>
      <c r="C151" s="65" t="s">
        <v>182</v>
      </c>
      <c r="D151" s="65">
        <v>30</v>
      </c>
      <c r="E151" s="65">
        <v>24</v>
      </c>
      <c r="F151" s="65">
        <v>720</v>
      </c>
      <c r="G151" s="65">
        <v>192</v>
      </c>
      <c r="H151" s="66">
        <v>0.266666666666667</v>
      </c>
      <c r="I151" s="66">
        <v>1</v>
      </c>
      <c r="J151" s="65" t="s">
        <v>232</v>
      </c>
    </row>
    <row r="152" customHeight="1" spans="1:10">
      <c r="A152" s="65"/>
      <c r="B152" s="64" t="s">
        <v>233</v>
      </c>
      <c r="C152" s="65" t="s">
        <v>175</v>
      </c>
      <c r="D152" s="65">
        <v>30</v>
      </c>
      <c r="E152" s="65">
        <v>24</v>
      </c>
      <c r="F152" s="65">
        <v>720</v>
      </c>
      <c r="G152" s="65">
        <v>628</v>
      </c>
      <c r="H152" s="66">
        <v>0.872222222222222</v>
      </c>
      <c r="I152" s="66">
        <v>1</v>
      </c>
      <c r="J152" s="65" t="s">
        <v>232</v>
      </c>
    </row>
    <row r="153" customHeight="1" spans="1:10">
      <c r="A153" s="65"/>
      <c r="B153" s="65"/>
      <c r="C153" s="65" t="s">
        <v>177</v>
      </c>
      <c r="D153" s="65">
        <v>30</v>
      </c>
      <c r="E153" s="65">
        <v>24</v>
      </c>
      <c r="F153" s="65">
        <v>720</v>
      </c>
      <c r="G153" s="65">
        <v>720</v>
      </c>
      <c r="H153" s="66">
        <v>1</v>
      </c>
      <c r="I153" s="66">
        <v>1</v>
      </c>
      <c r="J153" s="65" t="s">
        <v>232</v>
      </c>
    </row>
    <row r="154" customHeight="1" spans="1:10">
      <c r="A154" s="65"/>
      <c r="B154" s="65"/>
      <c r="C154" s="65" t="s">
        <v>182</v>
      </c>
      <c r="D154" s="65">
        <v>30</v>
      </c>
      <c r="E154" s="65">
        <v>24</v>
      </c>
      <c r="F154" s="65">
        <v>720</v>
      </c>
      <c r="G154" s="65">
        <v>720</v>
      </c>
      <c r="H154" s="66">
        <v>1</v>
      </c>
      <c r="I154" s="66">
        <v>1</v>
      </c>
      <c r="J154" s="65" t="s">
        <v>232</v>
      </c>
    </row>
    <row r="155" customHeight="1" spans="1:10">
      <c r="A155" s="65"/>
      <c r="B155" s="89" t="s">
        <v>234</v>
      </c>
      <c r="C155" s="90" t="s">
        <v>175</v>
      </c>
      <c r="D155" s="90">
        <v>30</v>
      </c>
      <c r="E155" s="90">
        <v>24</v>
      </c>
      <c r="F155" s="90">
        <v>720</v>
      </c>
      <c r="G155" s="90">
        <v>720</v>
      </c>
      <c r="H155" s="91">
        <v>1</v>
      </c>
      <c r="I155" s="91">
        <v>1</v>
      </c>
      <c r="J155" s="65"/>
    </row>
    <row r="156" customHeight="1" spans="1:10">
      <c r="A156" s="65"/>
      <c r="B156" s="90"/>
      <c r="C156" s="90" t="s">
        <v>177</v>
      </c>
      <c r="D156" s="90">
        <v>30</v>
      </c>
      <c r="E156" s="90">
        <v>24</v>
      </c>
      <c r="F156" s="90">
        <v>720</v>
      </c>
      <c r="G156" s="90">
        <v>720</v>
      </c>
      <c r="H156" s="91">
        <v>1</v>
      </c>
      <c r="I156" s="91">
        <v>1</v>
      </c>
      <c r="J156" s="65"/>
    </row>
    <row r="157" customHeight="1" spans="1:10">
      <c r="A157" s="65"/>
      <c r="B157" s="90"/>
      <c r="C157" s="90" t="s">
        <v>182</v>
      </c>
      <c r="D157" s="90">
        <v>30</v>
      </c>
      <c r="E157" s="90">
        <v>24</v>
      </c>
      <c r="F157" s="90">
        <v>720</v>
      </c>
      <c r="G157" s="90">
        <v>720</v>
      </c>
      <c r="H157" s="91">
        <v>1</v>
      </c>
      <c r="I157" s="91">
        <v>1</v>
      </c>
      <c r="J157" s="65"/>
    </row>
    <row r="158" customHeight="1" spans="1:10">
      <c r="A158" s="65"/>
      <c r="B158" s="90"/>
      <c r="C158" s="90" t="s">
        <v>183</v>
      </c>
      <c r="D158" s="90">
        <v>30</v>
      </c>
      <c r="E158" s="90">
        <v>24</v>
      </c>
      <c r="F158" s="90">
        <v>720</v>
      </c>
      <c r="G158" s="90">
        <v>720</v>
      </c>
      <c r="H158" s="91">
        <v>1</v>
      </c>
      <c r="I158" s="91">
        <v>1</v>
      </c>
      <c r="J158" s="65"/>
    </row>
    <row r="159" customHeight="1" spans="1:10">
      <c r="A159" s="65"/>
      <c r="B159" s="90"/>
      <c r="C159" s="90" t="s">
        <v>184</v>
      </c>
      <c r="D159" s="90">
        <v>30</v>
      </c>
      <c r="E159" s="90">
        <v>24</v>
      </c>
      <c r="F159" s="90">
        <v>720</v>
      </c>
      <c r="G159" s="90">
        <v>720</v>
      </c>
      <c r="H159" s="91">
        <v>1</v>
      </c>
      <c r="I159" s="91">
        <v>1</v>
      </c>
      <c r="J159" s="65"/>
    </row>
    <row r="160" customHeight="1" spans="1:10">
      <c r="A160" s="65"/>
      <c r="B160" s="90"/>
      <c r="C160" s="90" t="s">
        <v>186</v>
      </c>
      <c r="D160" s="90">
        <v>30</v>
      </c>
      <c r="E160" s="90">
        <v>24</v>
      </c>
      <c r="F160" s="90">
        <v>720</v>
      </c>
      <c r="G160" s="90">
        <v>720</v>
      </c>
      <c r="H160" s="91">
        <v>1</v>
      </c>
      <c r="I160" s="91">
        <v>1</v>
      </c>
      <c r="J160" s="65"/>
    </row>
    <row r="161" customHeight="1" spans="1:10">
      <c r="A161" s="64" t="s">
        <v>235</v>
      </c>
      <c r="B161" s="64" t="s">
        <v>236</v>
      </c>
      <c r="C161" s="65" t="s">
        <v>175</v>
      </c>
      <c r="D161" s="65">
        <v>30</v>
      </c>
      <c r="E161" s="65">
        <v>24</v>
      </c>
      <c r="F161" s="65">
        <v>720</v>
      </c>
      <c r="G161" s="65">
        <v>720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177</v>
      </c>
      <c r="D162" s="65">
        <v>30</v>
      </c>
      <c r="E162" s="65">
        <v>24</v>
      </c>
      <c r="F162" s="65">
        <v>720</v>
      </c>
      <c r="G162" s="65">
        <v>720</v>
      </c>
      <c r="H162" s="66">
        <v>1</v>
      </c>
      <c r="I162" s="66">
        <v>1</v>
      </c>
      <c r="J162" s="65"/>
    </row>
    <row r="163" customHeight="1" spans="1:10">
      <c r="A163" s="65"/>
      <c r="B163" s="65"/>
      <c r="C163" s="65" t="s">
        <v>182</v>
      </c>
      <c r="D163" s="65">
        <v>30</v>
      </c>
      <c r="E163" s="65">
        <v>24</v>
      </c>
      <c r="F163" s="65">
        <v>720</v>
      </c>
      <c r="G163" s="65">
        <v>720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183</v>
      </c>
      <c r="D164" s="65">
        <v>30</v>
      </c>
      <c r="E164" s="65">
        <v>24</v>
      </c>
      <c r="F164" s="65">
        <v>720</v>
      </c>
      <c r="G164" s="65">
        <v>720</v>
      </c>
      <c r="H164" s="66">
        <v>1</v>
      </c>
      <c r="I164" s="66">
        <v>1</v>
      </c>
      <c r="J164" s="65"/>
    </row>
    <row r="165" customHeight="1" spans="1:10">
      <c r="A165" s="65"/>
      <c r="B165" s="65"/>
      <c r="C165" s="65" t="s">
        <v>184</v>
      </c>
      <c r="D165" s="65">
        <v>30</v>
      </c>
      <c r="E165" s="65">
        <v>24</v>
      </c>
      <c r="F165" s="65">
        <v>720</v>
      </c>
      <c r="G165" s="65">
        <v>720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186</v>
      </c>
      <c r="D166" s="65">
        <v>30</v>
      </c>
      <c r="E166" s="65">
        <v>24</v>
      </c>
      <c r="F166" s="65">
        <v>720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192</v>
      </c>
      <c r="D167" s="65">
        <v>30</v>
      </c>
      <c r="E167" s="65">
        <v>24</v>
      </c>
      <c r="F167" s="65">
        <v>720</v>
      </c>
      <c r="G167" s="65">
        <v>720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193</v>
      </c>
      <c r="D168" s="65">
        <v>30</v>
      </c>
      <c r="E168" s="65">
        <v>24</v>
      </c>
      <c r="F168" s="65">
        <v>720</v>
      </c>
      <c r="G168" s="65">
        <v>720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194</v>
      </c>
      <c r="D169" s="65">
        <v>30</v>
      </c>
      <c r="E169" s="65">
        <v>24</v>
      </c>
      <c r="F169" s="65">
        <v>720</v>
      </c>
      <c r="G169" s="65">
        <v>720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195</v>
      </c>
      <c r="D170" s="65">
        <v>30</v>
      </c>
      <c r="E170" s="65">
        <v>24</v>
      </c>
      <c r="F170" s="65">
        <v>720</v>
      </c>
      <c r="G170" s="65">
        <v>720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196</v>
      </c>
      <c r="D171" s="65">
        <v>30</v>
      </c>
      <c r="E171" s="65">
        <v>24</v>
      </c>
      <c r="F171" s="65">
        <v>720</v>
      </c>
      <c r="G171" s="65">
        <v>720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197</v>
      </c>
      <c r="D172" s="65">
        <v>30</v>
      </c>
      <c r="E172" s="65">
        <v>24</v>
      </c>
      <c r="F172" s="65">
        <v>720</v>
      </c>
      <c r="G172" s="65">
        <v>720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198</v>
      </c>
      <c r="D173" s="65">
        <v>30</v>
      </c>
      <c r="E173" s="65">
        <v>24</v>
      </c>
      <c r="F173" s="65">
        <v>720</v>
      </c>
      <c r="G173" s="65">
        <v>720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199</v>
      </c>
      <c r="D174" s="65">
        <v>30</v>
      </c>
      <c r="E174" s="65">
        <v>24</v>
      </c>
      <c r="F174" s="65">
        <v>720</v>
      </c>
      <c r="G174" s="65">
        <v>720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200</v>
      </c>
      <c r="D175" s="65">
        <v>30</v>
      </c>
      <c r="E175" s="65">
        <v>24</v>
      </c>
      <c r="F175" s="65">
        <v>720</v>
      </c>
      <c r="G175" s="65">
        <v>720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201</v>
      </c>
      <c r="D176" s="65">
        <v>30</v>
      </c>
      <c r="E176" s="65">
        <v>24</v>
      </c>
      <c r="F176" s="65">
        <v>720</v>
      </c>
      <c r="G176" s="65">
        <v>720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202</v>
      </c>
      <c r="D177" s="65">
        <v>30</v>
      </c>
      <c r="E177" s="65">
        <v>24</v>
      </c>
      <c r="F177" s="65">
        <v>720</v>
      </c>
      <c r="G177" s="65">
        <v>720</v>
      </c>
      <c r="H177" s="66">
        <v>1</v>
      </c>
      <c r="I177" s="66">
        <v>1</v>
      </c>
      <c r="J177" s="65"/>
    </row>
    <row r="178" ht="14.25" spans="1:10">
      <c r="A178" s="65"/>
      <c r="B178" s="65"/>
      <c r="C178" s="65" t="s">
        <v>203</v>
      </c>
      <c r="D178" s="65">
        <v>30</v>
      </c>
      <c r="E178" s="65">
        <v>24</v>
      </c>
      <c r="F178" s="65">
        <v>720</v>
      </c>
      <c r="G178" s="65">
        <v>720</v>
      </c>
      <c r="H178" s="66">
        <v>1</v>
      </c>
      <c r="I178" s="66">
        <v>1</v>
      </c>
      <c r="J178" s="65"/>
    </row>
    <row r="179" customHeight="1" spans="1:10">
      <c r="A179" s="67" t="s">
        <v>66</v>
      </c>
      <c r="B179" s="67"/>
      <c r="C179" s="68"/>
      <c r="D179" s="68"/>
      <c r="E179" s="69" t="s">
        <v>67</v>
      </c>
      <c r="F179" s="69"/>
      <c r="G179" s="70"/>
      <c r="H179" s="71" t="s">
        <v>144</v>
      </c>
      <c r="I179" s="71"/>
      <c r="J179" s="71"/>
    </row>
    <row r="180" ht="23" customHeight="1"/>
    <row r="181" ht="28" customHeight="1" spans="1:10">
      <c r="A181" s="57" t="s">
        <v>158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v>44287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159</v>
      </c>
      <c r="B183" s="6" t="s">
        <v>160</v>
      </c>
      <c r="C183" s="6" t="s">
        <v>161</v>
      </c>
      <c r="D183" s="6" t="s">
        <v>162</v>
      </c>
      <c r="E183" s="60" t="s">
        <v>163</v>
      </c>
      <c r="F183" s="60" t="s">
        <v>164</v>
      </c>
      <c r="G183" s="61" t="s">
        <v>165</v>
      </c>
      <c r="H183" s="62" t="s">
        <v>166</v>
      </c>
      <c r="I183" s="60" t="s">
        <v>167</v>
      </c>
      <c r="J183" s="6" t="s">
        <v>168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169</v>
      </c>
      <c r="E185" s="60" t="s">
        <v>170</v>
      </c>
      <c r="F185" s="60" t="s">
        <v>171</v>
      </c>
      <c r="G185" s="61" t="s">
        <v>171</v>
      </c>
      <c r="H185" s="62" t="s">
        <v>172</v>
      </c>
      <c r="I185" s="60" t="s">
        <v>172</v>
      </c>
      <c r="J185" s="6"/>
    </row>
    <row r="186" customHeight="1" spans="1:10">
      <c r="A186" s="64" t="s">
        <v>235</v>
      </c>
      <c r="B186" s="64" t="s">
        <v>236</v>
      </c>
      <c r="C186" s="65" t="s">
        <v>205</v>
      </c>
      <c r="D186" s="65">
        <v>30</v>
      </c>
      <c r="E186" s="65">
        <v>24</v>
      </c>
      <c r="F186" s="65">
        <v>720</v>
      </c>
      <c r="G186" s="65">
        <v>720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206</v>
      </c>
      <c r="D187" s="65">
        <v>30</v>
      </c>
      <c r="E187" s="65">
        <v>24</v>
      </c>
      <c r="F187" s="65">
        <v>720</v>
      </c>
      <c r="G187" s="65">
        <v>720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207</v>
      </c>
      <c r="D188" s="65">
        <v>30</v>
      </c>
      <c r="E188" s="65">
        <v>24</v>
      </c>
      <c r="F188" s="65">
        <v>720</v>
      </c>
      <c r="G188" s="65">
        <v>720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208</v>
      </c>
      <c r="D189" s="65">
        <v>30</v>
      </c>
      <c r="E189" s="65">
        <v>24</v>
      </c>
      <c r="F189" s="65">
        <v>720</v>
      </c>
      <c r="G189" s="65">
        <v>720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209</v>
      </c>
      <c r="D190" s="65">
        <v>30</v>
      </c>
      <c r="E190" s="65">
        <v>24</v>
      </c>
      <c r="F190" s="65">
        <v>720</v>
      </c>
      <c r="G190" s="65">
        <v>720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210</v>
      </c>
      <c r="D191" s="65">
        <v>30</v>
      </c>
      <c r="E191" s="65">
        <v>24</v>
      </c>
      <c r="F191" s="65">
        <v>720</v>
      </c>
      <c r="G191" s="65">
        <v>720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211</v>
      </c>
      <c r="D192" s="65">
        <v>30</v>
      </c>
      <c r="E192" s="65">
        <v>24</v>
      </c>
      <c r="F192" s="65">
        <v>720</v>
      </c>
      <c r="G192" s="65">
        <v>720</v>
      </c>
      <c r="H192" s="66">
        <v>1</v>
      </c>
      <c r="I192" s="66">
        <v>1</v>
      </c>
      <c r="J192" s="65"/>
    </row>
    <row r="193" customHeight="1" spans="1:10">
      <c r="A193" s="65"/>
      <c r="B193" s="65"/>
      <c r="C193" s="65" t="s">
        <v>212</v>
      </c>
      <c r="D193" s="65">
        <v>30</v>
      </c>
      <c r="E193" s="65">
        <v>24</v>
      </c>
      <c r="F193" s="65">
        <v>720</v>
      </c>
      <c r="G193" s="65">
        <v>720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213</v>
      </c>
      <c r="D194" s="65">
        <v>30</v>
      </c>
      <c r="E194" s="65">
        <v>24</v>
      </c>
      <c r="F194" s="65">
        <v>720</v>
      </c>
      <c r="G194" s="65">
        <v>720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214</v>
      </c>
      <c r="D195" s="65">
        <v>30</v>
      </c>
      <c r="E195" s="65">
        <v>24</v>
      </c>
      <c r="F195" s="65">
        <v>720</v>
      </c>
      <c r="G195" s="65">
        <v>720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215</v>
      </c>
      <c r="D196" s="65">
        <v>30</v>
      </c>
      <c r="E196" s="65">
        <v>24</v>
      </c>
      <c r="F196" s="65">
        <v>720</v>
      </c>
      <c r="G196" s="65">
        <v>720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216</v>
      </c>
      <c r="D197" s="65">
        <v>30</v>
      </c>
      <c r="E197" s="65">
        <v>24</v>
      </c>
      <c r="F197" s="65">
        <v>720</v>
      </c>
      <c r="G197" s="65">
        <v>720</v>
      </c>
      <c r="H197" s="66">
        <v>1</v>
      </c>
      <c r="I197" s="66">
        <v>1</v>
      </c>
      <c r="J197" s="65"/>
    </row>
    <row r="198" customHeight="1" spans="1:10">
      <c r="A198" s="65"/>
      <c r="B198" s="65"/>
      <c r="C198" s="65" t="s">
        <v>217</v>
      </c>
      <c r="D198" s="65">
        <v>30</v>
      </c>
      <c r="E198" s="65">
        <v>24</v>
      </c>
      <c r="F198" s="65">
        <v>720</v>
      </c>
      <c r="G198" s="65">
        <v>720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218</v>
      </c>
      <c r="D199" s="65">
        <v>30</v>
      </c>
      <c r="E199" s="65">
        <v>24</v>
      </c>
      <c r="F199" s="65">
        <v>720</v>
      </c>
      <c r="G199" s="65">
        <v>720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219</v>
      </c>
      <c r="D200" s="65">
        <v>30</v>
      </c>
      <c r="E200" s="65">
        <v>24</v>
      </c>
      <c r="F200" s="65">
        <v>720</v>
      </c>
      <c r="G200" s="65">
        <v>720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220</v>
      </c>
      <c r="D201" s="65">
        <v>30</v>
      </c>
      <c r="E201" s="65">
        <v>24</v>
      </c>
      <c r="F201" s="65">
        <v>720</v>
      </c>
      <c r="G201" s="65">
        <v>720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221</v>
      </c>
      <c r="D202" s="65">
        <v>30</v>
      </c>
      <c r="E202" s="65">
        <v>24</v>
      </c>
      <c r="F202" s="65">
        <v>720</v>
      </c>
      <c r="G202" s="65">
        <v>720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222</v>
      </c>
      <c r="D203" s="65">
        <v>30</v>
      </c>
      <c r="E203" s="65">
        <v>24</v>
      </c>
      <c r="F203" s="65">
        <v>720</v>
      </c>
      <c r="G203" s="65">
        <v>720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230</v>
      </c>
      <c r="C204" s="65" t="s">
        <v>182</v>
      </c>
      <c r="D204" s="65">
        <v>30</v>
      </c>
      <c r="E204" s="65">
        <v>24</v>
      </c>
      <c r="F204" s="65">
        <v>720</v>
      </c>
      <c r="G204" s="65">
        <v>720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183</v>
      </c>
      <c r="D205" s="65">
        <v>30</v>
      </c>
      <c r="E205" s="65">
        <v>24</v>
      </c>
      <c r="F205" s="65">
        <v>720</v>
      </c>
      <c r="G205" s="65">
        <v>720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233</v>
      </c>
      <c r="C206" s="65" t="s">
        <v>183</v>
      </c>
      <c r="D206" s="65">
        <v>30</v>
      </c>
      <c r="E206" s="65">
        <v>24</v>
      </c>
      <c r="F206" s="65">
        <v>720</v>
      </c>
      <c r="G206" s="65">
        <v>688</v>
      </c>
      <c r="H206" s="66">
        <v>0.955555555555556</v>
      </c>
      <c r="I206" s="66">
        <v>1</v>
      </c>
      <c r="J206" s="65" t="s">
        <v>232</v>
      </c>
    </row>
    <row r="207" customHeight="1" spans="1:10">
      <c r="A207" s="65"/>
      <c r="B207" s="65"/>
      <c r="C207" s="65" t="s">
        <v>184</v>
      </c>
      <c r="D207" s="65">
        <v>30</v>
      </c>
      <c r="E207" s="65">
        <v>24</v>
      </c>
      <c r="F207" s="65">
        <v>720</v>
      </c>
      <c r="G207" s="65">
        <v>720</v>
      </c>
      <c r="H207" s="66">
        <v>1</v>
      </c>
      <c r="I207" s="66">
        <v>1</v>
      </c>
      <c r="J207" s="65" t="s">
        <v>232</v>
      </c>
    </row>
    <row r="208" customHeight="1" spans="1:10">
      <c r="A208" s="65"/>
      <c r="B208" s="65"/>
      <c r="C208" s="65" t="s">
        <v>186</v>
      </c>
      <c r="D208" s="65">
        <v>30</v>
      </c>
      <c r="E208" s="65">
        <v>24</v>
      </c>
      <c r="F208" s="65">
        <v>720</v>
      </c>
      <c r="G208" s="65">
        <v>624</v>
      </c>
      <c r="H208" s="66">
        <v>0.866666666666667</v>
      </c>
      <c r="I208" s="66">
        <v>1</v>
      </c>
      <c r="J208" s="65" t="s">
        <v>232</v>
      </c>
    </row>
    <row r="209" customHeight="1" spans="1:10">
      <c r="A209" s="65"/>
      <c r="B209" s="64" t="s">
        <v>234</v>
      </c>
      <c r="C209" s="65" t="s">
        <v>175</v>
      </c>
      <c r="D209" s="65">
        <v>30</v>
      </c>
      <c r="E209" s="65">
        <v>24</v>
      </c>
      <c r="F209" s="65">
        <v>720</v>
      </c>
      <c r="G209" s="65">
        <v>720</v>
      </c>
      <c r="H209" s="66">
        <v>1</v>
      </c>
      <c r="I209" s="66">
        <v>1</v>
      </c>
      <c r="J209" s="65"/>
    </row>
    <row r="210" customHeight="1" spans="1:10">
      <c r="A210" s="65"/>
      <c r="B210" s="65"/>
      <c r="C210" s="65" t="s">
        <v>177</v>
      </c>
      <c r="D210" s="65">
        <v>30</v>
      </c>
      <c r="E210" s="65">
        <v>24</v>
      </c>
      <c r="F210" s="65">
        <v>720</v>
      </c>
      <c r="G210" s="65">
        <v>0</v>
      </c>
      <c r="H210" s="66">
        <v>0</v>
      </c>
      <c r="I210" s="66">
        <v>1</v>
      </c>
      <c r="J210" s="65"/>
    </row>
    <row r="211" customHeight="1" spans="1:10">
      <c r="A211" s="65"/>
      <c r="B211" s="65"/>
      <c r="C211" s="65" t="s">
        <v>182</v>
      </c>
      <c r="D211" s="65">
        <v>30</v>
      </c>
      <c r="E211" s="65">
        <v>24</v>
      </c>
      <c r="F211" s="65">
        <v>720</v>
      </c>
      <c r="G211" s="65">
        <v>720</v>
      </c>
      <c r="H211" s="66">
        <v>1</v>
      </c>
      <c r="I211" s="66">
        <v>1</v>
      </c>
      <c r="J211" s="65"/>
    </row>
    <row r="212" customHeight="1" spans="1:10">
      <c r="A212" s="65"/>
      <c r="B212" s="65"/>
      <c r="C212" s="65" t="s">
        <v>183</v>
      </c>
      <c r="D212" s="65">
        <v>30</v>
      </c>
      <c r="E212" s="65">
        <v>24</v>
      </c>
      <c r="F212" s="65">
        <v>720</v>
      </c>
      <c r="G212" s="65">
        <v>720</v>
      </c>
      <c r="H212" s="66">
        <v>1</v>
      </c>
      <c r="I212" s="66">
        <v>1</v>
      </c>
      <c r="J212" s="65"/>
    </row>
    <row r="213" customHeight="1" spans="1:10">
      <c r="A213" s="65"/>
      <c r="B213" s="65"/>
      <c r="C213" s="65" t="s">
        <v>184</v>
      </c>
      <c r="D213" s="65">
        <v>30</v>
      </c>
      <c r="E213" s="65">
        <v>24</v>
      </c>
      <c r="F213" s="65">
        <v>720</v>
      </c>
      <c r="G213" s="65">
        <v>720</v>
      </c>
      <c r="H213" s="66">
        <v>1</v>
      </c>
      <c r="I213" s="66">
        <v>1</v>
      </c>
      <c r="J213" s="65"/>
    </row>
    <row r="214" customHeight="1" spans="1:10">
      <c r="A214" s="65"/>
      <c r="B214" s="65"/>
      <c r="C214" s="65" t="s">
        <v>186</v>
      </c>
      <c r="D214" s="65">
        <v>30</v>
      </c>
      <c r="E214" s="65">
        <v>24</v>
      </c>
      <c r="F214" s="65">
        <v>720</v>
      </c>
      <c r="G214" s="65">
        <v>720</v>
      </c>
      <c r="H214" s="66">
        <v>1</v>
      </c>
      <c r="I214" s="66">
        <v>1</v>
      </c>
      <c r="J214" s="65"/>
    </row>
    <row r="215" customHeight="1" spans="1:10">
      <c r="A215" s="82" t="s">
        <v>237</v>
      </c>
      <c r="B215" s="64" t="s">
        <v>238</v>
      </c>
      <c r="C215" s="92" t="s">
        <v>175</v>
      </c>
      <c r="D215" s="65">
        <v>30</v>
      </c>
      <c r="E215" s="65">
        <v>24</v>
      </c>
      <c r="F215" s="65">
        <v>720</v>
      </c>
      <c r="G215" s="65">
        <v>720</v>
      </c>
      <c r="H215" s="66">
        <v>1</v>
      </c>
      <c r="I215" s="66">
        <v>1</v>
      </c>
      <c r="J215" s="65"/>
    </row>
    <row r="216" customHeight="1" spans="1:10">
      <c r="A216" s="83"/>
      <c r="B216" s="65"/>
      <c r="C216" s="65" t="s">
        <v>177</v>
      </c>
      <c r="D216" s="65">
        <v>30</v>
      </c>
      <c r="E216" s="65">
        <v>24</v>
      </c>
      <c r="F216" s="65">
        <v>720</v>
      </c>
      <c r="G216" s="65">
        <v>78</v>
      </c>
      <c r="H216" s="66">
        <v>0.108333333333333</v>
      </c>
      <c r="I216" s="66">
        <v>1</v>
      </c>
      <c r="J216" s="65"/>
    </row>
    <row r="217" customHeight="1" spans="1:10">
      <c r="A217" s="83"/>
      <c r="B217" s="65"/>
      <c r="C217" s="65" t="s">
        <v>182</v>
      </c>
      <c r="D217" s="65">
        <v>30</v>
      </c>
      <c r="E217" s="65">
        <v>24</v>
      </c>
      <c r="F217" s="65">
        <v>720</v>
      </c>
      <c r="G217" s="65">
        <v>468</v>
      </c>
      <c r="H217" s="66">
        <v>0.65</v>
      </c>
      <c r="I217" s="66">
        <v>1</v>
      </c>
      <c r="J217" s="65"/>
    </row>
    <row r="218" customHeight="1" spans="1:10">
      <c r="A218" s="83"/>
      <c r="B218" s="65"/>
      <c r="C218" s="65" t="s">
        <v>183</v>
      </c>
      <c r="D218" s="65">
        <v>30</v>
      </c>
      <c r="E218" s="65">
        <v>24</v>
      </c>
      <c r="F218" s="65">
        <v>720</v>
      </c>
      <c r="G218" s="65">
        <v>720</v>
      </c>
      <c r="H218" s="66">
        <v>1</v>
      </c>
      <c r="I218" s="66">
        <v>1</v>
      </c>
      <c r="J218" s="65"/>
    </row>
    <row r="219" customHeight="1" spans="1:10">
      <c r="A219" s="83"/>
      <c r="B219" s="64" t="s">
        <v>239</v>
      </c>
      <c r="C219" s="65" t="s">
        <v>175</v>
      </c>
      <c r="D219" s="65">
        <v>30</v>
      </c>
      <c r="E219" s="65">
        <v>24</v>
      </c>
      <c r="F219" s="65">
        <v>720</v>
      </c>
      <c r="G219" s="65">
        <v>720</v>
      </c>
      <c r="H219" s="81">
        <v>1</v>
      </c>
      <c r="I219" s="81">
        <v>1</v>
      </c>
      <c r="J219" s="5"/>
    </row>
    <row r="220" customHeight="1" spans="1:10">
      <c r="A220" s="83"/>
      <c r="B220" s="65"/>
      <c r="C220" s="65" t="s">
        <v>177</v>
      </c>
      <c r="D220" s="65">
        <v>30</v>
      </c>
      <c r="E220" s="65">
        <v>24</v>
      </c>
      <c r="F220" s="65">
        <v>720</v>
      </c>
      <c r="G220" s="65">
        <v>720</v>
      </c>
      <c r="H220" s="81">
        <v>1</v>
      </c>
      <c r="I220" s="81">
        <v>1</v>
      </c>
      <c r="J220" s="5"/>
    </row>
    <row r="221" customHeight="1" spans="1:10">
      <c r="A221" s="83"/>
      <c r="B221" s="65"/>
      <c r="C221" s="65" t="s">
        <v>182</v>
      </c>
      <c r="D221" s="65">
        <v>30</v>
      </c>
      <c r="E221" s="65">
        <v>24</v>
      </c>
      <c r="F221" s="65">
        <v>720</v>
      </c>
      <c r="G221" s="65">
        <v>720</v>
      </c>
      <c r="H221" s="81">
        <v>1</v>
      </c>
      <c r="I221" s="81">
        <v>1</v>
      </c>
      <c r="J221" s="5"/>
    </row>
    <row r="222" ht="14.25" spans="1:10">
      <c r="A222" s="85"/>
      <c r="B222" s="65"/>
      <c r="C222" s="65" t="s">
        <v>183</v>
      </c>
      <c r="D222" s="65">
        <v>30</v>
      </c>
      <c r="E222" s="65">
        <v>24</v>
      </c>
      <c r="F222" s="65">
        <v>720</v>
      </c>
      <c r="G222" s="65">
        <v>720</v>
      </c>
      <c r="H222" s="81">
        <v>1</v>
      </c>
      <c r="I222" s="81">
        <v>1</v>
      </c>
      <c r="J222" s="5"/>
    </row>
    <row r="223" customHeight="1" spans="1:10">
      <c r="A223" s="67" t="s">
        <v>66</v>
      </c>
      <c r="B223" s="67"/>
      <c r="C223" s="68"/>
      <c r="D223" s="68"/>
      <c r="E223" s="69" t="s">
        <v>67</v>
      </c>
      <c r="F223" s="69"/>
      <c r="G223" s="70"/>
      <c r="H223" s="71" t="s">
        <v>144</v>
      </c>
      <c r="I223" s="71"/>
      <c r="J223" s="71"/>
    </row>
    <row r="224" ht="17" customHeight="1"/>
    <row r="225" ht="16" customHeight="1"/>
    <row r="226" ht="27" customHeight="1" spans="1:10">
      <c r="A226" s="57" t="s">
        <v>158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2">
        <v>44287</v>
      </c>
      <c r="B227" s="72"/>
      <c r="C227" s="72"/>
      <c r="D227" s="72"/>
      <c r="E227" s="72"/>
      <c r="F227" s="72"/>
      <c r="G227" s="72"/>
      <c r="H227" s="72"/>
      <c r="I227" s="72"/>
      <c r="J227" s="72"/>
    </row>
    <row r="228" customHeight="1" spans="1:10">
      <c r="A228" s="6" t="s">
        <v>159</v>
      </c>
      <c r="B228" s="6" t="s">
        <v>160</v>
      </c>
      <c r="C228" s="6" t="s">
        <v>161</v>
      </c>
      <c r="D228" s="6" t="s">
        <v>162</v>
      </c>
      <c r="E228" s="60" t="s">
        <v>163</v>
      </c>
      <c r="F228" s="60" t="s">
        <v>164</v>
      </c>
      <c r="G228" s="61" t="s">
        <v>165</v>
      </c>
      <c r="H228" s="62" t="s">
        <v>166</v>
      </c>
      <c r="I228" s="60" t="s">
        <v>167</v>
      </c>
      <c r="J228" s="6" t="s">
        <v>168</v>
      </c>
    </row>
    <row r="229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customHeight="1" spans="1:10">
      <c r="A230" s="63"/>
      <c r="B230" s="6"/>
      <c r="C230" s="63"/>
      <c r="D230" s="6" t="s">
        <v>169</v>
      </c>
      <c r="E230" s="60" t="s">
        <v>170</v>
      </c>
      <c r="F230" s="60" t="s">
        <v>171</v>
      </c>
      <c r="G230" s="61" t="s">
        <v>171</v>
      </c>
      <c r="H230" s="62" t="s">
        <v>172</v>
      </c>
      <c r="I230" s="60" t="s">
        <v>172</v>
      </c>
      <c r="J230" s="6"/>
    </row>
    <row r="231" customHeight="1" spans="1:10">
      <c r="A231" s="64" t="s">
        <v>237</v>
      </c>
      <c r="B231" s="64" t="s">
        <v>240</v>
      </c>
      <c r="C231" s="65" t="s">
        <v>175</v>
      </c>
      <c r="D231" s="65">
        <v>30</v>
      </c>
      <c r="E231" s="65">
        <v>24</v>
      </c>
      <c r="F231" s="65">
        <v>720</v>
      </c>
      <c r="G231" s="65">
        <v>718</v>
      </c>
      <c r="H231" s="66">
        <v>0.688888888888889</v>
      </c>
      <c r="I231" s="66">
        <v>1</v>
      </c>
      <c r="J231" s="65"/>
    </row>
    <row r="232" customHeight="1" spans="1:10">
      <c r="A232" s="64"/>
      <c r="B232" s="65"/>
      <c r="C232" s="65" t="s">
        <v>177</v>
      </c>
      <c r="D232" s="65">
        <v>30</v>
      </c>
      <c r="E232" s="65">
        <v>24</v>
      </c>
      <c r="F232" s="65">
        <v>720</v>
      </c>
      <c r="G232" s="65">
        <v>496</v>
      </c>
      <c r="H232" s="66">
        <v>0.688888888888889</v>
      </c>
      <c r="I232" s="66">
        <v>1</v>
      </c>
      <c r="J232" s="65"/>
    </row>
    <row r="233" customHeight="1" spans="1:10">
      <c r="A233" s="64"/>
      <c r="B233" s="65"/>
      <c r="C233" s="65" t="s">
        <v>182</v>
      </c>
      <c r="D233" s="65">
        <v>30</v>
      </c>
      <c r="E233" s="65">
        <v>24</v>
      </c>
      <c r="F233" s="65">
        <v>720</v>
      </c>
      <c r="G233" s="65">
        <v>496</v>
      </c>
      <c r="H233" s="66">
        <v>0.688888888888889</v>
      </c>
      <c r="I233" s="66">
        <v>1</v>
      </c>
      <c r="J233" s="65"/>
    </row>
    <row r="234" customHeight="1" spans="1:10">
      <c r="A234" s="64"/>
      <c r="B234" s="65"/>
      <c r="C234" s="65" t="s">
        <v>183</v>
      </c>
      <c r="D234" s="65">
        <v>30</v>
      </c>
      <c r="E234" s="65">
        <v>24</v>
      </c>
      <c r="F234" s="65">
        <v>720</v>
      </c>
      <c r="G234" s="65">
        <v>496</v>
      </c>
      <c r="H234" s="66">
        <v>0.688888888888889</v>
      </c>
      <c r="I234" s="66">
        <v>1</v>
      </c>
      <c r="J234" s="65"/>
    </row>
    <row r="235" customHeight="1" spans="1:10">
      <c r="A235" s="64"/>
      <c r="B235" s="64" t="s">
        <v>241</v>
      </c>
      <c r="C235" s="65" t="s">
        <v>175</v>
      </c>
      <c r="D235" s="65">
        <v>30</v>
      </c>
      <c r="E235" s="65">
        <v>24</v>
      </c>
      <c r="F235" s="65">
        <v>720</v>
      </c>
      <c r="G235" s="65">
        <v>496</v>
      </c>
      <c r="H235" s="66">
        <v>0.688888888888889</v>
      </c>
      <c r="I235" s="66">
        <v>1</v>
      </c>
      <c r="J235" s="65"/>
    </row>
    <row r="236" customHeight="1" spans="1:10">
      <c r="A236" s="64"/>
      <c r="B236" s="65"/>
      <c r="C236" s="65" t="s">
        <v>177</v>
      </c>
      <c r="D236" s="65">
        <v>30</v>
      </c>
      <c r="E236" s="65">
        <v>24</v>
      </c>
      <c r="F236" s="65">
        <v>720</v>
      </c>
      <c r="G236" s="65">
        <v>496</v>
      </c>
      <c r="H236" s="66">
        <v>0.688888888888889</v>
      </c>
      <c r="I236" s="66">
        <v>1</v>
      </c>
      <c r="J236" s="65"/>
    </row>
    <row r="237" customHeight="1" spans="1:10">
      <c r="A237" s="64"/>
      <c r="B237" s="65"/>
      <c r="C237" s="65" t="s">
        <v>182</v>
      </c>
      <c r="D237" s="65">
        <v>30</v>
      </c>
      <c r="E237" s="65">
        <v>24</v>
      </c>
      <c r="F237" s="65">
        <v>720</v>
      </c>
      <c r="G237" s="65">
        <v>716</v>
      </c>
      <c r="H237" s="66">
        <v>0.688888888888889</v>
      </c>
      <c r="I237" s="66">
        <v>1</v>
      </c>
      <c r="J237" s="65"/>
    </row>
    <row r="238" customHeight="1" spans="1:10">
      <c r="A238" s="64"/>
      <c r="B238" s="65"/>
      <c r="C238" s="65" t="s">
        <v>183</v>
      </c>
      <c r="D238" s="65">
        <v>30</v>
      </c>
      <c r="E238" s="65">
        <v>24</v>
      </c>
      <c r="F238" s="65">
        <v>720</v>
      </c>
      <c r="G238" s="65">
        <v>496</v>
      </c>
      <c r="H238" s="66">
        <v>0.688888888888889</v>
      </c>
      <c r="I238" s="66">
        <v>1</v>
      </c>
      <c r="J238" s="65"/>
    </row>
    <row r="239" customHeight="1" spans="1:10">
      <c r="A239" s="64"/>
      <c r="B239" s="65"/>
      <c r="C239" s="65" t="s">
        <v>184</v>
      </c>
      <c r="D239" s="65">
        <v>30</v>
      </c>
      <c r="E239" s="65">
        <v>24</v>
      </c>
      <c r="F239" s="65">
        <v>720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186</v>
      </c>
      <c r="D240" s="65">
        <v>30</v>
      </c>
      <c r="E240" s="65">
        <v>24</v>
      </c>
      <c r="F240" s="65">
        <v>720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242</v>
      </c>
      <c r="C241" s="65" t="s">
        <v>175</v>
      </c>
      <c r="D241" s="65">
        <v>30</v>
      </c>
      <c r="E241" s="65">
        <v>24</v>
      </c>
      <c r="F241" s="65">
        <v>720</v>
      </c>
      <c r="G241" s="65">
        <v>60</v>
      </c>
      <c r="H241" s="66">
        <v>0.0833333333333333</v>
      </c>
      <c r="I241" s="66">
        <v>1</v>
      </c>
      <c r="J241" s="65"/>
    </row>
    <row r="242" customHeight="1" spans="1:10">
      <c r="A242" s="64"/>
      <c r="B242" s="65"/>
      <c r="C242" s="65" t="s">
        <v>177</v>
      </c>
      <c r="D242" s="65">
        <v>30</v>
      </c>
      <c r="E242" s="65">
        <v>24</v>
      </c>
      <c r="F242" s="65">
        <v>720</v>
      </c>
      <c r="G242" s="65">
        <v>60</v>
      </c>
      <c r="H242" s="66">
        <v>0.0833333333333333</v>
      </c>
      <c r="I242" s="66">
        <v>1</v>
      </c>
      <c r="J242" s="65"/>
    </row>
    <row r="243" customHeight="1" spans="1:10">
      <c r="A243" s="64"/>
      <c r="B243" s="65"/>
      <c r="C243" s="65" t="s">
        <v>182</v>
      </c>
      <c r="D243" s="65">
        <v>30</v>
      </c>
      <c r="E243" s="65">
        <v>24</v>
      </c>
      <c r="F243" s="65">
        <v>720</v>
      </c>
      <c r="G243" s="65">
        <v>60</v>
      </c>
      <c r="H243" s="66">
        <v>0.0833333333333333</v>
      </c>
      <c r="I243" s="66">
        <v>1</v>
      </c>
      <c r="J243" s="65"/>
    </row>
    <row r="244" customHeight="1" spans="1:10">
      <c r="A244" s="64"/>
      <c r="B244" s="65"/>
      <c r="C244" s="65" t="s">
        <v>183</v>
      </c>
      <c r="D244" s="65">
        <v>30</v>
      </c>
      <c r="E244" s="65">
        <v>24</v>
      </c>
      <c r="F244" s="65">
        <v>720</v>
      </c>
      <c r="G244" s="65">
        <v>60</v>
      </c>
      <c r="H244" s="66">
        <v>0.0833333333333333</v>
      </c>
      <c r="I244" s="66">
        <v>1</v>
      </c>
      <c r="J244" s="65"/>
    </row>
    <row r="245" customHeight="1" spans="1:10">
      <c r="A245" s="64"/>
      <c r="B245" s="64" t="s">
        <v>243</v>
      </c>
      <c r="C245" s="65" t="s">
        <v>175</v>
      </c>
      <c r="D245" s="65">
        <v>30</v>
      </c>
      <c r="E245" s="65">
        <v>24</v>
      </c>
      <c r="F245" s="65">
        <v>720</v>
      </c>
      <c r="G245" s="65">
        <v>360</v>
      </c>
      <c r="H245" s="66">
        <v>0.5</v>
      </c>
      <c r="I245" s="66">
        <v>1</v>
      </c>
      <c r="J245" s="65"/>
    </row>
    <row r="246" customHeight="1" spans="1:10">
      <c r="A246" s="64"/>
      <c r="B246" s="65"/>
      <c r="C246" s="65" t="s">
        <v>177</v>
      </c>
      <c r="D246" s="65">
        <v>30</v>
      </c>
      <c r="E246" s="65">
        <v>24</v>
      </c>
      <c r="F246" s="65">
        <v>720</v>
      </c>
      <c r="G246" s="65">
        <v>0</v>
      </c>
      <c r="H246" s="66">
        <v>0</v>
      </c>
      <c r="I246" s="66">
        <v>1</v>
      </c>
      <c r="J246" s="65" t="s">
        <v>244</v>
      </c>
    </row>
    <row r="247" customHeight="1" spans="1:10">
      <c r="A247" s="64"/>
      <c r="B247" s="65"/>
      <c r="C247" s="65" t="s">
        <v>182</v>
      </c>
      <c r="D247" s="65">
        <v>30</v>
      </c>
      <c r="E247" s="65">
        <v>24</v>
      </c>
      <c r="F247" s="65">
        <v>720</v>
      </c>
      <c r="G247" s="65">
        <v>360</v>
      </c>
      <c r="H247" s="66">
        <v>0.5</v>
      </c>
      <c r="I247" s="66">
        <v>1</v>
      </c>
      <c r="J247" s="65" t="s">
        <v>244</v>
      </c>
    </row>
    <row r="248" customHeight="1" spans="1:10">
      <c r="A248" s="64"/>
      <c r="B248" s="65"/>
      <c r="C248" s="65" t="s">
        <v>183</v>
      </c>
      <c r="D248" s="65">
        <v>30</v>
      </c>
      <c r="E248" s="65">
        <v>24</v>
      </c>
      <c r="F248" s="65">
        <v>720</v>
      </c>
      <c r="G248" s="65">
        <v>0</v>
      </c>
      <c r="H248" s="66">
        <v>0</v>
      </c>
      <c r="I248" s="66">
        <v>1</v>
      </c>
      <c r="J248" s="65"/>
    </row>
    <row r="249" customHeight="1" spans="1:10">
      <c r="A249" s="64"/>
      <c r="B249" s="65"/>
      <c r="C249" s="65" t="s">
        <v>184</v>
      </c>
      <c r="D249" s="65">
        <v>30</v>
      </c>
      <c r="E249" s="65">
        <v>24</v>
      </c>
      <c r="F249" s="65">
        <v>720</v>
      </c>
      <c r="G249" s="65">
        <v>360</v>
      </c>
      <c r="H249" s="66">
        <v>0.5</v>
      </c>
      <c r="I249" s="66">
        <v>1</v>
      </c>
      <c r="J249" s="65"/>
    </row>
    <row r="250" customHeight="1" spans="1:10">
      <c r="A250" s="64"/>
      <c r="B250" s="65"/>
      <c r="C250" s="65" t="s">
        <v>186</v>
      </c>
      <c r="D250" s="65">
        <v>30</v>
      </c>
      <c r="E250" s="65">
        <v>24</v>
      </c>
      <c r="F250" s="65">
        <v>720</v>
      </c>
      <c r="G250" s="65">
        <v>360</v>
      </c>
      <c r="H250" s="66">
        <v>0.5</v>
      </c>
      <c r="I250" s="66">
        <v>1</v>
      </c>
      <c r="J250" s="65"/>
    </row>
    <row r="251" customHeight="1" spans="1:10">
      <c r="A251" s="64"/>
      <c r="B251" s="65"/>
      <c r="C251" s="65" t="s">
        <v>192</v>
      </c>
      <c r="D251" s="65">
        <v>30</v>
      </c>
      <c r="E251" s="65">
        <v>24</v>
      </c>
      <c r="F251" s="65">
        <v>720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193</v>
      </c>
      <c r="D252" s="65">
        <v>30</v>
      </c>
      <c r="E252" s="65">
        <v>24</v>
      </c>
      <c r="F252" s="65">
        <v>720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194</v>
      </c>
      <c r="D253" s="65">
        <v>30</v>
      </c>
      <c r="E253" s="65">
        <v>24</v>
      </c>
      <c r="F253" s="65">
        <v>720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4" t="s">
        <v>245</v>
      </c>
      <c r="C254" s="65" t="s">
        <v>175</v>
      </c>
      <c r="D254" s="65">
        <v>30</v>
      </c>
      <c r="E254" s="65">
        <v>24</v>
      </c>
      <c r="F254" s="65">
        <v>720</v>
      </c>
      <c r="G254" s="65">
        <v>360</v>
      </c>
      <c r="H254" s="66">
        <v>0.5</v>
      </c>
      <c r="I254" s="66">
        <v>1</v>
      </c>
      <c r="J254" s="65"/>
    </row>
    <row r="255" customHeight="1" spans="1:10">
      <c r="A255" s="64"/>
      <c r="B255" s="65"/>
      <c r="C255" s="65" t="s">
        <v>177</v>
      </c>
      <c r="D255" s="65">
        <v>30</v>
      </c>
      <c r="E255" s="65">
        <v>24</v>
      </c>
      <c r="F255" s="65">
        <v>720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182</v>
      </c>
      <c r="D256" s="65">
        <v>30</v>
      </c>
      <c r="E256" s="65">
        <v>24</v>
      </c>
      <c r="F256" s="65">
        <v>720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183</v>
      </c>
      <c r="D257" s="65">
        <v>30</v>
      </c>
      <c r="E257" s="65">
        <v>24</v>
      </c>
      <c r="F257" s="65">
        <v>720</v>
      </c>
      <c r="G257" s="65">
        <v>360</v>
      </c>
      <c r="H257" s="66">
        <v>0.5</v>
      </c>
      <c r="I257" s="66">
        <v>1</v>
      </c>
      <c r="J257" s="65"/>
    </row>
    <row r="258" customHeight="1" spans="1:10">
      <c r="A258" s="64"/>
      <c r="B258" s="65"/>
      <c r="C258" s="65" t="s">
        <v>184</v>
      </c>
      <c r="D258" s="65">
        <v>30</v>
      </c>
      <c r="E258" s="65">
        <v>24</v>
      </c>
      <c r="F258" s="65">
        <v>720</v>
      </c>
      <c r="G258" s="65">
        <v>360</v>
      </c>
      <c r="H258" s="66">
        <v>0.5</v>
      </c>
      <c r="I258" s="66">
        <v>1</v>
      </c>
      <c r="J258" s="65"/>
    </row>
    <row r="259" customHeight="1" spans="1:10">
      <c r="A259" s="64"/>
      <c r="B259" s="65"/>
      <c r="C259" s="65" t="s">
        <v>186</v>
      </c>
      <c r="D259" s="65">
        <v>30</v>
      </c>
      <c r="E259" s="65">
        <v>24</v>
      </c>
      <c r="F259" s="65">
        <v>720</v>
      </c>
      <c r="G259" s="65">
        <v>0</v>
      </c>
      <c r="H259" s="66">
        <v>0</v>
      </c>
      <c r="I259" s="66">
        <v>1</v>
      </c>
      <c r="J259" s="65"/>
    </row>
    <row r="260" customHeight="1" spans="1:10">
      <c r="A260" s="64"/>
      <c r="B260" s="65"/>
      <c r="C260" s="65" t="s">
        <v>192</v>
      </c>
      <c r="D260" s="65">
        <v>30</v>
      </c>
      <c r="E260" s="65">
        <v>24</v>
      </c>
      <c r="F260" s="65">
        <v>720</v>
      </c>
      <c r="G260" s="65">
        <v>0</v>
      </c>
      <c r="H260" s="66">
        <v>0</v>
      </c>
      <c r="I260" s="66">
        <v>1</v>
      </c>
      <c r="J260" s="65"/>
    </row>
    <row r="261" customHeight="1" spans="1:10">
      <c r="A261" s="64"/>
      <c r="B261" s="65"/>
      <c r="C261" s="65" t="s">
        <v>193</v>
      </c>
      <c r="D261" s="65">
        <v>30</v>
      </c>
      <c r="E261" s="65">
        <v>24</v>
      </c>
      <c r="F261" s="65">
        <v>720</v>
      </c>
      <c r="G261" s="65">
        <v>360</v>
      </c>
      <c r="H261" s="66">
        <v>0.5</v>
      </c>
      <c r="I261" s="66">
        <v>1</v>
      </c>
      <c r="J261" s="65"/>
    </row>
    <row r="262" customHeight="1" spans="1:10">
      <c r="A262" s="64"/>
      <c r="B262" s="6" t="s">
        <v>246</v>
      </c>
      <c r="C262" s="65" t="s">
        <v>175</v>
      </c>
      <c r="D262" s="65">
        <v>30</v>
      </c>
      <c r="E262" s="65">
        <v>24</v>
      </c>
      <c r="F262" s="65">
        <v>720</v>
      </c>
      <c r="G262" s="65">
        <v>720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177</v>
      </c>
      <c r="D263" s="65">
        <v>31</v>
      </c>
      <c r="E263" s="65">
        <v>24</v>
      </c>
      <c r="F263" s="65">
        <v>720</v>
      </c>
      <c r="G263" s="65">
        <v>720</v>
      </c>
      <c r="H263" s="66">
        <v>0.97</v>
      </c>
      <c r="I263" s="66">
        <v>1</v>
      </c>
      <c r="J263" s="65"/>
    </row>
    <row r="264" customHeight="1" spans="1:10">
      <c r="A264" s="64"/>
      <c r="B264" s="5"/>
      <c r="C264" s="65" t="s">
        <v>182</v>
      </c>
      <c r="D264" s="65">
        <v>30</v>
      </c>
      <c r="E264" s="65">
        <v>24</v>
      </c>
      <c r="F264" s="65">
        <v>720</v>
      </c>
      <c r="G264" s="65">
        <v>0</v>
      </c>
      <c r="H264" s="66">
        <v>0</v>
      </c>
      <c r="I264" s="66">
        <v>1</v>
      </c>
      <c r="J264" s="65"/>
    </row>
    <row r="265" customHeight="1" spans="1:10">
      <c r="A265" s="64"/>
      <c r="B265" s="6" t="s">
        <v>247</v>
      </c>
      <c r="C265" s="65" t="s">
        <v>175</v>
      </c>
      <c r="D265" s="65">
        <v>30</v>
      </c>
      <c r="E265" s="65">
        <v>24</v>
      </c>
      <c r="F265" s="65">
        <v>720</v>
      </c>
      <c r="G265" s="65">
        <v>720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177</v>
      </c>
      <c r="D266" s="65">
        <v>30</v>
      </c>
      <c r="E266" s="65">
        <v>24</v>
      </c>
      <c r="F266" s="65">
        <v>720</v>
      </c>
      <c r="G266" s="65">
        <v>720</v>
      </c>
      <c r="H266" s="66">
        <v>1</v>
      </c>
      <c r="I266" s="66">
        <v>1</v>
      </c>
      <c r="J266" s="65"/>
    </row>
    <row r="267" customHeight="1" spans="1:10">
      <c r="A267" s="64"/>
      <c r="B267" s="5"/>
      <c r="C267" s="65" t="s">
        <v>182</v>
      </c>
      <c r="D267" s="65">
        <v>30</v>
      </c>
      <c r="E267" s="65">
        <v>24</v>
      </c>
      <c r="F267" s="65">
        <v>720</v>
      </c>
      <c r="G267" s="65">
        <v>720</v>
      </c>
      <c r="H267" s="66">
        <v>1</v>
      </c>
      <c r="I267" s="66">
        <v>1</v>
      </c>
      <c r="J267" s="65"/>
    </row>
    <row r="268" customHeight="1" spans="1:10">
      <c r="A268" s="64"/>
      <c r="B268" s="5"/>
      <c r="C268" s="65" t="s">
        <v>183</v>
      </c>
      <c r="D268" s="65">
        <v>30</v>
      </c>
      <c r="E268" s="65">
        <v>24</v>
      </c>
      <c r="F268" s="65">
        <v>720</v>
      </c>
      <c r="G268" s="65">
        <v>720</v>
      </c>
      <c r="H268" s="66">
        <v>1</v>
      </c>
      <c r="I268" s="66">
        <v>1</v>
      </c>
      <c r="J268" s="65"/>
    </row>
    <row r="269" customHeight="1" spans="1:10">
      <c r="A269" s="64"/>
      <c r="B269" s="5"/>
      <c r="C269" s="65" t="s">
        <v>184</v>
      </c>
      <c r="D269" s="65">
        <v>30</v>
      </c>
      <c r="E269" s="65">
        <v>24</v>
      </c>
      <c r="F269" s="65">
        <v>720</v>
      </c>
      <c r="G269" s="65">
        <v>720</v>
      </c>
      <c r="H269" s="66">
        <v>1</v>
      </c>
      <c r="I269" s="66">
        <v>1</v>
      </c>
      <c r="J269" s="65"/>
    </row>
    <row r="270" ht="19" customHeight="1" spans="1:10">
      <c r="A270" s="67" t="s">
        <v>66</v>
      </c>
      <c r="B270" s="67"/>
      <c r="C270" s="68"/>
      <c r="D270" s="68"/>
      <c r="E270" s="69" t="s">
        <v>67</v>
      </c>
      <c r="F270" s="69"/>
      <c r="G270" s="70"/>
      <c r="H270" s="71" t="s">
        <v>144</v>
      </c>
      <c r="I270" s="71"/>
      <c r="J270" s="71"/>
    </row>
    <row r="271" ht="17" customHeight="1" spans="1:10">
      <c r="A271" s="57" t="s">
        <v>158</v>
      </c>
      <c r="B271" s="57"/>
      <c r="C271" s="57"/>
      <c r="D271" s="57"/>
      <c r="E271" s="57"/>
      <c r="F271" s="57"/>
      <c r="G271" s="57"/>
      <c r="H271" s="58"/>
      <c r="I271" s="57"/>
      <c r="J271" s="57"/>
    </row>
    <row r="272" customHeight="1" spans="1:10">
      <c r="A272" s="59">
        <v>44287</v>
      </c>
      <c r="B272" s="59"/>
      <c r="C272" s="59"/>
      <c r="D272" s="59"/>
      <c r="E272" s="59"/>
      <c r="F272" s="59"/>
      <c r="G272" s="59"/>
      <c r="H272" s="59"/>
      <c r="I272" s="59"/>
      <c r="J272" s="59"/>
    </row>
    <row r="273" customHeight="1" spans="1:10">
      <c r="A273" s="6" t="s">
        <v>159</v>
      </c>
      <c r="B273" s="6" t="s">
        <v>160</v>
      </c>
      <c r="C273" s="6" t="s">
        <v>161</v>
      </c>
      <c r="D273" s="6" t="s">
        <v>162</v>
      </c>
      <c r="E273" s="60" t="s">
        <v>163</v>
      </c>
      <c r="F273" s="60" t="s">
        <v>164</v>
      </c>
      <c r="G273" s="61" t="s">
        <v>165</v>
      </c>
      <c r="H273" s="62" t="s">
        <v>166</v>
      </c>
      <c r="I273" s="60" t="s">
        <v>167</v>
      </c>
      <c r="J273" s="6" t="s">
        <v>168</v>
      </c>
    </row>
    <row r="274" customHeight="1" spans="1:10">
      <c r="A274" s="6"/>
      <c r="B274" s="6"/>
      <c r="C274" s="6"/>
      <c r="D274" s="6"/>
      <c r="E274" s="60"/>
      <c r="F274" s="60"/>
      <c r="G274" s="61"/>
      <c r="H274" s="62"/>
      <c r="I274" s="60"/>
      <c r="J274" s="6"/>
    </row>
    <row r="275" customHeight="1" spans="1:10">
      <c r="A275" s="63"/>
      <c r="B275" s="6"/>
      <c r="C275" s="63"/>
      <c r="D275" s="6" t="s">
        <v>169</v>
      </c>
      <c r="E275" s="60" t="s">
        <v>170</v>
      </c>
      <c r="F275" s="60" t="s">
        <v>171</v>
      </c>
      <c r="G275" s="61" t="s">
        <v>171</v>
      </c>
      <c r="H275" s="62" t="s">
        <v>172</v>
      </c>
      <c r="I275" s="60" t="s">
        <v>172</v>
      </c>
      <c r="J275" s="6"/>
    </row>
    <row r="276" customHeight="1" spans="1:10">
      <c r="A276" s="64" t="s">
        <v>237</v>
      </c>
      <c r="B276" s="64" t="s">
        <v>247</v>
      </c>
      <c r="C276" s="65" t="s">
        <v>186</v>
      </c>
      <c r="D276" s="65">
        <v>30</v>
      </c>
      <c r="E276" s="65">
        <v>24</v>
      </c>
      <c r="F276" s="65">
        <v>720</v>
      </c>
      <c r="G276" s="65">
        <v>720</v>
      </c>
      <c r="H276" s="66">
        <v>1</v>
      </c>
      <c r="I276" s="66">
        <v>1</v>
      </c>
      <c r="J276" s="65"/>
    </row>
    <row r="277" customHeight="1" spans="1:10">
      <c r="A277" s="65"/>
      <c r="B277" s="64"/>
      <c r="C277" s="65" t="s">
        <v>192</v>
      </c>
      <c r="D277" s="65">
        <v>30</v>
      </c>
      <c r="E277" s="65">
        <v>24</v>
      </c>
      <c r="F277" s="65">
        <v>720</v>
      </c>
      <c r="G277" s="65">
        <v>720</v>
      </c>
      <c r="H277" s="66">
        <v>1</v>
      </c>
      <c r="I277" s="66">
        <v>1</v>
      </c>
      <c r="J277" s="65"/>
    </row>
    <row r="278" customHeight="1" spans="1:10">
      <c r="A278" s="65"/>
      <c r="B278" s="64"/>
      <c r="C278" s="65" t="s">
        <v>193</v>
      </c>
      <c r="D278" s="65">
        <v>30</v>
      </c>
      <c r="E278" s="65">
        <v>24</v>
      </c>
      <c r="F278" s="65">
        <v>720</v>
      </c>
      <c r="G278" s="65">
        <v>720</v>
      </c>
      <c r="H278" s="66">
        <v>1</v>
      </c>
      <c r="I278" s="66">
        <v>1</v>
      </c>
      <c r="J278" s="65"/>
    </row>
    <row r="279" customHeight="1" spans="1:10">
      <c r="A279" s="65"/>
      <c r="B279" s="64" t="s">
        <v>248</v>
      </c>
      <c r="C279" s="65" t="s">
        <v>194</v>
      </c>
      <c r="D279" s="65">
        <v>30</v>
      </c>
      <c r="E279" s="65">
        <v>24</v>
      </c>
      <c r="F279" s="65">
        <v>720</v>
      </c>
      <c r="G279" s="65">
        <v>720</v>
      </c>
      <c r="H279" s="66">
        <v>1</v>
      </c>
      <c r="I279" s="66">
        <v>1</v>
      </c>
      <c r="J279" s="65"/>
    </row>
    <row r="280" customHeight="1" spans="1:10">
      <c r="A280" s="65"/>
      <c r="B280" s="65"/>
      <c r="C280" s="65" t="s">
        <v>195</v>
      </c>
      <c r="D280" s="65">
        <v>30</v>
      </c>
      <c r="E280" s="65">
        <v>24</v>
      </c>
      <c r="F280" s="65">
        <v>720</v>
      </c>
      <c r="G280" s="65">
        <v>720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196</v>
      </c>
      <c r="D281" s="65">
        <v>30</v>
      </c>
      <c r="E281" s="65">
        <v>24</v>
      </c>
      <c r="F281" s="65">
        <v>720</v>
      </c>
      <c r="G281" s="65">
        <v>720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197</v>
      </c>
      <c r="D282" s="65">
        <v>30</v>
      </c>
      <c r="E282" s="65">
        <v>24</v>
      </c>
      <c r="F282" s="65">
        <v>720</v>
      </c>
      <c r="G282" s="65">
        <v>720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198</v>
      </c>
      <c r="D283" s="65">
        <v>30</v>
      </c>
      <c r="E283" s="65">
        <v>24</v>
      </c>
      <c r="F283" s="65">
        <v>720</v>
      </c>
      <c r="G283" s="65">
        <v>720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199</v>
      </c>
      <c r="D284" s="65">
        <v>30</v>
      </c>
      <c r="E284" s="65">
        <v>24</v>
      </c>
      <c r="F284" s="65">
        <v>720</v>
      </c>
      <c r="G284" s="65">
        <v>720</v>
      </c>
      <c r="H284" s="66">
        <v>1</v>
      </c>
      <c r="I284" s="66">
        <v>1</v>
      </c>
      <c r="J284" s="65"/>
    </row>
    <row r="285" customHeight="1" spans="1:10">
      <c r="A285" s="65"/>
      <c r="B285" s="65"/>
      <c r="C285" s="65" t="s">
        <v>200</v>
      </c>
      <c r="D285" s="65">
        <v>30</v>
      </c>
      <c r="E285" s="65">
        <v>24</v>
      </c>
      <c r="F285" s="65">
        <v>720</v>
      </c>
      <c r="G285" s="65">
        <v>720</v>
      </c>
      <c r="H285" s="66">
        <v>1</v>
      </c>
      <c r="I285" s="66">
        <v>1</v>
      </c>
      <c r="J285" s="65"/>
    </row>
    <row r="286" customHeight="1" spans="1:10">
      <c r="A286" s="65"/>
      <c r="B286" s="65"/>
      <c r="C286" s="65" t="s">
        <v>201</v>
      </c>
      <c r="D286" s="65">
        <v>30</v>
      </c>
      <c r="E286" s="65">
        <v>24</v>
      </c>
      <c r="F286" s="65">
        <v>720</v>
      </c>
      <c r="G286" s="65">
        <v>720</v>
      </c>
      <c r="H286" s="66">
        <v>1</v>
      </c>
      <c r="I286" s="66">
        <v>1</v>
      </c>
      <c r="J286" s="65" t="s">
        <v>249</v>
      </c>
    </row>
    <row r="287" customHeight="1" spans="1:10">
      <c r="A287" s="65"/>
      <c r="B287" s="65" t="s">
        <v>250</v>
      </c>
      <c r="C287" s="65" t="s">
        <v>175</v>
      </c>
      <c r="D287" s="65">
        <v>30</v>
      </c>
      <c r="E287" s="65">
        <v>24</v>
      </c>
      <c r="F287" s="65">
        <v>720</v>
      </c>
      <c r="G287" s="65">
        <v>50.7</v>
      </c>
      <c r="H287" s="66">
        <v>0.0704166666666667</v>
      </c>
      <c r="I287" s="66">
        <v>1</v>
      </c>
      <c r="J287" s="65" t="s">
        <v>251</v>
      </c>
    </row>
    <row r="288" customHeight="1" spans="1:10">
      <c r="A288" s="65"/>
      <c r="B288" s="65"/>
      <c r="C288" s="65" t="s">
        <v>177</v>
      </c>
      <c r="D288" s="65">
        <v>30</v>
      </c>
      <c r="E288" s="65">
        <v>24</v>
      </c>
      <c r="F288" s="65">
        <v>720</v>
      </c>
      <c r="G288" s="65">
        <v>0</v>
      </c>
      <c r="H288" s="66">
        <v>0</v>
      </c>
      <c r="I288" s="66">
        <v>1</v>
      </c>
      <c r="J288" s="65" t="s">
        <v>251</v>
      </c>
    </row>
    <row r="289" customHeight="1" spans="1:10">
      <c r="A289" s="65"/>
      <c r="B289" s="65"/>
      <c r="C289" s="65" t="s">
        <v>182</v>
      </c>
      <c r="D289" s="65">
        <v>30</v>
      </c>
      <c r="E289" s="65">
        <v>24</v>
      </c>
      <c r="F289" s="65">
        <v>720</v>
      </c>
      <c r="G289" s="65">
        <v>49.8</v>
      </c>
      <c r="H289" s="66">
        <v>0.0691666666666667</v>
      </c>
      <c r="I289" s="66">
        <v>1</v>
      </c>
      <c r="J289" s="65" t="s">
        <v>251</v>
      </c>
    </row>
    <row r="290" customHeight="1" spans="1:10">
      <c r="A290" s="65"/>
      <c r="B290" s="65" t="s">
        <v>252</v>
      </c>
      <c r="C290" s="65" t="s">
        <v>175</v>
      </c>
      <c r="D290" s="65">
        <v>30</v>
      </c>
      <c r="E290" s="65">
        <v>24</v>
      </c>
      <c r="F290" s="65">
        <v>720</v>
      </c>
      <c r="G290" s="65">
        <v>40.7</v>
      </c>
      <c r="H290" s="66">
        <v>0.0565277777777778</v>
      </c>
      <c r="I290" s="66">
        <v>1</v>
      </c>
      <c r="J290" s="65" t="s">
        <v>251</v>
      </c>
    </row>
    <row r="291" customHeight="1" spans="1:10">
      <c r="A291" s="65"/>
      <c r="B291" s="65"/>
      <c r="C291" s="65" t="s">
        <v>177</v>
      </c>
      <c r="D291" s="65">
        <v>30</v>
      </c>
      <c r="E291" s="65">
        <v>24</v>
      </c>
      <c r="F291" s="65">
        <v>720</v>
      </c>
      <c r="G291" s="65">
        <v>41.7</v>
      </c>
      <c r="H291" s="66">
        <v>0.0579166666666667</v>
      </c>
      <c r="I291" s="66">
        <v>1</v>
      </c>
      <c r="J291" s="65" t="s">
        <v>251</v>
      </c>
    </row>
    <row r="292" customHeight="1" spans="1:10">
      <c r="A292" s="65"/>
      <c r="B292" s="65"/>
      <c r="C292" s="65" t="s">
        <v>182</v>
      </c>
      <c r="D292" s="65">
        <v>30</v>
      </c>
      <c r="E292" s="65">
        <v>24</v>
      </c>
      <c r="F292" s="65">
        <v>720</v>
      </c>
      <c r="G292" s="65">
        <v>41.9</v>
      </c>
      <c r="H292" s="66">
        <v>0.0581944444444444</v>
      </c>
      <c r="I292" s="66">
        <v>1</v>
      </c>
      <c r="J292" s="65" t="s">
        <v>251</v>
      </c>
    </row>
    <row r="293" ht="17" customHeight="1" spans="1:10">
      <c r="A293" s="64" t="s">
        <v>253</v>
      </c>
      <c r="B293" s="82" t="s">
        <v>254</v>
      </c>
      <c r="C293" s="65" t="s">
        <v>175</v>
      </c>
      <c r="D293" s="65">
        <v>30</v>
      </c>
      <c r="E293" s="65">
        <v>24</v>
      </c>
      <c r="F293" s="65">
        <v>720</v>
      </c>
      <c r="G293" s="65">
        <v>720</v>
      </c>
      <c r="H293" s="66">
        <v>1</v>
      </c>
      <c r="I293" s="66">
        <v>1</v>
      </c>
      <c r="J293" s="65"/>
    </row>
    <row r="294" customHeight="1" spans="1:10">
      <c r="A294" s="65"/>
      <c r="B294" s="84"/>
      <c r="C294" s="65" t="s">
        <v>177</v>
      </c>
      <c r="D294" s="65">
        <v>30</v>
      </c>
      <c r="E294" s="65">
        <v>24</v>
      </c>
      <c r="F294" s="65">
        <v>720</v>
      </c>
      <c r="G294" s="65">
        <v>720</v>
      </c>
      <c r="H294" s="66">
        <v>1</v>
      </c>
      <c r="I294" s="66">
        <v>1</v>
      </c>
      <c r="J294" s="65"/>
    </row>
    <row r="295" customHeight="1" spans="1:10">
      <c r="A295" s="65"/>
      <c r="B295" s="84"/>
      <c r="C295" s="65" t="s">
        <v>182</v>
      </c>
      <c r="D295" s="65">
        <v>30</v>
      </c>
      <c r="E295" s="65">
        <v>24</v>
      </c>
      <c r="F295" s="65">
        <v>720</v>
      </c>
      <c r="G295" s="65">
        <v>715</v>
      </c>
      <c r="H295" s="66">
        <v>0.99</v>
      </c>
      <c r="I295" s="66">
        <v>1</v>
      </c>
      <c r="J295" s="65" t="s">
        <v>255</v>
      </c>
    </row>
    <row r="296" customHeight="1" spans="1:10">
      <c r="A296" s="65"/>
      <c r="B296" s="84"/>
      <c r="C296" s="65" t="s">
        <v>183</v>
      </c>
      <c r="D296" s="65">
        <v>30</v>
      </c>
      <c r="E296" s="65">
        <v>24</v>
      </c>
      <c r="F296" s="65">
        <v>720</v>
      </c>
      <c r="G296" s="65">
        <v>720</v>
      </c>
      <c r="H296" s="66">
        <v>1</v>
      </c>
      <c r="I296" s="66">
        <v>1</v>
      </c>
      <c r="J296" s="65"/>
    </row>
    <row r="297" customHeight="1" spans="1:10">
      <c r="A297" s="65"/>
      <c r="B297" s="84"/>
      <c r="C297" s="65" t="s">
        <v>184</v>
      </c>
      <c r="D297" s="65">
        <v>30</v>
      </c>
      <c r="E297" s="65">
        <v>24</v>
      </c>
      <c r="F297" s="65">
        <v>720</v>
      </c>
      <c r="G297" s="65">
        <v>0</v>
      </c>
      <c r="H297" s="66">
        <v>0</v>
      </c>
      <c r="I297" s="66">
        <v>1</v>
      </c>
      <c r="J297" s="65"/>
    </row>
    <row r="298" customHeight="1" spans="1:10">
      <c r="A298" s="65"/>
      <c r="B298" s="84"/>
      <c r="C298" s="65" t="s">
        <v>186</v>
      </c>
      <c r="D298" s="65">
        <v>30</v>
      </c>
      <c r="E298" s="65">
        <v>24</v>
      </c>
      <c r="F298" s="65">
        <v>720</v>
      </c>
      <c r="G298" s="65">
        <v>720</v>
      </c>
      <c r="H298" s="66">
        <v>1</v>
      </c>
      <c r="I298" s="66">
        <v>1</v>
      </c>
      <c r="J298" s="65"/>
    </row>
    <row r="299" customHeight="1" spans="1:10">
      <c r="A299" s="65"/>
      <c r="B299" s="84"/>
      <c r="C299" s="65" t="s">
        <v>192</v>
      </c>
      <c r="D299" s="65">
        <v>30</v>
      </c>
      <c r="E299" s="65">
        <v>24</v>
      </c>
      <c r="F299" s="65">
        <v>720</v>
      </c>
      <c r="G299" s="65">
        <v>0</v>
      </c>
      <c r="H299" s="66">
        <v>0</v>
      </c>
      <c r="I299" s="66">
        <v>1</v>
      </c>
      <c r="J299" s="65" t="s">
        <v>256</v>
      </c>
    </row>
    <row r="300" customHeight="1" spans="1:10">
      <c r="A300" s="65"/>
      <c r="B300" s="86"/>
      <c r="C300" s="65" t="s">
        <v>193</v>
      </c>
      <c r="D300" s="65">
        <v>30</v>
      </c>
      <c r="E300" s="65">
        <v>24</v>
      </c>
      <c r="F300" s="65">
        <v>720</v>
      </c>
      <c r="G300" s="65">
        <v>0</v>
      </c>
      <c r="H300" s="66">
        <v>0</v>
      </c>
      <c r="I300" s="66">
        <v>1</v>
      </c>
      <c r="J300" s="65"/>
    </row>
    <row r="301" customHeight="1" spans="1:10">
      <c r="A301" s="65"/>
      <c r="B301" s="82" t="s">
        <v>257</v>
      </c>
      <c r="C301" s="65" t="s">
        <v>194</v>
      </c>
      <c r="D301" s="65">
        <v>30</v>
      </c>
      <c r="E301" s="65">
        <v>24</v>
      </c>
      <c r="F301" s="65">
        <v>720</v>
      </c>
      <c r="G301" s="65">
        <v>300</v>
      </c>
      <c r="H301" s="66">
        <v>0.416666666666667</v>
      </c>
      <c r="I301" s="66">
        <v>1</v>
      </c>
      <c r="J301" s="65"/>
    </row>
    <row r="302" customHeight="1" spans="1:10">
      <c r="A302" s="65"/>
      <c r="B302" s="84"/>
      <c r="C302" s="65" t="s">
        <v>195</v>
      </c>
      <c r="D302" s="65">
        <v>30</v>
      </c>
      <c r="E302" s="65">
        <v>24</v>
      </c>
      <c r="F302" s="65">
        <v>720</v>
      </c>
      <c r="G302" s="65">
        <v>0</v>
      </c>
      <c r="H302" s="66">
        <v>0</v>
      </c>
      <c r="I302" s="66">
        <v>1</v>
      </c>
      <c r="J302" s="65"/>
    </row>
    <row r="303" customHeight="1" spans="1:10">
      <c r="A303" s="65"/>
      <c r="B303" s="84"/>
      <c r="C303" s="65" t="s">
        <v>196</v>
      </c>
      <c r="D303" s="65">
        <v>30</v>
      </c>
      <c r="E303" s="65">
        <v>24</v>
      </c>
      <c r="F303" s="65">
        <v>720</v>
      </c>
      <c r="G303" s="65">
        <v>720</v>
      </c>
      <c r="H303" s="66">
        <v>1</v>
      </c>
      <c r="I303" s="66">
        <v>1</v>
      </c>
      <c r="J303" s="65"/>
    </row>
    <row r="304" customHeight="1" spans="1:10">
      <c r="A304" s="65"/>
      <c r="B304" s="84"/>
      <c r="C304" s="65" t="s">
        <v>197</v>
      </c>
      <c r="D304" s="65">
        <v>30</v>
      </c>
      <c r="E304" s="65">
        <v>24</v>
      </c>
      <c r="F304" s="65">
        <v>720</v>
      </c>
      <c r="G304" s="65">
        <v>720</v>
      </c>
      <c r="H304" s="66">
        <v>1</v>
      </c>
      <c r="I304" s="66">
        <v>1</v>
      </c>
      <c r="J304" s="65"/>
    </row>
    <row r="305" customHeight="1" spans="1:10">
      <c r="A305" s="65"/>
      <c r="B305" s="65" t="s">
        <v>258</v>
      </c>
      <c r="C305" s="65" t="s">
        <v>175</v>
      </c>
      <c r="D305" s="65">
        <v>30</v>
      </c>
      <c r="E305" s="65">
        <v>24</v>
      </c>
      <c r="F305" s="65">
        <v>720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5"/>
      <c r="B306" s="65"/>
      <c r="C306" s="65" t="s">
        <v>177</v>
      </c>
      <c r="D306" s="65">
        <v>30</v>
      </c>
      <c r="E306" s="65">
        <v>24</v>
      </c>
      <c r="F306" s="65">
        <v>720</v>
      </c>
      <c r="G306" s="65">
        <v>742</v>
      </c>
      <c r="H306" s="66">
        <v>0.99</v>
      </c>
      <c r="I306" s="66">
        <v>1</v>
      </c>
      <c r="J306" s="65"/>
    </row>
    <row r="307" customHeight="1" spans="1:10">
      <c r="A307" s="65"/>
      <c r="B307" s="65"/>
      <c r="C307" s="65" t="s">
        <v>182</v>
      </c>
      <c r="D307" s="65">
        <v>30</v>
      </c>
      <c r="E307" s="65">
        <v>24</v>
      </c>
      <c r="F307" s="65">
        <v>720</v>
      </c>
      <c r="G307" s="65">
        <v>0</v>
      </c>
      <c r="H307" s="66">
        <v>0</v>
      </c>
      <c r="I307" s="66">
        <v>1</v>
      </c>
      <c r="J307" s="65"/>
    </row>
    <row r="308" customHeight="1" spans="1:10">
      <c r="A308" s="64" t="s">
        <v>259</v>
      </c>
      <c r="B308" s="65" t="s">
        <v>260</v>
      </c>
      <c r="C308" s="65" t="s">
        <v>175</v>
      </c>
      <c r="D308" s="65">
        <v>30</v>
      </c>
      <c r="E308" s="65">
        <v>24</v>
      </c>
      <c r="F308" s="65">
        <v>720</v>
      </c>
      <c r="G308" s="65">
        <v>720</v>
      </c>
      <c r="H308" s="66">
        <v>1</v>
      </c>
      <c r="I308" s="66">
        <v>1</v>
      </c>
      <c r="J308" s="65"/>
    </row>
    <row r="309" customHeight="1" spans="1:10">
      <c r="A309" s="65"/>
      <c r="B309" s="65"/>
      <c r="C309" s="65" t="s">
        <v>177</v>
      </c>
      <c r="D309" s="65">
        <v>30</v>
      </c>
      <c r="E309" s="65">
        <v>24</v>
      </c>
      <c r="F309" s="65">
        <v>720</v>
      </c>
      <c r="G309" s="65">
        <v>720</v>
      </c>
      <c r="H309" s="66">
        <v>1</v>
      </c>
      <c r="I309" s="66">
        <v>1</v>
      </c>
      <c r="J309" s="65"/>
    </row>
    <row r="310" customHeight="1" spans="1:10">
      <c r="A310" s="65"/>
      <c r="B310" s="65" t="s">
        <v>261</v>
      </c>
      <c r="C310" s="65" t="s">
        <v>175</v>
      </c>
      <c r="D310" s="65">
        <v>30</v>
      </c>
      <c r="E310" s="65">
        <v>24</v>
      </c>
      <c r="F310" s="65">
        <v>720</v>
      </c>
      <c r="G310" s="65">
        <v>720</v>
      </c>
      <c r="H310" s="66">
        <v>1</v>
      </c>
      <c r="I310" s="66">
        <v>1</v>
      </c>
      <c r="J310" s="65"/>
    </row>
    <row r="311" customHeight="1" spans="1:10">
      <c r="A311" s="65"/>
      <c r="B311" s="65"/>
      <c r="C311" s="65" t="s">
        <v>177</v>
      </c>
      <c r="D311" s="65">
        <v>30</v>
      </c>
      <c r="E311" s="65">
        <v>24</v>
      </c>
      <c r="F311" s="65">
        <v>720</v>
      </c>
      <c r="G311" s="65">
        <v>0</v>
      </c>
      <c r="H311" s="66">
        <v>0</v>
      </c>
      <c r="I311" s="66">
        <v>1</v>
      </c>
      <c r="J311" s="65"/>
    </row>
    <row r="312" customHeight="1" spans="1:10">
      <c r="A312" s="65"/>
      <c r="B312" s="65"/>
      <c r="C312" s="65" t="s">
        <v>182</v>
      </c>
      <c r="D312" s="65">
        <v>30</v>
      </c>
      <c r="E312" s="65">
        <v>24</v>
      </c>
      <c r="F312" s="65">
        <v>720</v>
      </c>
      <c r="G312" s="65">
        <v>714</v>
      </c>
      <c r="H312" s="66">
        <v>0.991666666666667</v>
      </c>
      <c r="I312" s="66">
        <v>1</v>
      </c>
      <c r="J312" s="65"/>
    </row>
    <row r="313" ht="18" customHeight="1" spans="1:10">
      <c r="A313" s="65"/>
      <c r="B313" s="65" t="s">
        <v>262</v>
      </c>
      <c r="C313" s="65" t="s">
        <v>175</v>
      </c>
      <c r="D313" s="65">
        <v>30</v>
      </c>
      <c r="E313" s="65">
        <v>24</v>
      </c>
      <c r="F313" s="65">
        <v>720</v>
      </c>
      <c r="G313" s="65">
        <v>640</v>
      </c>
      <c r="H313" s="66">
        <v>0.89</v>
      </c>
      <c r="I313" s="66">
        <v>1</v>
      </c>
      <c r="J313" s="64" t="s">
        <v>263</v>
      </c>
    </row>
    <row r="314" ht="27" customHeight="1" spans="1:10">
      <c r="A314" s="65"/>
      <c r="B314" s="65"/>
      <c r="C314" s="65" t="s">
        <v>177</v>
      </c>
      <c r="D314" s="65">
        <v>30</v>
      </c>
      <c r="E314" s="65">
        <v>24</v>
      </c>
      <c r="F314" s="65">
        <v>720</v>
      </c>
      <c r="G314" s="65">
        <v>650</v>
      </c>
      <c r="H314" s="66">
        <v>0.9</v>
      </c>
      <c r="I314" s="66">
        <v>1</v>
      </c>
      <c r="J314" s="64" t="s">
        <v>264</v>
      </c>
    </row>
    <row r="315" ht="24" customHeight="1" spans="1:10">
      <c r="A315" s="67" t="s">
        <v>66</v>
      </c>
      <c r="B315" s="67"/>
      <c r="C315" s="68"/>
      <c r="D315" s="68"/>
      <c r="E315" s="69" t="s">
        <v>67</v>
      </c>
      <c r="F315" s="69"/>
      <c r="G315" s="70"/>
      <c r="H315" s="71" t="s">
        <v>144</v>
      </c>
      <c r="I315" s="71"/>
      <c r="J315" s="71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9" right="0.39" top="0.39" bottom="0.39" header="0.51" footer="0.16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4" workbookViewId="0">
      <selection activeCell="G29" sqref="G2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71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44287</v>
      </c>
      <c r="E2" s="33"/>
      <c r="F2" s="31"/>
    </row>
    <row r="3" ht="20.25" customHeight="1" spans="1:7">
      <c r="A3" s="34" t="s">
        <v>265</v>
      </c>
      <c r="B3" s="34" t="s">
        <v>161</v>
      </c>
      <c r="C3" s="34" t="s">
        <v>266</v>
      </c>
      <c r="D3" s="34" t="s">
        <v>267</v>
      </c>
      <c r="E3" s="34" t="s">
        <v>268</v>
      </c>
      <c r="F3" s="34" t="s">
        <v>269</v>
      </c>
      <c r="G3" s="35" t="s">
        <v>126</v>
      </c>
    </row>
    <row r="4" ht="22.5" spans="1:8">
      <c r="A4" s="36" t="s">
        <v>270</v>
      </c>
      <c r="B4" s="37" t="s">
        <v>271</v>
      </c>
      <c r="C4" s="37" t="s">
        <v>272</v>
      </c>
      <c r="D4" s="34" t="s">
        <v>273</v>
      </c>
      <c r="E4" s="34" t="s">
        <v>274</v>
      </c>
      <c r="F4" s="38" t="s">
        <v>275</v>
      </c>
      <c r="G4" s="39" t="s">
        <v>276</v>
      </c>
      <c r="H4" s="40"/>
    </row>
    <row r="5" ht="22.5" spans="1:7">
      <c r="A5" s="41"/>
      <c r="B5" s="37" t="s">
        <v>277</v>
      </c>
      <c r="C5" s="37" t="s">
        <v>272</v>
      </c>
      <c r="D5" s="34" t="s">
        <v>273</v>
      </c>
      <c r="E5" s="34" t="s">
        <v>274</v>
      </c>
      <c r="F5" s="34" t="s">
        <v>275</v>
      </c>
      <c r="G5" s="39" t="str">
        <f>G4</f>
        <v>2021-04-07 2021-04-14 2021-04-21 2021-04-28</v>
      </c>
    </row>
    <row r="6" ht="22.5" spans="1:7">
      <c r="A6" s="41"/>
      <c r="B6" s="37" t="s">
        <v>278</v>
      </c>
      <c r="C6" s="37" t="s">
        <v>272</v>
      </c>
      <c r="D6" s="34" t="s">
        <v>273</v>
      </c>
      <c r="E6" s="34" t="s">
        <v>274</v>
      </c>
      <c r="F6" s="34" t="s">
        <v>275</v>
      </c>
      <c r="G6" s="39" t="str">
        <f t="shared" ref="G6:G20" si="0">G5</f>
        <v>2021-04-07 2021-04-14 2021-04-21 2021-04-28</v>
      </c>
    </row>
    <row r="7" ht="22.5" spans="1:7">
      <c r="A7" s="42"/>
      <c r="B7" s="37" t="s">
        <v>279</v>
      </c>
      <c r="C7" s="37" t="s">
        <v>272</v>
      </c>
      <c r="D7" s="34" t="s">
        <v>273</v>
      </c>
      <c r="E7" s="34" t="s">
        <v>274</v>
      </c>
      <c r="F7" s="34" t="s">
        <v>275</v>
      </c>
      <c r="G7" s="39" t="str">
        <f t="shared" si="0"/>
        <v>2021-04-07 2021-04-14 2021-04-21 2021-04-28</v>
      </c>
    </row>
    <row r="8" ht="22.5" spans="1:7">
      <c r="A8" s="36" t="s">
        <v>280</v>
      </c>
      <c r="B8" s="37" t="s">
        <v>271</v>
      </c>
      <c r="C8" s="37" t="s">
        <v>281</v>
      </c>
      <c r="D8" s="34" t="s">
        <v>273</v>
      </c>
      <c r="E8" s="34" t="s">
        <v>274</v>
      </c>
      <c r="F8" s="34" t="s">
        <v>275</v>
      </c>
      <c r="G8" s="39" t="str">
        <f t="shared" si="0"/>
        <v>2021-04-07 2021-04-14 2021-04-21 2021-04-28</v>
      </c>
    </row>
    <row r="9" ht="22.5" spans="1:7">
      <c r="A9" s="41"/>
      <c r="B9" s="37" t="s">
        <v>277</v>
      </c>
      <c r="C9" s="37" t="s">
        <v>281</v>
      </c>
      <c r="D9" s="34" t="s">
        <v>273</v>
      </c>
      <c r="E9" s="34" t="s">
        <v>274</v>
      </c>
      <c r="F9" s="34" t="s">
        <v>275</v>
      </c>
      <c r="G9" s="39" t="str">
        <f t="shared" si="0"/>
        <v>2021-04-07 2021-04-14 2021-04-21 2021-04-28</v>
      </c>
    </row>
    <row r="10" ht="22.5" spans="1:7">
      <c r="A10" s="41"/>
      <c r="B10" s="37" t="s">
        <v>278</v>
      </c>
      <c r="C10" s="37" t="s">
        <v>281</v>
      </c>
      <c r="D10" s="34" t="s">
        <v>273</v>
      </c>
      <c r="E10" s="34" t="s">
        <v>274</v>
      </c>
      <c r="F10" s="34" t="s">
        <v>275</v>
      </c>
      <c r="G10" s="39" t="str">
        <f t="shared" si="0"/>
        <v>2021-04-07 2021-04-14 2021-04-21 2021-04-28</v>
      </c>
    </row>
    <row r="11" ht="22.5" spans="1:7">
      <c r="A11" s="42"/>
      <c r="B11" s="37" t="s">
        <v>279</v>
      </c>
      <c r="C11" s="37" t="s">
        <v>281</v>
      </c>
      <c r="D11" s="34" t="s">
        <v>273</v>
      </c>
      <c r="E11" s="34" t="s">
        <v>274</v>
      </c>
      <c r="F11" s="34" t="s">
        <v>275</v>
      </c>
      <c r="G11" s="39" t="str">
        <f t="shared" si="0"/>
        <v>2021-04-07 2021-04-14 2021-04-21 2021-04-28</v>
      </c>
    </row>
    <row r="12" ht="24" customHeight="1" spans="1:7">
      <c r="A12" s="37" t="s">
        <v>282</v>
      </c>
      <c r="B12" s="37" t="s">
        <v>175</v>
      </c>
      <c r="C12" s="34" t="s">
        <v>283</v>
      </c>
      <c r="D12" s="34" t="s">
        <v>284</v>
      </c>
      <c r="E12" s="34" t="s">
        <v>274</v>
      </c>
      <c r="F12" s="34" t="s">
        <v>285</v>
      </c>
      <c r="G12" s="39" t="str">
        <f t="shared" si="0"/>
        <v>2021-04-07 2021-04-14 2021-04-21 2021-04-28</v>
      </c>
    </row>
    <row r="13" ht="22.5" spans="1:7">
      <c r="A13" s="36" t="s">
        <v>286</v>
      </c>
      <c r="B13" s="37" t="s">
        <v>271</v>
      </c>
      <c r="C13" s="34" t="s">
        <v>287</v>
      </c>
      <c r="D13" s="34" t="s">
        <v>288</v>
      </c>
      <c r="E13" s="34" t="s">
        <v>274</v>
      </c>
      <c r="F13" s="34" t="s">
        <v>275</v>
      </c>
      <c r="G13" s="39" t="str">
        <f t="shared" si="0"/>
        <v>2021-04-07 2021-04-14 2021-04-21 2021-04-28</v>
      </c>
    </row>
    <row r="14" ht="22.5" spans="1:7">
      <c r="A14" s="41"/>
      <c r="B14" s="37" t="s">
        <v>277</v>
      </c>
      <c r="C14" s="34" t="s">
        <v>287</v>
      </c>
      <c r="D14" s="34" t="s">
        <v>288</v>
      </c>
      <c r="E14" s="34" t="s">
        <v>274</v>
      </c>
      <c r="F14" s="34" t="s">
        <v>275</v>
      </c>
      <c r="G14" s="39" t="str">
        <f t="shared" si="0"/>
        <v>2021-04-07 2021-04-14 2021-04-21 2021-04-28</v>
      </c>
    </row>
    <row r="15" ht="22.5" spans="1:7">
      <c r="A15" s="41"/>
      <c r="B15" s="37" t="s">
        <v>278</v>
      </c>
      <c r="C15" s="34" t="s">
        <v>287</v>
      </c>
      <c r="D15" s="34" t="s">
        <v>288</v>
      </c>
      <c r="E15" s="34" t="s">
        <v>274</v>
      </c>
      <c r="F15" s="34" t="s">
        <v>275</v>
      </c>
      <c r="G15" s="39" t="str">
        <f t="shared" si="0"/>
        <v>2021-04-07 2021-04-14 2021-04-21 2021-04-28</v>
      </c>
    </row>
    <row r="16" ht="22.5" spans="1:7">
      <c r="A16" s="42"/>
      <c r="B16" s="37" t="s">
        <v>279</v>
      </c>
      <c r="C16" s="34" t="s">
        <v>287</v>
      </c>
      <c r="D16" s="34" t="s">
        <v>288</v>
      </c>
      <c r="E16" s="34" t="s">
        <v>274</v>
      </c>
      <c r="F16" s="34" t="s">
        <v>275</v>
      </c>
      <c r="G16" s="39" t="str">
        <f t="shared" si="0"/>
        <v>2021-04-07 2021-04-14 2021-04-21 2021-04-28</v>
      </c>
    </row>
    <row r="17" ht="22.5" spans="1:7">
      <c r="A17" s="34" t="s">
        <v>289</v>
      </c>
      <c r="B17" s="37" t="s">
        <v>271</v>
      </c>
      <c r="C17" s="34" t="s">
        <v>290</v>
      </c>
      <c r="D17" s="34" t="s">
        <v>288</v>
      </c>
      <c r="E17" s="34" t="s">
        <v>274</v>
      </c>
      <c r="F17" s="34" t="s">
        <v>275</v>
      </c>
      <c r="G17" s="39" t="str">
        <f t="shared" si="0"/>
        <v>2021-04-07 2021-04-14 2021-04-21 2021-04-28</v>
      </c>
    </row>
    <row r="18" ht="22.5" spans="1:7">
      <c r="A18" s="34"/>
      <c r="B18" s="37" t="s">
        <v>277</v>
      </c>
      <c r="C18" s="37" t="s">
        <v>281</v>
      </c>
      <c r="D18" s="34" t="s">
        <v>288</v>
      </c>
      <c r="E18" s="34" t="s">
        <v>274</v>
      </c>
      <c r="F18" s="34" t="s">
        <v>275</v>
      </c>
      <c r="G18" s="39" t="str">
        <f t="shared" si="0"/>
        <v>2021-04-07 2021-04-14 2021-04-21 2021-04-28</v>
      </c>
    </row>
    <row r="19" ht="22.5" spans="1:7">
      <c r="A19" s="34"/>
      <c r="B19" s="37" t="s">
        <v>278</v>
      </c>
      <c r="C19" s="34" t="s">
        <v>290</v>
      </c>
      <c r="D19" s="34" t="s">
        <v>288</v>
      </c>
      <c r="E19" s="34" t="s">
        <v>274</v>
      </c>
      <c r="F19" s="34" t="s">
        <v>275</v>
      </c>
      <c r="G19" s="39" t="str">
        <f t="shared" si="0"/>
        <v>2021-04-07 2021-04-14 2021-04-21 2021-04-28</v>
      </c>
    </row>
    <row r="20" ht="22.5" spans="1:7">
      <c r="A20" s="34"/>
      <c r="B20" s="37" t="s">
        <v>279</v>
      </c>
      <c r="C20" s="37" t="s">
        <v>281</v>
      </c>
      <c r="D20" s="34" t="s">
        <v>288</v>
      </c>
      <c r="E20" s="34" t="s">
        <v>274</v>
      </c>
      <c r="F20" s="34" t="s">
        <v>275</v>
      </c>
      <c r="G20" s="39" t="str">
        <f t="shared" si="0"/>
        <v>2021-04-07 2021-04-14 2021-04-21 2021-04-28</v>
      </c>
    </row>
    <row r="21" ht="20.25" customHeight="1" spans="1:7">
      <c r="A21" s="43" t="s">
        <v>66</v>
      </c>
      <c r="B21" s="43"/>
      <c r="C21" s="43"/>
      <c r="D21" s="43" t="s">
        <v>67</v>
      </c>
      <c r="E21" s="43"/>
      <c r="F21" s="43" t="s">
        <v>291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71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44287</v>
      </c>
      <c r="E26" s="50"/>
      <c r="F26" s="31"/>
    </row>
    <row r="27" ht="18.75" customHeight="1" spans="1:7">
      <c r="A27" s="34" t="s">
        <v>265</v>
      </c>
      <c r="B27" s="34" t="s">
        <v>161</v>
      </c>
      <c r="C27" s="34" t="s">
        <v>266</v>
      </c>
      <c r="D27" s="34" t="s">
        <v>267</v>
      </c>
      <c r="E27" s="34" t="s">
        <v>268</v>
      </c>
      <c r="F27" s="34" t="s">
        <v>269</v>
      </c>
      <c r="G27" s="34" t="s">
        <v>126</v>
      </c>
    </row>
    <row r="28" ht="19.5" customHeight="1" spans="1:7">
      <c r="A28" s="34" t="s">
        <v>292</v>
      </c>
      <c r="B28" s="51" t="s">
        <v>271</v>
      </c>
      <c r="C28" s="51" t="s">
        <v>281</v>
      </c>
      <c r="D28" s="34" t="s">
        <v>273</v>
      </c>
      <c r="E28" s="37" t="s">
        <v>274</v>
      </c>
      <c r="F28" s="34" t="s">
        <v>285</v>
      </c>
      <c r="G28" s="52">
        <v>44293</v>
      </c>
    </row>
    <row r="29" ht="19.5" customHeight="1" spans="1:7">
      <c r="A29" s="34"/>
      <c r="B29" s="51" t="s">
        <v>279</v>
      </c>
      <c r="C29" s="51" t="s">
        <v>281</v>
      </c>
      <c r="D29" s="34" t="s">
        <v>273</v>
      </c>
      <c r="E29" s="37" t="s">
        <v>274</v>
      </c>
      <c r="F29" s="34" t="s">
        <v>285</v>
      </c>
      <c r="G29" s="52">
        <f>G28</f>
        <v>44293</v>
      </c>
    </row>
    <row r="30" ht="19.5" customHeight="1" spans="1:7">
      <c r="A30" s="34" t="s">
        <v>293</v>
      </c>
      <c r="B30" s="51" t="s">
        <v>271</v>
      </c>
      <c r="C30" s="37" t="s">
        <v>283</v>
      </c>
      <c r="D30" s="34" t="s">
        <v>288</v>
      </c>
      <c r="E30" s="37" t="s">
        <v>274</v>
      </c>
      <c r="F30" s="34" t="s">
        <v>285</v>
      </c>
      <c r="G30" s="52">
        <f>G29</f>
        <v>44293</v>
      </c>
    </row>
    <row r="31" ht="19.5" customHeight="1" spans="1:7">
      <c r="A31" s="34"/>
      <c r="B31" s="51" t="s">
        <v>279</v>
      </c>
      <c r="C31" s="37" t="s">
        <v>283</v>
      </c>
      <c r="D31" s="34" t="s">
        <v>288</v>
      </c>
      <c r="E31" s="37" t="s">
        <v>274</v>
      </c>
      <c r="F31" s="34" t="s">
        <v>285</v>
      </c>
      <c r="G31" s="52">
        <f>G30</f>
        <v>44293</v>
      </c>
    </row>
    <row r="32" ht="20.25" customHeight="1" spans="1:7">
      <c r="A32" s="43" t="s">
        <v>66</v>
      </c>
      <c r="B32" s="43"/>
      <c r="C32" s="43"/>
      <c r="D32" s="43" t="s">
        <v>67</v>
      </c>
      <c r="E32" s="43"/>
      <c r="F32" s="43" t="str">
        <f>F21</f>
        <v>制表日期：2021/5/6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4" sqref="A4:H5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294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295</v>
      </c>
      <c r="B3" s="5"/>
      <c r="C3" s="5"/>
      <c r="D3" s="5"/>
      <c r="E3" s="5" t="s">
        <v>296</v>
      </c>
      <c r="F3" s="5"/>
      <c r="G3" s="5"/>
      <c r="H3" s="5"/>
      <c r="I3" s="3"/>
    </row>
    <row r="4" customHeight="1" spans="1:9">
      <c r="A4" s="5" t="s">
        <v>297</v>
      </c>
      <c r="B4" s="5"/>
      <c r="C4" s="5"/>
      <c r="D4" s="5"/>
      <c r="E4" s="5" t="s">
        <v>298</v>
      </c>
      <c r="F4" s="5"/>
      <c r="G4" s="5" t="s">
        <v>299</v>
      </c>
      <c r="H4" s="5"/>
      <c r="I4" s="26"/>
    </row>
    <row r="5" customHeight="1" spans="1:8">
      <c r="A5" s="5" t="s">
        <v>300</v>
      </c>
      <c r="B5" s="5" t="s">
        <v>301</v>
      </c>
      <c r="C5" s="5" t="s">
        <v>302</v>
      </c>
      <c r="D5" s="5" t="s">
        <v>303</v>
      </c>
      <c r="E5" s="5" t="s">
        <v>300</v>
      </c>
      <c r="F5" s="5" t="s">
        <v>301</v>
      </c>
      <c r="G5" s="5" t="s">
        <v>300</v>
      </c>
      <c r="H5" s="5" t="s">
        <v>303</v>
      </c>
    </row>
    <row r="6" customHeight="1" spans="1:8">
      <c r="A6" s="6" t="s">
        <v>304</v>
      </c>
      <c r="B6" s="7">
        <v>1.059046875</v>
      </c>
      <c r="C6" s="7">
        <v>6.03612669921875</v>
      </c>
      <c r="D6" s="7">
        <v>2.5818828125</v>
      </c>
      <c r="E6" s="6" t="s">
        <v>304</v>
      </c>
      <c r="F6" s="7">
        <v>6.3864859375</v>
      </c>
      <c r="G6" s="6" t="s">
        <v>304</v>
      </c>
      <c r="H6" s="7">
        <v>1.8495625</v>
      </c>
    </row>
    <row r="7" customHeight="1" spans="1:8">
      <c r="A7" s="6" t="s">
        <v>305</v>
      </c>
      <c r="B7" s="7">
        <v>2.98412890625</v>
      </c>
      <c r="C7" s="7">
        <v>4.0734208984375</v>
      </c>
      <c r="D7" s="7">
        <v>1.9446796875</v>
      </c>
      <c r="E7" s="6" t="s">
        <v>305</v>
      </c>
      <c r="F7" s="7">
        <v>4.6287826796875</v>
      </c>
      <c r="G7" s="6" t="s">
        <v>306</v>
      </c>
      <c r="H7" s="7">
        <v>2.41605625</v>
      </c>
    </row>
    <row r="8" customHeight="1" spans="1:8">
      <c r="A8" s="6" t="s">
        <v>306</v>
      </c>
      <c r="B8" s="7">
        <v>4.178828125</v>
      </c>
      <c r="C8" s="7">
        <v>2.1391459375</v>
      </c>
      <c r="D8" s="7">
        <v>1.529834375</v>
      </c>
      <c r="E8" s="6" t="s">
        <v>306</v>
      </c>
      <c r="F8" s="7">
        <v>3.028125</v>
      </c>
      <c r="G8" s="6" t="s">
        <v>307</v>
      </c>
      <c r="H8" s="7">
        <v>2.826359375</v>
      </c>
    </row>
    <row r="9" customHeight="1" spans="1:8">
      <c r="A9" s="6" t="s">
        <v>307</v>
      </c>
      <c r="B9" s="7">
        <v>5.93616626953125</v>
      </c>
      <c r="C9" s="7">
        <v>0.966564453125</v>
      </c>
      <c r="D9" s="7">
        <v>0.961640625</v>
      </c>
      <c r="E9" s="6" t="s">
        <v>308</v>
      </c>
      <c r="F9" s="7">
        <v>2.09083984375</v>
      </c>
      <c r="G9" s="6" t="s">
        <v>309</v>
      </c>
      <c r="H9" s="7">
        <v>3.3159375</v>
      </c>
    </row>
    <row r="10" customHeight="1" spans="1:8">
      <c r="A10" s="8" t="s">
        <v>310</v>
      </c>
      <c r="B10" s="9">
        <v>4464</v>
      </c>
      <c r="C10" s="10"/>
      <c r="D10" s="11"/>
      <c r="E10" s="6" t="s">
        <v>307</v>
      </c>
      <c r="F10" s="7">
        <v>1.1847392578125</v>
      </c>
      <c r="G10" s="12" t="s">
        <v>310</v>
      </c>
      <c r="H10" s="13">
        <v>4212</v>
      </c>
    </row>
    <row r="11" customHeight="1" spans="1:8">
      <c r="A11" s="14"/>
      <c r="B11" s="15"/>
      <c r="C11" s="16"/>
      <c r="D11" s="17"/>
      <c r="E11" s="6" t="s">
        <v>309</v>
      </c>
      <c r="F11" s="7">
        <v>0.577609375</v>
      </c>
      <c r="G11" s="12"/>
      <c r="H11" s="18"/>
    </row>
    <row r="12" customHeight="1" spans="1:8">
      <c r="A12" s="19"/>
      <c r="B12" s="20"/>
      <c r="C12" s="21"/>
      <c r="D12" s="22"/>
      <c r="E12" s="6" t="s">
        <v>310</v>
      </c>
      <c r="F12" s="12">
        <v>4156</v>
      </c>
      <c r="G12" s="12"/>
      <c r="H12" s="23"/>
    </row>
    <row r="13" s="1" customFormat="1" customHeight="1" spans="1:14">
      <c r="A13" s="24" t="s">
        <v>66</v>
      </c>
      <c r="B13" s="24"/>
      <c r="C13" s="24"/>
      <c r="D13" s="24" t="s">
        <v>67</v>
      </c>
      <c r="E13" s="25"/>
      <c r="F13" s="25"/>
      <c r="G13" s="24" t="s">
        <v>291</v>
      </c>
      <c r="H13" s="25"/>
      <c r="I13" s="24"/>
      <c r="J13" s="24"/>
      <c r="K13" s="24"/>
      <c r="L13" s="24"/>
      <c r="M13" s="24"/>
      <c r="N13" s="24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2021-05-17T06:31:00Z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  <property fmtid="{D5CDD505-2E9C-101B-9397-08002B2CF9AE}" pid="3" name="ICV">
    <vt:lpwstr>C486B51DDF7C47DAA2D653E59BF603FF</vt:lpwstr>
  </property>
</Properties>
</file>