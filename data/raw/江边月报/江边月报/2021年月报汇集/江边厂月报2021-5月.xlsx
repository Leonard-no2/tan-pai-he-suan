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2645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externalReferences>
    <externalReference r:id="rId7"/>
  </externalReference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3">设备!#REF!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<sst xmlns="http://schemas.openxmlformats.org/spreadsheetml/2006/main" count="317">
  <si>
    <t>常州市深水江边污水处理有限公司污水处理运行月报表</t>
  </si>
  <si>
    <t>2021年 5月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</si>
  <si>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</si>
  <si>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</si>
  <si>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</si>
  <si>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</si>
  <si>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</si>
  <si>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</si>
  <si>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</si>
  <si>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</si>
  <si>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</si>
  <si>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</si>
  <si>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</si>
  <si>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</si>
  <si>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</si>
  <si>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</si>
  <si>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</si>
  <si>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</si>
  <si>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</si>
  <si>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</si>
  <si>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</si>
  <si>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</si>
  <si>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</si>
  <si>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</si>
  <si>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</si>
  <si>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</si>
  <si>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</si>
  <si>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</si>
  <si>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</si>
  <si>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</si>
  <si>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</si>
  <si>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</si>
  <si>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</si>
  <si>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</si>
  <si>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</si>
  <si>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</si>
  <si>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</si>
  <si>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</si>
  <si>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</si>
  <si>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阴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</si>
  <si>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</si>
  <si>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</si>
  <si>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</si>
  <si>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</si>
  <si>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</si>
  <si>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</si>
  <si>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</si>
  <si>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</si>
  <si>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</si>
  <si>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</si>
  <si>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</si>
  <si>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</si>
  <si>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</si>
  <si>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</si>
  <si>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</si>
  <si>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</si>
  <si>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</si>
  <si>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</si>
  <si>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</si>
  <si>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t>雨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</si>
  <si>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</si>
  <si>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</si>
  <si>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</si>
  <si>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</si>
  <si>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</si>
  <si>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合计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</si>
  <si>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</si>
  <si>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</si>
  <si>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</si>
  <si>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</si>
  <si>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</si>
  <si>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</si>
  <si>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</si>
  <si>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</si>
  <si>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</si>
  <si>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</si>
  <si>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</si>
  <si>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</si>
  <si>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</si>
  <si>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</si>
  <si>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</si>
  <si>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</si>
  <si>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</si>
  <si>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</si>
  <si>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</si>
  <si>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</si>
  <si>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</si>
  <si>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</si>
  <si>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</si>
  <si>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</si>
  <si>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</si>
  <si>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</si>
  <si>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</si>
  <si>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</si>
  <si>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</si>
  <si>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</si>
  <si>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</si>
  <si>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</si>
  <si>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</si>
  <si>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</si>
  <si>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</si>
  <si>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</si>
  <si>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</si>
  <si>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</si>
  <si>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</si>
  <si>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</si>
  <si>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</si>
  <si>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</si>
  <si>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</si>
  <si>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</si>
  <si>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</si>
  <si>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</si>
  <si>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</si>
  <si>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</si>
  <si>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</si>
  <si>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</si>
  <si>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</si>
  <si>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</si>
  <si>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</si>
  <si>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</si>
  <si>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</si>
  <si>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</si>
  <si>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</si>
  <si>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</si>
  <si>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</si>
  <si>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</si>
  <si>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</si>
  <si>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 xml:space="preserve">本月产生泥饼4075.04吨，其中运往常州市英科环境科技有限公司1023.04吨，国电常州发电有限公司2872.00吨，外运接种180.00吨：常州龙宇颜料化学有限公司120吨，天合光能股份有限公司45吨，天合光能股份有限公司硅片分公司15吨。
</t>
  </si>
  <si>
    <t>审核：                                               制表：                               制表日期：2021/6/3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</si>
  <si>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</si>
  <si>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</si>
  <si>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</si>
  <si>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</si>
  <si>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</si>
  <si>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</si>
  <si>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</si>
  <si>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</si>
  <si>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</si>
  <si>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</si>
  <si>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</si>
  <si>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</si>
  <si>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</si>
  <si>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</si>
  <si>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&lt;2</t>
  </si>
  <si>
    <t>制表时间：2021/6/3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</si>
  <si>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</si>
  <si>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</si>
  <si>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</si>
  <si>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</si>
  <si>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</si>
  <si>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</si>
  <si>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</si>
  <si>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</si>
  <si>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</si>
  <si>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</si>
  <si>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</si>
  <si>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</si>
  <si>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</si>
  <si>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</si>
  <si>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</si>
  <si>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</si>
  <si>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</si>
  <si>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</si>
  <si>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</si>
  <si>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</si>
  <si>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</si>
  <si>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</si>
  <si>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</si>
  <si>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</si>
  <si>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</si>
  <si>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</si>
  <si>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</si>
  <si>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</si>
  <si>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</si>
  <si>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</si>
  <si>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</si>
  <si>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</si>
  <si>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5-7日电机、减速机修理</t>
  </si>
  <si>
    <t>螺旋输送机</t>
  </si>
  <si>
    <t>螺旋压榨机</t>
  </si>
  <si>
    <t>进水泵</t>
  </si>
  <si>
    <t>3#</t>
  </si>
  <si>
    <t>4#</t>
  </si>
  <si>
    <t>5#</t>
  </si>
  <si>
    <t>细格栅机</t>
  </si>
  <si>
    <t>12日保养</t>
  </si>
  <si>
    <t>6#</t>
  </si>
  <si>
    <t>搅拌机</t>
  </si>
  <si>
    <t>砂水分离机</t>
  </si>
  <si>
    <t>高压鼓风机</t>
  </si>
  <si>
    <t>10日进风滤网更换</t>
  </si>
  <si>
    <t>制表时间：2020/6/3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</si>
  <si>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</si>
  <si>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</si>
  <si>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</si>
  <si>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</si>
  <si>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</si>
  <si>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</si>
  <si>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</si>
  <si>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</si>
  <si>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</si>
  <si>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</si>
  <si>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</si>
  <si>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</si>
  <si>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</si>
  <si>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</si>
  <si>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</si>
  <si>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</si>
  <si>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</si>
  <si>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</si>
  <si>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</si>
  <si>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</si>
  <si>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</si>
  <si>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</si>
  <si>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</si>
  <si>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</si>
  <si>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</si>
  <si>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</si>
  <si>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</si>
  <si>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</si>
  <si>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</si>
  <si>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</si>
  <si>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</si>
  <si>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</si>
  <si>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</si>
  <si>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</si>
  <si>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</si>
  <si>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18日保养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</si>
  <si>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</si>
  <si>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</si>
  <si>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</si>
  <si>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</si>
  <si>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</si>
  <si>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</si>
  <si>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</si>
  <si>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1-3日更换阀门及管道</t>
  </si>
  <si>
    <t>外回
流泵</t>
  </si>
  <si>
    <t>内回
流泵</t>
  </si>
  <si>
    <t>二
期
二
级
处
理</t>
  </si>
  <si>
    <t>二
期
厌
、
缺
、
好
氧
区
搅
拌
器</t>
  </si>
  <si>
    <t>10日更换保护器底座</t>
  </si>
  <si>
    <t>1日更换管道及伸缩节</t>
  </si>
  <si>
    <t>深
度
处
理</t>
  </si>
  <si>
    <t>三次
提升泵</t>
  </si>
  <si>
    <t>高沉
刮泥机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</si>
  <si>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</si>
  <si>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</si>
  <si>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</si>
  <si>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</si>
  <si>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</si>
  <si>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</si>
  <si>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17日保养</t>
  </si>
  <si>
    <t>V型滤池
（南）</t>
  </si>
  <si>
    <t>17日清水阀定位器调整</t>
  </si>
  <si>
    <t>V型滤池
（北）</t>
  </si>
  <si>
    <t>反冲洗泵</t>
  </si>
  <si>
    <t>反冲洗风机</t>
  </si>
  <si>
    <t>二
氧
化
氯
发
生
器
房</t>
  </si>
  <si>
    <t>欧泰华
二氧化氯
发生器</t>
  </si>
  <si>
    <t>11日更换盐酸泵</t>
  </si>
  <si>
    <t>26日盐酸背压阀更换</t>
  </si>
  <si>
    <t>28日水射器阀门更换</t>
  </si>
  <si>
    <t>山大华特
二氧化氯
发生器</t>
  </si>
  <si>
    <t>24日背压阀更换</t>
  </si>
  <si>
    <t>增压水泵</t>
  </si>
  <si>
    <t>脱
水
机
房</t>
  </si>
  <si>
    <t>浓缩池刮泥机</t>
  </si>
  <si>
    <t>进泥泵</t>
  </si>
  <si>
    <t>脱水离心机</t>
  </si>
  <si>
    <t>14日保养</t>
  </si>
  <si>
    <t>20日保养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</si>
  <si>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</si>
  <si>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</si>
  <si>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</si>
  <si>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</si>
  <si>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</si>
  <si>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</si>
  <si>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</si>
  <si>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</si>
  <si>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</si>
  <si>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</si>
  <si>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</si>
  <si>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2021-05-10 2021-05-17 2021-05-24 2021-05-31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</si>
  <si>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</si>
  <si>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</si>
  <si>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</si>
  <si>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</si>
  <si>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</si>
  <si>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</si>
  <si>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</si>
  <si>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</si>
  <si>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</si>
  <si>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</si>
  <si>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</si>
  <si>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</si>
  <si>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</si>
  <si>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</si>
  <si>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制表日期：2021/6/3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</si>
  <si>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</si>
  <si>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</si>
  <si>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</si>
  <si>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采样地点：二期北</t>
  </si>
  <si>
    <t>采样时间：2021-5-27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</si>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</sst>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7">
    <numFmt numFmtId="41" formatCode="_ * #,##0_ ;_ * \-#,##0_ ;_ * &quot;-&quot;_ ;_ @_ "/>
    <numFmt numFmtId="176" formatCode="0_ "/>
    <numFmt numFmtId="177" formatCode="0_);[Red]\(0\)"/>
    <numFmt numFmtId="42" formatCode="_ &quot;￥&quot;* #,##0_ ;_ &quot;￥&quot;* \-#,##0_ ;_ &quot;￥&quot;* &quot;-&quot;_ ;_ @_ "/>
    <numFmt numFmtId="178" formatCode="0.00_);[Red]\(0.00\)"/>
    <numFmt numFmtId="43" formatCode="_ * #,##0.00_ ;_ * \-#,##0.00_ ;_ * &quot;-&quot;??_ ;_ @_ "/>
    <numFmt numFmtId="44" formatCode="_ &quot;￥&quot;* #,##0.00_ ;_ &quot;￥&quot;* \-#,##0.00_ ;_ &quot;￥&quot;* &quot;-&quot;??_ ;_ @_ "/>
    <numFmt numFmtId="179" formatCode="0.000_ "/>
    <numFmt numFmtId="180" formatCode="0.0%"/>
    <numFmt numFmtId="181" formatCode="yyyy&quot;年&quot;m&quot;月&quot;;@"/>
    <numFmt numFmtId="182" formatCode="#,##0.00_ "/>
    <numFmt numFmtId="183" formatCode="0.00;[Red]0.00"/>
    <numFmt numFmtId="184" formatCode="0;[Red]0"/>
    <numFmt numFmtId="185" formatCode="0.00;_ﰀ"/>
    <numFmt numFmtId="186" formatCode="0.0_);[Red]\(0.0\)"/>
    <numFmt numFmtId="187" formatCode="0.0_ "/>
    <numFmt numFmtId="188" formatCode="0;_ﰀ"/>
    <numFmt numFmtId="189" formatCode="0.0_);\(0.0\)"/>
    <numFmt numFmtId="190" formatCode="yyyy/m/d;@"/>
    <numFmt numFmtId="191" formatCode="0.000_);[Red]\(0.000\)"/>
    <numFmt numFmtId="192" formatCode="0.0;[Red]0.0"/>
    <numFmt numFmtId="193" formatCode="0;_䠀"/>
    <numFmt numFmtId="194" formatCode="0.00_ "/>
    <numFmt numFmtId="195" formatCode="0;_鰀"/>
    <numFmt numFmtId="196" formatCode="0.000;_鰀"/>
    <numFmt numFmtId="197" formatCode="0.0000_);[Red]\(0.0000\)"/>
    <numFmt numFmtId="198" formatCode="0.00;_鰀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vertAlign val="superscript"/>
      <sz val="10"/>
      <color theme="1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b/>
      <sz val="11"/>
      <color indexed="56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20"/>
      <name val="宋体"/>
      <charset val="134"/>
    </font>
    <font>
      <b/>
      <sz val="15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7"/>
      <name val="宋体"/>
      <charset val="134"/>
    </font>
    <font>
      <sz val="11"/>
      <color indexed="62"/>
      <name val="宋体"/>
      <charset val="134"/>
    </font>
    <font>
      <b/>
      <sz val="13"/>
      <color indexed="56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</borders>
  <cellStyleXfs count="615">
    <xf numFmtId="0" fontId="0" fillId="0" borderId="0"/>
    <xf numFmtId="42" fontId="0" fillId="0" borderId="0" applyFont="0" applyFill="0" applyBorder="0" applyAlignment="0" applyProtection="0"/>
    <xf numFmtId="0" fontId="36" fillId="12" borderId="0" applyNumberFormat="0" applyBorder="0" applyAlignment="0" applyProtection="0">
      <alignment vertical="center"/>
    </xf>
    <xf numFmtId="0" fontId="49" fillId="22" borderId="21" applyNumberForma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5" fillId="7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36" fillId="20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6" fillId="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34" fillId="5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21" borderId="25" applyNumberFormat="0" applyFont="0" applyAlignment="0" applyProtection="0">
      <alignment vertical="center"/>
    </xf>
    <xf numFmtId="0" fontId="34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21" borderId="25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4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34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0" fillId="21" borderId="25" applyNumberFormat="0" applyFon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0" fillId="0" borderId="0"/>
    <xf numFmtId="0" fontId="34" fillId="24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>
      <alignment vertical="top"/>
      <protection locked="0"/>
    </xf>
    <xf numFmtId="0" fontId="34" fillId="24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0" fillId="0" borderId="0"/>
    <xf numFmtId="0" fontId="36" fillId="1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>
      <alignment vertical="top"/>
      <protection locked="0"/>
    </xf>
    <xf numFmtId="0" fontId="36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21" borderId="25" applyNumberFormat="0" applyFon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49" fillId="22" borderId="21" applyNumberFormat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0" borderId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4" fillId="0" borderId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9" fillId="22" borderId="21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/>
    <xf numFmtId="0" fontId="45" fillId="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48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21" borderId="25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0" fillId="0" borderId="0"/>
    <xf numFmtId="0" fontId="43" fillId="0" borderId="24" applyNumberFormat="0" applyFill="0" applyAlignment="0" applyProtection="0">
      <alignment vertical="center"/>
    </xf>
    <xf numFmtId="0" fontId="0" fillId="0" borderId="0"/>
    <xf numFmtId="0" fontId="36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0" borderId="0">
      <alignment vertical="center"/>
    </xf>
    <xf numFmtId="0" fontId="34" fillId="0" borderId="0">
      <alignment vertical="center"/>
    </xf>
    <xf numFmtId="0" fontId="3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9" fillId="22" borderId="21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9" fillId="22" borderId="21" applyNumberFormat="0" applyAlignment="0" applyProtection="0">
      <alignment vertical="center"/>
    </xf>
    <xf numFmtId="0" fontId="0" fillId="0" borderId="0"/>
    <xf numFmtId="0" fontId="49" fillId="22" borderId="21" applyNumberFormat="0" applyAlignment="0" applyProtection="0">
      <alignment vertical="center"/>
    </xf>
    <xf numFmtId="0" fontId="0" fillId="0" borderId="0"/>
    <xf numFmtId="0" fontId="0" fillId="0" borderId="0"/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35" fillId="4" borderId="19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21" borderId="25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42" fillId="16" borderId="23" applyNumberFormat="0" applyAlignment="0" applyProtection="0">
      <alignment vertical="center"/>
    </xf>
    <xf numFmtId="0" fontId="49" fillId="22" borderId="21" applyNumberFormat="0" applyAlignment="0" applyProtection="0">
      <alignment vertical="center"/>
    </xf>
    <xf numFmtId="0" fontId="49" fillId="22" borderId="21" applyNumberFormat="0" applyAlignment="0" applyProtection="0">
      <alignment vertical="center"/>
    </xf>
    <xf numFmtId="0" fontId="49" fillId="22" borderId="21" applyNumberFormat="0" applyAlignment="0" applyProtection="0">
      <alignment vertical="center"/>
    </xf>
    <xf numFmtId="0" fontId="49" fillId="22" borderId="21" applyNumberFormat="0" applyAlignment="0" applyProtection="0">
      <alignment vertical="center"/>
    </xf>
    <xf numFmtId="0" fontId="49" fillId="22" borderId="21" applyNumberFormat="0" applyAlignment="0" applyProtection="0">
      <alignment vertical="center"/>
    </xf>
    <xf numFmtId="0" fontId="49" fillId="22" borderId="21" applyNumberFormat="0" applyAlignment="0" applyProtection="0">
      <alignment vertical="center"/>
    </xf>
    <xf numFmtId="0" fontId="49" fillId="22" borderId="21" applyNumberFormat="0" applyAlignment="0" applyProtection="0">
      <alignment vertical="center"/>
    </xf>
    <xf numFmtId="0" fontId="0" fillId="21" borderId="25" applyNumberFormat="0" applyFont="0" applyAlignment="0" applyProtection="0">
      <alignment vertical="center"/>
    </xf>
    <xf numFmtId="0" fontId="0" fillId="21" borderId="25" applyNumberFormat="0" applyFont="0" applyAlignment="0" applyProtection="0">
      <alignment vertical="center"/>
    </xf>
    <xf numFmtId="0" fontId="0" fillId="21" borderId="25" applyNumberFormat="0" applyFont="0" applyAlignment="0" applyProtection="0">
      <alignment vertical="center"/>
    </xf>
    <xf numFmtId="0" fontId="0" fillId="21" borderId="25" applyNumberFormat="0" applyFont="0" applyAlignment="0" applyProtection="0">
      <alignment vertical="center"/>
    </xf>
    <xf numFmtId="0" fontId="0" fillId="21" borderId="25" applyNumberFormat="0" applyFont="0" applyAlignment="0" applyProtection="0">
      <alignment vertical="center"/>
    </xf>
    <xf numFmtId="0" fontId="0" fillId="21" borderId="25" applyNumberFormat="0" applyFont="0" applyAlignment="0" applyProtection="0">
      <alignment vertical="center"/>
    </xf>
    <xf numFmtId="0" fontId="0" fillId="21" borderId="25" applyNumberFormat="0" applyFont="0" applyAlignment="0" applyProtection="0">
      <alignment vertical="center"/>
    </xf>
  </cellStyleXfs>
  <cellXfs count="32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5" fillId="0" borderId="0" xfId="0" applyNumberFormat="1" applyFont="1"/>
    <xf numFmtId="0" fontId="0" fillId="0" borderId="0" xfId="0" applyFont="1"/>
    <xf numFmtId="0" fontId="6" fillId="0" borderId="0" xfId="489" applyFont="1" applyAlignment="1">
      <alignment horizontal="center" vertical="center"/>
    </xf>
    <xf numFmtId="0" fontId="7" fillId="0" borderId="0" xfId="489" applyFont="1" applyAlignment="1">
      <alignment horizontal="center" vertical="center"/>
    </xf>
    <xf numFmtId="0" fontId="8" fillId="0" borderId="0" xfId="489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181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7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1" xfId="0" applyFont="1" applyFill="1" applyBorder="1" applyAlignment="1"/>
    <xf numFmtId="0" fontId="18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92" fontId="1" fillId="0" borderId="1" xfId="0" applyNumberFormat="1" applyFont="1" applyBorder="1" applyAlignment="1">
      <alignment horizontal="center" vertical="center" wrapText="1"/>
    </xf>
    <xf numFmtId="177" fontId="1" fillId="0" borderId="1" xfId="10" applyNumberFormat="1" applyFont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 wrapText="1"/>
    </xf>
    <xf numFmtId="192" fontId="1" fillId="0" borderId="1" xfId="0" applyNumberFormat="1" applyFont="1" applyFill="1" applyBorder="1" applyAlignment="1">
      <alignment horizontal="center" vertical="center" wrapText="1"/>
    </xf>
    <xf numFmtId="187" fontId="1" fillId="0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184" fontId="18" fillId="0" borderId="4" xfId="0" applyNumberFormat="1" applyFont="1" applyBorder="1" applyAlignment="1">
      <alignment vertical="center"/>
    </xf>
    <xf numFmtId="177" fontId="18" fillId="0" borderId="4" xfId="0" applyNumberFormat="1" applyFont="1" applyBorder="1" applyAlignment="1">
      <alignment vertical="center"/>
    </xf>
    <xf numFmtId="194" fontId="18" fillId="0" borderId="4" xfId="0" applyNumberFormat="1" applyFont="1" applyBorder="1" applyAlignment="1">
      <alignment vertical="center"/>
    </xf>
    <xf numFmtId="192" fontId="18" fillId="0" borderId="4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184" fontId="18" fillId="0" borderId="0" xfId="0" applyNumberFormat="1" applyFont="1" applyBorder="1" applyAlignment="1">
      <alignment vertical="center"/>
    </xf>
    <xf numFmtId="184" fontId="18" fillId="0" borderId="0" xfId="0" applyNumberFormat="1" applyFont="1" applyAlignment="1">
      <alignment vertical="center"/>
    </xf>
    <xf numFmtId="177" fontId="18" fillId="0" borderId="0" xfId="0" applyNumberFormat="1" applyFont="1" applyAlignment="1">
      <alignment vertical="center"/>
    </xf>
    <xf numFmtId="194" fontId="18" fillId="0" borderId="0" xfId="0" applyNumberFormat="1" applyFont="1" applyAlignment="1">
      <alignment vertical="center"/>
    </xf>
    <xf numFmtId="192" fontId="18" fillId="0" borderId="0" xfId="0" applyNumberFormat="1" applyFont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187" fontId="20" fillId="0" borderId="4" xfId="0" applyNumberFormat="1" applyFont="1" applyFill="1" applyBorder="1" applyAlignment="1">
      <alignment horizontal="center" vertical="center"/>
    </xf>
    <xf numFmtId="187" fontId="21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87" fontId="20" fillId="0" borderId="0" xfId="0" applyNumberFormat="1" applyFont="1" applyFill="1" applyAlignment="1">
      <alignment horizontal="center" vertical="center"/>
    </xf>
    <xf numFmtId="176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6" fontId="20" fillId="0" borderId="0" xfId="0" applyNumberFormat="1" applyFont="1" applyFill="1" applyAlignment="1">
      <alignment horizontal="center" vertical="center"/>
    </xf>
    <xf numFmtId="187" fontId="21" fillId="0" borderId="0" xfId="0" applyNumberFormat="1" applyFont="1" applyFill="1" applyAlignment="1">
      <alignment horizontal="center" vertical="center"/>
    </xf>
    <xf numFmtId="194" fontId="20" fillId="0" borderId="0" xfId="0" applyNumberFormat="1" applyFont="1" applyFill="1" applyAlignment="1">
      <alignment horizontal="center" vertical="center"/>
    </xf>
    <xf numFmtId="194" fontId="21" fillId="0" borderId="0" xfId="0" applyNumberFormat="1" applyFont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187" fontId="20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94" fontId="20" fillId="0" borderId="1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83" fontId="1" fillId="0" borderId="1" xfId="10" applyNumberFormat="1" applyFont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94" fontId="1" fillId="0" borderId="1" xfId="0" applyNumberFormat="1" applyFont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184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80" fontId="21" fillId="0" borderId="5" xfId="20" applyNumberFormat="1" applyFont="1" applyFill="1" applyBorder="1" applyAlignment="1">
      <alignment horizontal="center" vertical="center"/>
    </xf>
    <xf numFmtId="179" fontId="21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80" fontId="21" fillId="0" borderId="8" xfId="20" applyNumberFormat="1" applyFont="1" applyFill="1" applyBorder="1" applyAlignment="1">
      <alignment horizontal="center" vertical="center"/>
    </xf>
    <xf numFmtId="194" fontId="21" fillId="0" borderId="8" xfId="0" applyNumberFormat="1" applyFont="1" applyFill="1" applyBorder="1" applyAlignment="1">
      <alignment horizontal="center" vertical="center"/>
    </xf>
    <xf numFmtId="187" fontId="21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1" fillId="0" borderId="8" xfId="0" applyFont="1" applyFill="1" applyBorder="1" applyAlignment="1">
      <alignment horizontal="center" vertical="center"/>
    </xf>
    <xf numFmtId="180" fontId="21" fillId="0" borderId="12" xfId="2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184" fontId="0" fillId="0" borderId="0" xfId="0" applyNumberFormat="1"/>
    <xf numFmtId="180" fontId="0" fillId="0" borderId="0" xfId="0" applyNumberFormat="1"/>
    <xf numFmtId="0" fontId="18" fillId="0" borderId="4" xfId="0" applyFont="1" applyBorder="1" applyAlignment="1">
      <alignment horizontal="left" vertical="center"/>
    </xf>
    <xf numFmtId="0" fontId="9" fillId="0" borderId="0" xfId="0" applyFont="1"/>
    <xf numFmtId="0" fontId="18" fillId="0" borderId="0" xfId="0" applyFont="1" applyAlignment="1">
      <alignment horizontal="left" vertical="center"/>
    </xf>
    <xf numFmtId="187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89" applyFont="1" applyAlignment="1">
      <alignment horizontal="center" vertical="center"/>
    </xf>
    <xf numFmtId="57" fontId="9" fillId="0" borderId="11" xfId="489" applyNumberFormat="1" applyFont="1" applyBorder="1" applyAlignment="1">
      <alignment horizontal="center" vertical="center"/>
    </xf>
    <xf numFmtId="0" fontId="9" fillId="0" borderId="1" xfId="489" applyFont="1" applyBorder="1" applyAlignment="1">
      <alignment horizontal="center" vertical="center" wrapText="1"/>
    </xf>
    <xf numFmtId="0" fontId="9" fillId="0" borderId="1" xfId="489" applyFont="1" applyBorder="1" applyAlignment="1">
      <alignment horizontal="center" vertical="center"/>
    </xf>
    <xf numFmtId="193" fontId="9" fillId="0" borderId="1" xfId="0" applyNumberFormat="1" applyFont="1" applyBorder="1" applyAlignment="1">
      <alignment horizontal="center" vertical="center" wrapText="1"/>
    </xf>
    <xf numFmtId="0" fontId="9" fillId="0" borderId="2" xfId="489" applyFont="1" applyBorder="1" applyAlignment="1">
      <alignment horizontal="center" vertical="center" wrapText="1"/>
    </xf>
    <xf numFmtId="194" fontId="9" fillId="0" borderId="1" xfId="0" applyNumberFormat="1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0" fontId="9" fillId="0" borderId="6" xfId="489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187" fontId="9" fillId="0" borderId="9" xfId="0" applyNumberFormat="1" applyFont="1" applyBorder="1" applyAlignment="1">
      <alignment horizontal="center" vertical="center" wrapText="1"/>
    </xf>
    <xf numFmtId="195" fontId="9" fillId="0" borderId="1" xfId="506" applyNumberFormat="1" applyFont="1" applyBorder="1" applyAlignment="1">
      <alignment horizontal="center" vertical="center" wrapText="1"/>
    </xf>
    <xf numFmtId="0" fontId="9" fillId="0" borderId="9" xfId="489" applyFont="1" applyBorder="1" applyAlignment="1">
      <alignment horizontal="center" vertical="center" wrapText="1"/>
    </xf>
    <xf numFmtId="176" fontId="9" fillId="0" borderId="1" xfId="489" applyNumberFormat="1" applyFont="1" applyBorder="1" applyAlignment="1">
      <alignment horizontal="center" vertical="center" wrapText="1"/>
    </xf>
    <xf numFmtId="194" fontId="9" fillId="0" borderId="1" xfId="489" applyNumberFormat="1" applyFont="1" applyBorder="1" applyAlignment="1">
      <alignment horizontal="center" vertical="center" wrapText="1"/>
    </xf>
    <xf numFmtId="0" fontId="9" fillId="0" borderId="1" xfId="489" applyFont="1" applyFill="1" applyBorder="1" applyAlignment="1">
      <alignment horizontal="center" vertical="center" wrapText="1"/>
    </xf>
    <xf numFmtId="187" fontId="9" fillId="0" borderId="1" xfId="489" applyNumberFormat="1" applyFont="1" applyBorder="1" applyAlignment="1">
      <alignment horizontal="center" vertical="center" wrapText="1"/>
    </xf>
    <xf numFmtId="0" fontId="9" fillId="0" borderId="2" xfId="489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89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89" applyFont="1" applyFill="1" applyBorder="1" applyAlignment="1">
      <alignment horizontal="center" vertical="center"/>
    </xf>
    <xf numFmtId="187" fontId="9" fillId="0" borderId="13" xfId="0" applyNumberFormat="1" applyFont="1" applyBorder="1" applyAlignment="1">
      <alignment horizontal="center" vertical="center" wrapText="1"/>
    </xf>
    <xf numFmtId="187" fontId="9" fillId="0" borderId="14" xfId="0" applyNumberFormat="1" applyFont="1" applyBorder="1" applyAlignment="1">
      <alignment horizontal="center" vertical="center" wrapText="1"/>
    </xf>
    <xf numFmtId="194" fontId="9" fillId="0" borderId="13" xfId="0" applyNumberFormat="1" applyFont="1" applyBorder="1" applyAlignment="1">
      <alignment horizontal="center" vertical="center" wrapText="1"/>
    </xf>
    <xf numFmtId="194" fontId="9" fillId="0" borderId="14" xfId="0" applyNumberFormat="1" applyFont="1" applyBorder="1" applyAlignment="1">
      <alignment horizontal="center" vertical="center" wrapText="1"/>
    </xf>
    <xf numFmtId="187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6" fontId="9" fillId="0" borderId="13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6" fontId="0" fillId="0" borderId="0" xfId="0" applyNumberFormat="1" applyFont="1"/>
    <xf numFmtId="179" fontId="9" fillId="0" borderId="1" xfId="489" applyNumberFormat="1" applyFont="1" applyBorder="1" applyAlignment="1">
      <alignment horizontal="center" vertical="center" wrapText="1"/>
    </xf>
    <xf numFmtId="194" fontId="9" fillId="0" borderId="2" xfId="489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94" fontId="9" fillId="0" borderId="9" xfId="489" applyNumberFormat="1" applyFont="1" applyBorder="1" applyAlignment="1">
      <alignment horizontal="center" vertical="center" wrapText="1"/>
    </xf>
    <xf numFmtId="0" fontId="9" fillId="0" borderId="2" xfId="489" applyFont="1" applyBorder="1" applyAlignment="1">
      <alignment horizontal="center" vertical="center"/>
    </xf>
    <xf numFmtId="0" fontId="9" fillId="0" borderId="2" xfId="489" applyFont="1" applyFill="1" applyBorder="1" applyAlignment="1">
      <alignment horizontal="center" vertical="center" wrapText="1"/>
    </xf>
    <xf numFmtId="178" fontId="9" fillId="0" borderId="1" xfId="489" applyNumberFormat="1" applyFont="1" applyFill="1" applyBorder="1" applyAlignment="1">
      <alignment horizontal="center" vertical="center" wrapText="1"/>
    </xf>
    <xf numFmtId="182" fontId="9" fillId="0" borderId="0" xfId="0" applyNumberFormat="1" applyFont="1"/>
    <xf numFmtId="194" fontId="9" fillId="0" borderId="1" xfId="0" applyNumberFormat="1" applyFont="1" applyBorder="1" applyAlignment="1">
      <alignment horizontal="center" vertical="center"/>
    </xf>
    <xf numFmtId="176" fontId="28" fillId="0" borderId="0" xfId="0" applyNumberFormat="1" applyFont="1"/>
    <xf numFmtId="0" fontId="9" fillId="0" borderId="0" xfId="489" applyFont="1" applyFill="1" applyBorder="1" applyAlignment="1">
      <alignment horizontal="center" vertical="center"/>
    </xf>
    <xf numFmtId="0" fontId="9" fillId="0" borderId="13" xfId="489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93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5" fontId="1" fillId="0" borderId="1" xfId="340" applyNumberFormat="1" applyFont="1" applyFill="1" applyBorder="1" applyAlignment="1">
      <alignment horizontal="center" vertical="center" wrapText="1"/>
    </xf>
    <xf numFmtId="198" fontId="1" fillId="0" borderId="1" xfId="340" applyNumberFormat="1" applyFont="1" applyFill="1" applyBorder="1" applyAlignment="1">
      <alignment horizontal="center" vertical="center" wrapText="1"/>
    </xf>
    <xf numFmtId="0" fontId="1" fillId="0" borderId="1" xfId="340" applyFont="1" applyFill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95" fontId="1" fillId="0" borderId="1" xfId="479" applyNumberFormat="1" applyFont="1" applyFill="1" applyBorder="1" applyAlignment="1">
      <alignment horizontal="center" vertical="center" wrapText="1"/>
    </xf>
    <xf numFmtId="198" fontId="1" fillId="0" borderId="1" xfId="479" applyNumberFormat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2" fillId="0" borderId="1" xfId="340" applyFont="1" applyFill="1" applyBorder="1" applyAlignment="1">
      <alignment horizontal="center" vertical="center" wrapText="1"/>
    </xf>
    <xf numFmtId="176" fontId="12" fillId="0" borderId="1" xfId="340" applyNumberFormat="1" applyFont="1" applyFill="1" applyBorder="1" applyAlignment="1">
      <alignment horizontal="center" vertical="center" wrapText="1"/>
    </xf>
    <xf numFmtId="178" fontId="1" fillId="0" borderId="1" xfId="340" applyNumberFormat="1" applyFont="1" applyFill="1" applyBorder="1" applyAlignment="1">
      <alignment horizontal="center" vertical="center" wrapText="1"/>
    </xf>
    <xf numFmtId="0" fontId="12" fillId="0" borderId="1" xfId="34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191" fontId="2" fillId="0" borderId="0" xfId="0" applyNumberFormat="1" applyFont="1" applyFill="1" applyBorder="1" applyAlignment="1">
      <alignment horizontal="center" vertical="center"/>
    </xf>
    <xf numFmtId="195" fontId="12" fillId="0" borderId="1" xfId="340" applyNumberFormat="1" applyFont="1" applyFill="1" applyBorder="1" applyAlignment="1">
      <alignment horizontal="center" vertical="center" wrapText="1"/>
    </xf>
    <xf numFmtId="195" fontId="12" fillId="0" borderId="1" xfId="506" applyNumberFormat="1" applyFont="1" applyFill="1" applyBorder="1" applyAlignment="1">
      <alignment horizontal="center" vertical="center" wrapText="1"/>
    </xf>
    <xf numFmtId="198" fontId="2" fillId="0" borderId="0" xfId="0" applyNumberFormat="1" applyFont="1" applyAlignment="1">
      <alignment horizontal="center" vertical="center"/>
    </xf>
    <xf numFmtId="195" fontId="2" fillId="0" borderId="0" xfId="0" applyNumberFormat="1" applyFont="1" applyAlignment="1">
      <alignment horizontal="center" vertical="center"/>
    </xf>
    <xf numFmtId="178" fontId="2" fillId="0" borderId="0" xfId="483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5" fontId="31" fillId="0" borderId="0" xfId="0" applyNumberFormat="1" applyFont="1" applyAlignment="1">
      <alignment horizontal="center" vertical="center"/>
    </xf>
    <xf numFmtId="0" fontId="31" fillId="0" borderId="0" xfId="483" applyFont="1" applyBorder="1" applyAlignment="1">
      <alignment horizontal="center" vertical="center"/>
    </xf>
    <xf numFmtId="197" fontId="2" fillId="0" borderId="0" xfId="483" applyNumberFormat="1" applyFont="1" applyBorder="1" applyAlignment="1">
      <alignment horizontal="center" vertical="center"/>
    </xf>
    <xf numFmtId="195" fontId="2" fillId="0" borderId="1" xfId="0" applyNumberFormat="1" applyFont="1" applyBorder="1" applyAlignment="1">
      <alignment horizontal="center" vertical="center"/>
    </xf>
    <xf numFmtId="194" fontId="32" fillId="0" borderId="1" xfId="483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94" fontId="2" fillId="0" borderId="1" xfId="0" applyNumberFormat="1" applyFont="1" applyFill="1" applyBorder="1" applyAlignment="1">
      <alignment horizontal="center" vertical="center"/>
    </xf>
    <xf numFmtId="0" fontId="32" fillId="3" borderId="1" xfId="48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87" fontId="2" fillId="3" borderId="1" xfId="0" applyNumberFormat="1" applyFont="1" applyFill="1" applyBorder="1" applyAlignment="1">
      <alignment horizontal="center" vertical="center"/>
    </xf>
    <xf numFmtId="194" fontId="2" fillId="3" borderId="1" xfId="0" applyNumberFormat="1" applyFont="1" applyFill="1" applyBorder="1" applyAlignment="1">
      <alignment horizontal="center" vertical="center"/>
    </xf>
    <xf numFmtId="0" fontId="32" fillId="0" borderId="0" xfId="483" applyFont="1" applyBorder="1" applyAlignment="1">
      <alignment horizontal="center" vertical="center"/>
    </xf>
    <xf numFmtId="194" fontId="2" fillId="0" borderId="0" xfId="0" applyNumberFormat="1" applyFont="1" applyFill="1" applyBorder="1" applyAlignment="1">
      <alignment horizontal="center" vertical="center"/>
    </xf>
    <xf numFmtId="0" fontId="33" fillId="0" borderId="0" xfId="483" applyFont="1" applyBorder="1" applyAlignment="1">
      <alignment horizontal="center" vertical="center"/>
    </xf>
    <xf numFmtId="188" fontId="2" fillId="0" borderId="0" xfId="0" applyNumberFormat="1" applyFont="1" applyFill="1" applyBorder="1" applyAlignment="1">
      <alignment horizontal="center" vertical="center"/>
    </xf>
    <xf numFmtId="187" fontId="2" fillId="0" borderId="0" xfId="0" applyNumberFormat="1" applyFont="1" applyFill="1" applyBorder="1" applyAlignment="1">
      <alignment horizontal="center" vertical="center"/>
    </xf>
    <xf numFmtId="195" fontId="1" fillId="0" borderId="1" xfId="506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98" fontId="30" fillId="0" borderId="0" xfId="20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96" fontId="30" fillId="0" borderId="0" xfId="2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90" fontId="2" fillId="0" borderId="0" xfId="0" applyNumberFormat="1" applyFont="1" applyFill="1" applyAlignment="1">
      <alignment horizontal="center" vertical="center"/>
    </xf>
    <xf numFmtId="194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15">
    <cellStyle name="常规" xfId="0" builtinId="0"/>
    <cellStyle name="货币[0]" xfId="1" builtinId="7"/>
    <cellStyle name="强调文字颜色 2 3 2" xfId="2"/>
    <cellStyle name="输入" xfId="3" builtinId="20"/>
    <cellStyle name="20% - 强调文字颜色 3" xfId="4" builtinId="38"/>
    <cellStyle name="链接单元格 5" xfId="5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40% - 强调文字颜色 3" xfId="13" builtinId="39"/>
    <cellStyle name="标题 5 6" xfId="14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强调文字颜色 1 2 3" xfId="35"/>
    <cellStyle name="20% - 强调文字颜色 4 4 2" xfId="36"/>
    <cellStyle name="60% - 强调文字颜色 2 2 2" xfId="37"/>
    <cellStyle name="计算 2 10" xfId="38"/>
    <cellStyle name="常规 5 2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计算 3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适中 2 5" xfId="60"/>
    <cellStyle name="强调文字颜色 3 2 4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标题 4 5 2" xfId="68"/>
    <cellStyle name="检查单元格 3 2" xfId="69"/>
    <cellStyle name="强调文字颜色 1" xfId="70" builtinId="29"/>
    <cellStyle name="链接单元格 3" xfId="71"/>
    <cellStyle name="20% - 强调文字颜色 1" xfId="72" builtinId="30"/>
    <cellStyle name="标题 5 4" xfId="73"/>
    <cellStyle name="40% - 强调文字颜色 4 3 2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20% - 强调文字颜色 3 3 2" xfId="94"/>
    <cellStyle name="适中 2" xfId="95"/>
    <cellStyle name="计算 5" xfId="96"/>
    <cellStyle name="40% - 强调文字颜色 6" xfId="97" builtinId="51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60% - 强调文字颜色 1 5 2" xfId="324"/>
    <cellStyle name="60% - 强调文字颜色 1 9" xfId="325"/>
    <cellStyle name="强调文字颜色 4 4 2" xfId="326"/>
    <cellStyle name="警告文本 2 6" xfId="327"/>
    <cellStyle name="60% - 强调文字颜色 2 2 3" xfId="328"/>
    <cellStyle name="计算 2 11" xfId="329"/>
    <cellStyle name="强调文字颜色 1 2 4" xfId="330"/>
    <cellStyle name="60% - 强调文字颜色 2 2 4" xfId="331"/>
    <cellStyle name="计算 2 12" xfId="332"/>
    <cellStyle name="强调文字颜色 1 2 5" xfId="333"/>
    <cellStyle name="60% - 强调文字颜色 2 2 5" xfId="334"/>
    <cellStyle name="强调文字颜色 1 2 6" xfId="335"/>
    <cellStyle name="60% - 强调文字颜色 2 2 6" xfId="336"/>
    <cellStyle name="常规 7" xfId="337"/>
    <cellStyle name="60% - 强调文字颜色 2 4" xfId="338"/>
    <cellStyle name="60% - 强调文字颜色 2 4 2" xfId="339"/>
    <cellStyle name="常规 8" xfId="340"/>
    <cellStyle name="60% - 强调文字颜色 2 5" xfId="341"/>
    <cellStyle name="警告文本 3 2" xfId="342"/>
    <cellStyle name="60% - 强调文字颜色 3 2 3" xfId="343"/>
    <cellStyle name="强调文字颜色 2 2 4" xfId="344"/>
    <cellStyle name="60% - 强调文字颜色 3 2 4" xfId="345"/>
    <cellStyle name="强调文字颜色 2 2 5" xfId="346"/>
    <cellStyle name="60% - 强调文字颜色 3 2 5" xfId="347"/>
    <cellStyle name="强调文字颜色 2 2 6" xfId="348"/>
    <cellStyle name="60% - 强调文字颜色 3 2 6" xfId="349"/>
    <cellStyle name="解释性文本 3 2" xfId="350"/>
    <cellStyle name="60% - 强调文字颜色 3 4" xfId="351"/>
    <cellStyle name="60% - 强调文字颜色 3 4 2" xfId="352"/>
    <cellStyle name="60% - 强调文字颜色 3 5" xfId="353"/>
    <cellStyle name="警告文本 4 2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60% - 强调文字颜色 5 2 4" xfId="366"/>
    <cellStyle name="强调文字颜色 4 2 5" xfId="367"/>
    <cellStyle name="百分比 2 11" xfId="368"/>
    <cellStyle name="标题 4 2" xfId="369"/>
    <cellStyle name="60% - 强调文字颜色 5 2 5" xfId="370"/>
    <cellStyle name="标题 4 3" xfId="371"/>
    <cellStyle name="60% - 强调文字颜色 5 2 6" xfId="372"/>
    <cellStyle name="汇总 2 2" xfId="373"/>
    <cellStyle name="60% - 强调文字颜色 5 3 2" xfId="374"/>
    <cellStyle name="60% - 强调文字颜色 5 4" xfId="375"/>
    <cellStyle name="60% - 强调文字颜色 5 5" xfId="376"/>
    <cellStyle name="输入 2 3" xfId="377"/>
    <cellStyle name="60% - 强调文字颜色 5 5 2" xfId="378"/>
    <cellStyle name="60% - 强调文字颜色 6 2" xfId="379"/>
    <cellStyle name="好_汇总二 3" xfId="380"/>
    <cellStyle name="标题 4 2 6" xfId="381"/>
    <cellStyle name="60% - 强调文字颜色 6 2 2" xfId="382"/>
    <cellStyle name="60% - 强调文字颜色 6 2 3" xfId="383"/>
    <cellStyle name="60% - 强调文字颜色 6 4" xfId="384"/>
    <cellStyle name="60% - 强调文字颜色 6 4 2" xfId="385"/>
    <cellStyle name="检查单元格 2 6" xfId="386"/>
    <cellStyle name="60% - 强调文字颜色 6 5" xfId="387"/>
    <cellStyle name="百分比 2" xfId="388"/>
    <cellStyle name="差 4" xfId="389"/>
    <cellStyle name="百分比 2 11 2" xfId="390"/>
    <cellStyle name="常规 2 17" xfId="391"/>
    <cellStyle name="百分比 2 11 4" xfId="392"/>
    <cellStyle name="常规 2 19" xfId="393"/>
    <cellStyle name="标题 1 2" xfId="394"/>
    <cellStyle name="标题 1 2 2" xfId="395"/>
    <cellStyle name="标题 1 2 3" xfId="396"/>
    <cellStyle name="标题 1 2 4" xfId="397"/>
    <cellStyle name="标题 1 2 5" xfId="398"/>
    <cellStyle name="强调文字颜色 2 2 2" xfId="399"/>
    <cellStyle name="标题 1 3" xfId="400"/>
    <cellStyle name="汇总 3" xfId="401"/>
    <cellStyle name="标题 1 3 2" xfId="402"/>
    <cellStyle name="标题 1 4" xfId="403"/>
    <cellStyle name="标题 1 5" xfId="404"/>
    <cellStyle name="标题 2 2" xfId="405"/>
    <cellStyle name="标题 2 2 2" xfId="406"/>
    <cellStyle name="好 3 2" xfId="407"/>
    <cellStyle name="标题 2 2 3" xfId="408"/>
    <cellStyle name="标题 2 3" xfId="409"/>
    <cellStyle name="常规 11" xfId="410"/>
    <cellStyle name="标题 2 3 2" xfId="411"/>
    <cellStyle name="标题 2 4" xfId="412"/>
    <cellStyle name="好_处理量" xfId="413"/>
    <cellStyle name="标题 2 4 2" xfId="414"/>
    <cellStyle name="好_处理量 2" xfId="415"/>
    <cellStyle name="标题 2 5" xfId="416"/>
    <cellStyle name="标题 2 5 2" xfId="417"/>
    <cellStyle name="标题 3 2" xfId="418"/>
    <cellStyle name="标题 3 2 2" xfId="419"/>
    <cellStyle name="好 5" xfId="420"/>
    <cellStyle name="标题 3 2 3" xfId="421"/>
    <cellStyle name="标题 3 2 4" xfId="422"/>
    <cellStyle name="标题 3 2 5" xfId="423"/>
    <cellStyle name="标题 3 3" xfId="424"/>
    <cellStyle name="标题 3 3 2" xfId="425"/>
    <cellStyle name="标题 3 4" xfId="426"/>
    <cellStyle name="标题 3 4 2" xfId="427"/>
    <cellStyle name="警告文本 2 3" xfId="428"/>
    <cellStyle name="标题 3 5" xfId="429"/>
    <cellStyle name="常规 9" xfId="430"/>
    <cellStyle name="标题 3 5 2" xfId="431"/>
    <cellStyle name="标题 4 2 2" xfId="432"/>
    <cellStyle name="标题 4 2 4" xfId="433"/>
    <cellStyle name="标题 4 2 5" xfId="434"/>
    <cellStyle name="标题 4 3 2" xfId="435"/>
    <cellStyle name="标题 4 4 2" xfId="436"/>
    <cellStyle name="检查单元格 2 2" xfId="437"/>
    <cellStyle name="解释性文本 2 3" xfId="438"/>
    <cellStyle name="标题 5" xfId="439"/>
    <cellStyle name="标题 5 2" xfId="440"/>
    <cellStyle name="强调文字颜色 1 4" xfId="441"/>
    <cellStyle name="标题 5 3" xfId="442"/>
    <cellStyle name="强调文字颜色 1 5" xfId="443"/>
    <cellStyle name="汇总 3 2" xfId="444"/>
    <cellStyle name="解释性文本 2 4" xfId="445"/>
    <cellStyle name="标题 6" xfId="446"/>
    <cellStyle name="标题 6 2" xfId="447"/>
    <cellStyle name="解释性文本 2 5" xfId="448"/>
    <cellStyle name="标题 7" xfId="449"/>
    <cellStyle name="输入 2 6" xfId="450"/>
    <cellStyle name="标题 7 2" xfId="451"/>
    <cellStyle name="强调文字颜色 3 4" xfId="452"/>
    <cellStyle name="常规 2 11" xfId="453"/>
    <cellStyle name="解释性文本 2 6" xfId="454"/>
    <cellStyle name="标题 8" xfId="455"/>
    <cellStyle name="标题 8 2" xfId="456"/>
    <cellStyle name="常规 2 7" xfId="457"/>
    <cellStyle name="差 2" xfId="458"/>
    <cellStyle name="解释性文本 5" xfId="459"/>
    <cellStyle name="差 2 2" xfId="460"/>
    <cellStyle name="解释性文本 5 2" xfId="461"/>
    <cellStyle name="差 2 4" xfId="462"/>
    <cellStyle name="差 2 5" xfId="463"/>
    <cellStyle name="差 2 6" xfId="464"/>
    <cellStyle name="差 3" xfId="465"/>
    <cellStyle name="差 3 2" xfId="466"/>
    <cellStyle name="差 4 2" xfId="467"/>
    <cellStyle name="差 5 2" xfId="468"/>
    <cellStyle name="差_汇总二 2" xfId="469"/>
    <cellStyle name="差_处理量" xfId="470"/>
    <cellStyle name="差_汇总二 3" xfId="471"/>
    <cellStyle name="常规 10" xfId="472"/>
    <cellStyle name="常规 12" xfId="473"/>
    <cellStyle name="好 4 2" xfId="474"/>
    <cellStyle name="常规 13" xfId="475"/>
    <cellStyle name="适中 3 2" xfId="476"/>
    <cellStyle name="计算 6 2" xfId="477"/>
    <cellStyle name="常规 14" xfId="478"/>
    <cellStyle name="常规 16" xfId="479"/>
    <cellStyle name="常规 21" xfId="480"/>
    <cellStyle name="注释 4 2" xfId="481"/>
    <cellStyle name="常规 17" xfId="482"/>
    <cellStyle name="常规 22" xfId="483"/>
    <cellStyle name="常规 18" xfId="484"/>
    <cellStyle name="常规 19" xfId="485"/>
    <cellStyle name="强调文字颜色 3 3" xfId="486"/>
    <cellStyle name="常规 2 10" xfId="487"/>
    <cellStyle name="汇总 5 2" xfId="488"/>
    <cellStyle name="常规_Sheet1" xfId="489"/>
    <cellStyle name="强调文字颜色 3 5" xfId="490"/>
    <cellStyle name="常规 2 12" xfId="491"/>
    <cellStyle name="常规 2 14" xfId="492"/>
    <cellStyle name="常规 2 15" xfId="493"/>
    <cellStyle name="常规 2 16" xfId="494"/>
    <cellStyle name="强调文字颜色 5 3 2" xfId="495"/>
    <cellStyle name="常规 2 19 3" xfId="496"/>
    <cellStyle name="常规 2 2" xfId="497"/>
    <cellStyle name="输入 3 2" xfId="498"/>
    <cellStyle name="常规 2 3" xfId="499"/>
    <cellStyle name="常规 2 4" xfId="500"/>
    <cellStyle name="常规 2 5" xfId="501"/>
    <cellStyle name="常规 2 6" xfId="502"/>
    <cellStyle name="输入 2" xfId="503"/>
    <cellStyle name="常规 2 8" xfId="504"/>
    <cellStyle name="输入 3" xfId="505"/>
    <cellStyle name="常规 2 9" xfId="506"/>
    <cellStyle name="常规 2_处理量" xfId="507"/>
    <cellStyle name="好 3" xfId="508"/>
    <cellStyle name="好 4" xfId="509"/>
    <cellStyle name="好 5 2" xfId="510"/>
    <cellStyle name="好_汇总二 2" xfId="511"/>
    <cellStyle name="汇总 4" xfId="512"/>
    <cellStyle name="强调文字颜色 2 5" xfId="513"/>
    <cellStyle name="汇总 4 2" xfId="514"/>
    <cellStyle name="汇总 5" xfId="515"/>
    <cellStyle name="计算 2 6" xfId="516"/>
    <cellStyle name="计算 2 7" xfId="517"/>
    <cellStyle name="计算 2_处理量" xfId="518"/>
    <cellStyle name="适中 3" xfId="519"/>
    <cellStyle name="计算 6" xfId="520"/>
    <cellStyle name="检查单元格 2 3" xfId="521"/>
    <cellStyle name="检查单元格 2 4" xfId="522"/>
    <cellStyle name="强调文字颜色 5 4 2" xfId="523"/>
    <cellStyle name="检查单元格 2 5" xfId="524"/>
    <cellStyle name="检查单元格 4 2" xfId="525"/>
    <cellStyle name="解释性文本 2" xfId="526"/>
    <cellStyle name="解释性文本 4" xfId="527"/>
    <cellStyle name="解释性文本 4 2" xfId="528"/>
    <cellStyle name="注释 5 2" xfId="529"/>
    <cellStyle name="警告文本 2" xfId="530"/>
    <cellStyle name="警告文本 2 4" xfId="531"/>
    <cellStyle name="警告文本 2 5" xfId="532"/>
    <cellStyle name="警告文本 3" xfId="533"/>
    <cellStyle name="警告文本 4" xfId="534"/>
    <cellStyle name="链接单元格 2" xfId="535"/>
    <cellStyle name="链接单元格 2 2" xfId="536"/>
    <cellStyle name="链接单元格 2 3" xfId="537"/>
    <cellStyle name="链接单元格 2 6" xfId="538"/>
    <cellStyle name="强调文字颜色 1 2" xfId="539"/>
    <cellStyle name="强调文字颜色 1 2 2" xfId="540"/>
    <cellStyle name="强调文字颜色 1 3" xfId="541"/>
    <cellStyle name="强调文字颜色 1 3 2" xfId="542"/>
    <cellStyle name="强调文字颜色 1 4 2" xfId="543"/>
    <cellStyle name="强调文字颜色 2 2" xfId="544"/>
    <cellStyle name="强调文字颜色 2 3" xfId="545"/>
    <cellStyle name="强调文字颜色 2 4" xfId="546"/>
    <cellStyle name="强调文字颜色 2 4 2" xfId="547"/>
    <cellStyle name="强调文字颜色 2 5 2" xfId="548"/>
    <cellStyle name="强调文字颜色 3 2" xfId="549"/>
    <cellStyle name="适中 2 3" xfId="550"/>
    <cellStyle name="强调文字颜色 3 2 2" xfId="551"/>
    <cellStyle name="适中 2 6" xfId="552"/>
    <cellStyle name="强调文字颜色 3 2 5" xfId="553"/>
    <cellStyle name="强调文字颜色 3 2 6" xfId="554"/>
    <cellStyle name="强调文字颜色 3 3 2" xfId="555"/>
    <cellStyle name="强调文字颜色 3 4 2" xfId="556"/>
    <cellStyle name="强调文字颜色 3 5 2" xfId="557"/>
    <cellStyle name="强调文字颜色 4 2" xfId="558"/>
    <cellStyle name="强调文字颜色 4 2 2" xfId="559"/>
    <cellStyle name="强调文字颜色 4 2 3" xfId="560"/>
    <cellStyle name="强调文字颜色 4 2 4" xfId="561"/>
    <cellStyle name="强调文字颜色 4 2 6" xfId="562"/>
    <cellStyle name="强调文字颜色 4 3" xfId="563"/>
    <cellStyle name="强调文字颜色 4 3 2" xfId="564"/>
    <cellStyle name="强调文字颜色 4 4" xfId="565"/>
    <cellStyle name="强调文字颜色 4 5" xfId="566"/>
    <cellStyle name="强调文字颜色 4 5 2" xfId="567"/>
    <cellStyle name="强调文字颜色 5 2 2" xfId="568"/>
    <cellStyle name="强调文字颜色 5 2 3" xfId="569"/>
    <cellStyle name="强调文字颜色 5 2 4" xfId="570"/>
    <cellStyle name="强调文字颜色 5 2 5" xfId="571"/>
    <cellStyle name="强调文字颜色 5 2 6" xfId="572"/>
    <cellStyle name="强调文字颜色 5 4" xfId="573"/>
    <cellStyle name="强调文字颜色 5 5" xfId="574"/>
    <cellStyle name="强调文字颜色 5 5 2" xfId="575"/>
    <cellStyle name="强调文字颜色 6 2" xfId="576"/>
    <cellStyle name="强调文字颜色 6 2 2" xfId="577"/>
    <cellStyle name="强调文字颜色 6 2 3" xfId="578"/>
    <cellStyle name="强调文字颜色 6 2 4" xfId="579"/>
    <cellStyle name="强调文字颜色 6 2 5" xfId="580"/>
    <cellStyle name="强调文字颜色 6 2 6" xfId="581"/>
    <cellStyle name="强调文字颜色 6 3" xfId="582"/>
    <cellStyle name="强调文字颜色 6 3 2" xfId="583"/>
    <cellStyle name="强调文字颜色 6 4" xfId="584"/>
    <cellStyle name="强调文字颜色 6 4 2" xfId="585"/>
    <cellStyle name="强调文字颜色 6 5" xfId="586"/>
    <cellStyle name="适中 4" xfId="587"/>
    <cellStyle name="适中 4 2" xfId="588"/>
    <cellStyle name="适中 5" xfId="589"/>
    <cellStyle name="适中 5 2" xfId="590"/>
    <cellStyle name="输出 2" xfId="591"/>
    <cellStyle name="输出 2 2" xfId="592"/>
    <cellStyle name="输出 2 3" xfId="593"/>
    <cellStyle name="输出 2 4" xfId="594"/>
    <cellStyle name="输出 2 5" xfId="595"/>
    <cellStyle name="输出 2 6" xfId="596"/>
    <cellStyle name="输出 3" xfId="597"/>
    <cellStyle name="输出 3 2" xfId="598"/>
    <cellStyle name="输出 5" xfId="599"/>
    <cellStyle name="输出 5 2" xfId="600"/>
    <cellStyle name="输入 2 2" xfId="601"/>
    <cellStyle name="输入 2 4" xfId="602"/>
    <cellStyle name="输入 2 5" xfId="603"/>
    <cellStyle name="输入 4" xfId="604"/>
    <cellStyle name="输入 4 2" xfId="605"/>
    <cellStyle name="输入 5" xfId="606"/>
    <cellStyle name="输入 5 2" xfId="607"/>
    <cellStyle name="注释 2 2" xfId="608"/>
    <cellStyle name="注释 2 3" xfId="609"/>
    <cellStyle name="注释 2 4" xfId="610"/>
    <cellStyle name="注释 2 5" xfId="611"/>
    <cellStyle name="注释 2 6" xfId="612"/>
    <cellStyle name="注释 3" xfId="613"/>
    <cellStyle name="注释 4" xfId="614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5;&#27700;&#27743;&#36793;\0.&#21382;&#21490;&#29983;&#20135;&#25968;&#25454;-2019-8-21\0&#27743;&#36793;&#21378;&#26376;&#25253;&#34920;\2020&#24180;&#26376;&#25253;\&#27743;&#36793;&#21378;&#26376;&#25253;2020-1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理量"/>
      <sheetName val="汇总二"/>
      <sheetName val="设备"/>
      <sheetName val="进出水"/>
      <sheetName val="仪表"/>
      <sheetName val="实验数据"/>
    </sheetNames>
    <sheetDataSet>
      <sheetData sheetId="0"/>
      <sheetData sheetId="1"/>
      <sheetData sheetId="2"/>
      <sheetData sheetId="3">
        <row r="38">
          <cell r="O38" t="str">
            <v>&lt;2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41"/>
  <sheetViews>
    <sheetView tabSelected="1" zoomScale="85" zoomScaleNormal="85" workbookViewId="0">
      <selection activeCell="O37" sqref="O37"/>
    </sheetView>
  </sheetViews>
  <sheetFormatPr defaultColWidth="8.75" defaultRowHeight="14.25"/>
  <cols>
    <col min="1" max="1" width="3.75" style="3" customWidth="1"/>
    <col min="2" max="3" width="4.25" style="255" customWidth="1"/>
    <col min="4" max="4" width="7.8" style="255" customWidth="1"/>
    <col min="5" max="5" width="7.5" style="255" customWidth="1"/>
    <col min="6" max="6" width="7.16666666666667" style="255" customWidth="1"/>
    <col min="7" max="7" width="6.94166666666667" style="256" customWidth="1"/>
    <col min="8" max="8" width="5.625" style="256" customWidth="1"/>
    <col min="9" max="9" width="6" style="255" customWidth="1"/>
    <col min="10" max="10" width="6.46666666666667" style="255" customWidth="1"/>
    <col min="11" max="11" width="6.5" style="255" customWidth="1"/>
    <col min="12" max="12" width="6.375" style="255" customWidth="1"/>
    <col min="13" max="13" width="6.11666666666667" style="255" customWidth="1"/>
    <col min="14" max="15" width="6.125" style="255" customWidth="1"/>
    <col min="16" max="16" width="6.46666666666667" style="255" customWidth="1"/>
    <col min="17" max="17" width="7.5" style="255" customWidth="1"/>
    <col min="18" max="18" width="10.125" style="255" customWidth="1"/>
    <col min="19" max="19" width="10" style="257" customWidth="1"/>
    <col min="20" max="20" width="15.875" style="257" customWidth="1"/>
    <col min="21" max="21" width="12.875" style="257" customWidth="1"/>
    <col min="22" max="22" width="12.25" style="257" customWidth="1"/>
    <col min="23" max="25" width="12.625" style="257"/>
    <col min="26" max="26" width="15" style="257" customWidth="1"/>
    <col min="27" max="35" width="9" style="3"/>
    <col min="36" max="16384" width="8.75" style="3"/>
  </cols>
  <sheetData>
    <row r="1" ht="17" customHeight="1" spans="1:18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</row>
    <row r="2" ht="14" customHeight="1" spans="1:18">
      <c r="A2" s="259" t="s">
        <v>1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</row>
    <row r="3" ht="20.25" customHeight="1" spans="1:26">
      <c r="A3" s="260" t="s">
        <v>2</v>
      </c>
      <c r="B3" s="261" t="s">
        <v>3</v>
      </c>
      <c r="C3" s="261" t="s">
        <v>4</v>
      </c>
      <c r="D3" s="8" t="s">
        <v>5</v>
      </c>
      <c r="E3" s="5" t="s">
        <v>6</v>
      </c>
      <c r="F3" s="5"/>
      <c r="G3" s="5"/>
      <c r="H3" s="261" t="s">
        <v>7</v>
      </c>
      <c r="I3" s="261" t="s">
        <v>8</v>
      </c>
      <c r="J3" s="261" t="s">
        <v>9</v>
      </c>
      <c r="K3" s="261" t="s">
        <v>10</v>
      </c>
      <c r="L3" s="8" t="s">
        <v>11</v>
      </c>
      <c r="M3" s="261" t="s">
        <v>12</v>
      </c>
      <c r="N3" s="261" t="s">
        <v>13</v>
      </c>
      <c r="O3" s="5" t="s">
        <v>14</v>
      </c>
      <c r="P3" s="5"/>
      <c r="Q3" s="8" t="s">
        <v>15</v>
      </c>
      <c r="R3" s="8" t="s">
        <v>16</v>
      </c>
      <c r="T3" s="257" t="s">
        <v>17</v>
      </c>
      <c r="U3" s="257" t="s">
        <v>18</v>
      </c>
      <c r="W3" s="281" t="s">
        <v>19</v>
      </c>
      <c r="X3" s="281" t="s">
        <v>20</v>
      </c>
      <c r="Y3" s="281" t="s">
        <v>21</v>
      </c>
      <c r="Z3" s="281" t="s">
        <v>22</v>
      </c>
    </row>
    <row r="4" ht="21" customHeight="1" spans="1:28">
      <c r="A4" s="262"/>
      <c r="B4" s="263" t="s">
        <v>23</v>
      </c>
      <c r="C4" s="263" t="s">
        <v>24</v>
      </c>
      <c r="D4" s="263"/>
      <c r="E4" s="263" t="s">
        <v>25</v>
      </c>
      <c r="F4" s="263" t="s">
        <v>26</v>
      </c>
      <c r="G4" s="263" t="s">
        <v>27</v>
      </c>
      <c r="H4" s="263" t="s">
        <v>28</v>
      </c>
      <c r="I4" s="263" t="s">
        <v>29</v>
      </c>
      <c r="J4" s="263" t="s">
        <v>30</v>
      </c>
      <c r="K4" s="263" t="s">
        <v>28</v>
      </c>
      <c r="L4" s="263"/>
      <c r="M4" s="263" t="s">
        <v>28</v>
      </c>
      <c r="N4" s="263" t="s">
        <v>28</v>
      </c>
      <c r="O4" s="263" t="s">
        <v>31</v>
      </c>
      <c r="P4" s="263" t="s">
        <v>32</v>
      </c>
      <c r="Q4" s="263"/>
      <c r="R4" s="263"/>
      <c r="T4" s="57" t="s">
        <v>33</v>
      </c>
      <c r="U4" s="282">
        <f>ROUND(J37*W4,2)</f>
        <v>923549</v>
      </c>
      <c r="V4" s="282"/>
      <c r="W4" s="283">
        <v>0.565</v>
      </c>
      <c r="X4" s="284">
        <f>J36/R36</f>
        <v>0.27055675170352</v>
      </c>
      <c r="Y4" s="281">
        <v>0.608</v>
      </c>
      <c r="Z4" s="315">
        <v>44197</v>
      </c>
      <c r="AA4" s="316"/>
      <c r="AB4" s="3" t="s">
        <v>34</v>
      </c>
    </row>
    <row r="5" ht="18.6" customHeight="1" spans="1:28">
      <c r="A5" s="6">
        <v>1</v>
      </c>
      <c r="B5" s="264">
        <v>23.5</v>
      </c>
      <c r="C5" s="265" t="s">
        <v>35</v>
      </c>
      <c r="D5" s="266">
        <v>66552</v>
      </c>
      <c r="E5" s="267">
        <v>108.7</v>
      </c>
      <c r="F5" s="267">
        <v>0</v>
      </c>
      <c r="G5" s="267">
        <v>0</v>
      </c>
      <c r="H5" s="268">
        <v>100</v>
      </c>
      <c r="I5" s="6">
        <v>4396</v>
      </c>
      <c r="J5" s="274">
        <v>36599.9999999985</v>
      </c>
      <c r="K5" s="275">
        <v>2760</v>
      </c>
      <c r="L5" s="275">
        <v>7</v>
      </c>
      <c r="M5" s="275">
        <v>2130</v>
      </c>
      <c r="N5" s="275">
        <v>792</v>
      </c>
      <c r="O5" s="276">
        <v>1.53</v>
      </c>
      <c r="P5" s="276">
        <v>0</v>
      </c>
      <c r="Q5" s="285">
        <v>5540</v>
      </c>
      <c r="R5" s="286">
        <f>D5-Q5</f>
        <v>61012</v>
      </c>
      <c r="S5" s="287"/>
      <c r="T5" s="288" t="s">
        <v>36</v>
      </c>
      <c r="U5" s="289">
        <f>H37*W5/1000</f>
        <v>133891</v>
      </c>
      <c r="V5" s="282"/>
      <c r="W5" s="57">
        <v>28040</v>
      </c>
      <c r="X5" s="282">
        <f>H36/R36*1000</f>
        <v>0.790351455637036</v>
      </c>
      <c r="Y5" s="281">
        <v>28150</v>
      </c>
      <c r="Z5" s="317">
        <v>44287</v>
      </c>
      <c r="AB5" s="318">
        <f>E5+F5+G5</f>
        <v>108.7</v>
      </c>
    </row>
    <row r="6" ht="18.6" customHeight="1" spans="1:28">
      <c r="A6" s="6">
        <v>2</v>
      </c>
      <c r="B6" s="264">
        <v>24.6</v>
      </c>
      <c r="C6" s="265" t="s">
        <v>35</v>
      </c>
      <c r="D6" s="266">
        <v>143192</v>
      </c>
      <c r="E6" s="267">
        <v>106.6</v>
      </c>
      <c r="F6" s="267">
        <v>0</v>
      </c>
      <c r="G6" s="267">
        <v>0</v>
      </c>
      <c r="H6" s="268">
        <v>50</v>
      </c>
      <c r="I6" s="6">
        <v>4106</v>
      </c>
      <c r="J6" s="274">
        <v>50500.0000000109</v>
      </c>
      <c r="K6" s="275">
        <v>20520</v>
      </c>
      <c r="L6" s="275">
        <v>34</v>
      </c>
      <c r="M6" s="275">
        <v>1278</v>
      </c>
      <c r="N6" s="275">
        <v>480</v>
      </c>
      <c r="O6" s="276">
        <v>2.49</v>
      </c>
      <c r="P6" s="276">
        <v>0</v>
      </c>
      <c r="Q6" s="285">
        <v>5529</v>
      </c>
      <c r="R6" s="286">
        <f t="shared" ref="R6:R36" si="0">D6-Q6</f>
        <v>137663</v>
      </c>
      <c r="S6" s="287"/>
      <c r="T6" s="288" t="s">
        <v>37</v>
      </c>
      <c r="U6" s="289">
        <f>L37*W6/1000</f>
        <v>1965.6</v>
      </c>
      <c r="V6" s="282">
        <f>U5+U6</f>
        <v>135856.6</v>
      </c>
      <c r="W6" s="57">
        <v>10400</v>
      </c>
      <c r="X6" s="282">
        <f>L36/R36*1000</f>
        <v>0.0312830209665759</v>
      </c>
      <c r="Y6" s="281">
        <v>5784.76</v>
      </c>
      <c r="Z6" s="317">
        <v>44256</v>
      </c>
      <c r="AB6" s="318">
        <f t="shared" ref="AB6:AB35" si="1">E6+F6+G6</f>
        <v>106.6</v>
      </c>
    </row>
    <row r="7" ht="18.6" customHeight="1" spans="1:28">
      <c r="A7" s="6">
        <v>3</v>
      </c>
      <c r="B7" s="264">
        <v>23.7</v>
      </c>
      <c r="C7" s="265" t="s">
        <v>35</v>
      </c>
      <c r="D7" s="266">
        <v>162537</v>
      </c>
      <c r="E7" s="267">
        <v>36.8</v>
      </c>
      <c r="F7" s="267">
        <v>0</v>
      </c>
      <c r="G7" s="267">
        <v>0</v>
      </c>
      <c r="H7" s="268">
        <v>0</v>
      </c>
      <c r="I7" s="6">
        <v>4224</v>
      </c>
      <c r="J7" s="274">
        <v>47099.9999999913</v>
      </c>
      <c r="K7" s="275">
        <v>4680</v>
      </c>
      <c r="L7" s="275">
        <v>10</v>
      </c>
      <c r="M7" s="275">
        <v>1136</v>
      </c>
      <c r="N7" s="275">
        <v>432</v>
      </c>
      <c r="O7" s="276">
        <v>2.44</v>
      </c>
      <c r="P7" s="276">
        <v>0</v>
      </c>
      <c r="Q7" s="285">
        <v>5437</v>
      </c>
      <c r="R7" s="286">
        <f t="shared" si="0"/>
        <v>157100</v>
      </c>
      <c r="S7" s="287"/>
      <c r="T7" s="288" t="s">
        <v>38</v>
      </c>
      <c r="U7" s="289">
        <f>M37*W7/1000</f>
        <v>38193.03</v>
      </c>
      <c r="V7" s="282"/>
      <c r="W7" s="57">
        <v>430</v>
      </c>
      <c r="X7" s="282">
        <f>M36/R36*1000</f>
        <v>14.7015301866256</v>
      </c>
      <c r="Y7" s="281">
        <v>182</v>
      </c>
      <c r="Z7" s="317">
        <v>44228</v>
      </c>
      <c r="AB7" s="318">
        <f t="shared" si="1"/>
        <v>36.8</v>
      </c>
    </row>
    <row r="8" ht="18.6" customHeight="1" spans="1:28">
      <c r="A8" s="6">
        <v>4</v>
      </c>
      <c r="B8" s="264">
        <v>23.1</v>
      </c>
      <c r="C8" s="265" t="s">
        <v>39</v>
      </c>
      <c r="D8" s="266">
        <v>213787</v>
      </c>
      <c r="E8" s="267">
        <v>0</v>
      </c>
      <c r="F8" s="267">
        <v>0</v>
      </c>
      <c r="G8" s="267">
        <v>0</v>
      </c>
      <c r="H8" s="268">
        <v>50</v>
      </c>
      <c r="I8" s="6">
        <v>4990</v>
      </c>
      <c r="J8" s="274">
        <v>53000.0000000109</v>
      </c>
      <c r="K8" s="275">
        <v>0</v>
      </c>
      <c r="L8" s="275">
        <v>0</v>
      </c>
      <c r="M8" s="275">
        <v>1207</v>
      </c>
      <c r="N8" s="275">
        <v>456</v>
      </c>
      <c r="O8" s="276">
        <v>2.36</v>
      </c>
      <c r="P8" s="276">
        <v>0</v>
      </c>
      <c r="Q8" s="285">
        <v>5595</v>
      </c>
      <c r="R8" s="286">
        <f t="shared" si="0"/>
        <v>208192</v>
      </c>
      <c r="S8" s="287"/>
      <c r="T8" s="288" t="s">
        <v>40</v>
      </c>
      <c r="U8" s="289">
        <f>N37*W8/1000</f>
        <v>185826.096</v>
      </c>
      <c r="V8" s="282">
        <f>U7+U8</f>
        <v>224019.126</v>
      </c>
      <c r="W8" s="57">
        <v>5826</v>
      </c>
      <c r="X8" s="282">
        <f>N36/R36*1000</f>
        <v>5.27938220502595</v>
      </c>
      <c r="Y8" s="57">
        <v>5507.8</v>
      </c>
      <c r="Z8" s="317">
        <v>44317</v>
      </c>
      <c r="AB8" s="318">
        <f t="shared" si="1"/>
        <v>0</v>
      </c>
    </row>
    <row r="9" ht="18.6" customHeight="1" spans="1:28">
      <c r="A9" s="6">
        <v>5</v>
      </c>
      <c r="B9" s="264">
        <v>23</v>
      </c>
      <c r="C9" s="265" t="s">
        <v>35</v>
      </c>
      <c r="D9" s="266">
        <v>207994</v>
      </c>
      <c r="E9" s="267">
        <v>0</v>
      </c>
      <c r="F9" s="267">
        <v>0</v>
      </c>
      <c r="G9" s="267">
        <v>120</v>
      </c>
      <c r="H9" s="268">
        <v>200</v>
      </c>
      <c r="I9" s="6">
        <v>4986</v>
      </c>
      <c r="J9" s="277">
        <v>56199.9999999898</v>
      </c>
      <c r="K9" s="275">
        <v>600</v>
      </c>
      <c r="L9" s="275">
        <v>3</v>
      </c>
      <c r="M9" s="275">
        <v>3053</v>
      </c>
      <c r="N9" s="275">
        <v>1080</v>
      </c>
      <c r="O9" s="276">
        <v>2.16</v>
      </c>
      <c r="P9" s="276">
        <v>0</v>
      </c>
      <c r="Q9" s="285">
        <v>5526</v>
      </c>
      <c r="R9" s="286">
        <f t="shared" si="0"/>
        <v>202468</v>
      </c>
      <c r="S9" s="287"/>
      <c r="T9" s="288" t="s">
        <v>41</v>
      </c>
      <c r="U9" s="289">
        <f>K37*W9/1000</f>
        <v>23176.8</v>
      </c>
      <c r="V9" s="282"/>
      <c r="W9" s="57">
        <v>348</v>
      </c>
      <c r="X9" s="282">
        <f>K36/R36*1000</f>
        <v>11.0235407215553</v>
      </c>
      <c r="Y9" s="281">
        <v>370</v>
      </c>
      <c r="Z9" s="317">
        <v>44228</v>
      </c>
      <c r="AB9" s="318">
        <f t="shared" si="1"/>
        <v>120</v>
      </c>
    </row>
    <row r="10" ht="18.6" customHeight="1" spans="1:28">
      <c r="A10" s="6">
        <v>6</v>
      </c>
      <c r="B10" s="264">
        <v>22.8</v>
      </c>
      <c r="C10" s="265" t="s">
        <v>35</v>
      </c>
      <c r="D10" s="266">
        <v>185971</v>
      </c>
      <c r="E10" s="267">
        <v>178.68</v>
      </c>
      <c r="F10" s="267">
        <v>0</v>
      </c>
      <c r="G10" s="267">
        <v>15</v>
      </c>
      <c r="H10" s="268">
        <v>200</v>
      </c>
      <c r="I10" s="6">
        <v>4428</v>
      </c>
      <c r="J10" s="274">
        <v>54300.0000000029</v>
      </c>
      <c r="K10" s="275">
        <v>3120</v>
      </c>
      <c r="L10" s="275">
        <v>8</v>
      </c>
      <c r="M10" s="275">
        <v>4260</v>
      </c>
      <c r="N10" s="275">
        <v>1488</v>
      </c>
      <c r="O10" s="276">
        <v>2.15</v>
      </c>
      <c r="P10" s="276">
        <v>0</v>
      </c>
      <c r="Q10" s="285">
        <v>5528</v>
      </c>
      <c r="R10" s="286">
        <f t="shared" si="0"/>
        <v>180443</v>
      </c>
      <c r="S10" s="287"/>
      <c r="T10" s="288" t="s">
        <v>42</v>
      </c>
      <c r="U10" s="289">
        <f>T18</f>
        <v>88806.91</v>
      </c>
      <c r="V10" s="282" t="s">
        <v>43</v>
      </c>
      <c r="W10" s="290"/>
      <c r="X10" s="290"/>
      <c r="Y10" s="319"/>
      <c r="Z10" s="319"/>
      <c r="AB10" s="318">
        <f t="shared" si="1"/>
        <v>193.68</v>
      </c>
    </row>
    <row r="11" ht="18.6" customHeight="1" spans="1:28">
      <c r="A11" s="6">
        <v>7</v>
      </c>
      <c r="B11" s="264">
        <v>22.5</v>
      </c>
      <c r="C11" s="265" t="s">
        <v>35</v>
      </c>
      <c r="D11" s="266">
        <v>184629</v>
      </c>
      <c r="E11" s="267">
        <v>165.36</v>
      </c>
      <c r="F11" s="267">
        <v>0</v>
      </c>
      <c r="G11" s="267">
        <v>0</v>
      </c>
      <c r="H11" s="268">
        <v>225</v>
      </c>
      <c r="I11" s="14">
        <v>4992</v>
      </c>
      <c r="J11" s="277">
        <v>53099.9999999949</v>
      </c>
      <c r="K11" s="275">
        <v>1800</v>
      </c>
      <c r="L11" s="275">
        <v>2</v>
      </c>
      <c r="M11" s="275">
        <v>2840</v>
      </c>
      <c r="N11" s="275">
        <v>1080</v>
      </c>
      <c r="O11" s="276">
        <v>2.28</v>
      </c>
      <c r="P11" s="276">
        <v>0</v>
      </c>
      <c r="Q11" s="285">
        <v>5520</v>
      </c>
      <c r="R11" s="286">
        <f t="shared" si="0"/>
        <v>179109</v>
      </c>
      <c r="S11" s="287"/>
      <c r="T11" s="288" t="s">
        <v>44</v>
      </c>
      <c r="U11" s="289">
        <f>汇总!J5*4.21</f>
        <v>17383.09</v>
      </c>
      <c r="V11" s="282"/>
      <c r="W11" s="57">
        <v>4.21</v>
      </c>
      <c r="X11" s="57"/>
      <c r="Y11" s="57"/>
      <c r="Z11" s="281"/>
      <c r="AB11" s="318">
        <f t="shared" si="1"/>
        <v>165.36</v>
      </c>
    </row>
    <row r="12" ht="18.6" customHeight="1" spans="1:28">
      <c r="A12" s="6">
        <v>8</v>
      </c>
      <c r="B12" s="264">
        <v>22.6</v>
      </c>
      <c r="C12" s="265" t="s">
        <v>35</v>
      </c>
      <c r="D12" s="268">
        <v>195393</v>
      </c>
      <c r="E12" s="267">
        <v>181.78</v>
      </c>
      <c r="F12" s="267">
        <v>0</v>
      </c>
      <c r="G12" s="267">
        <v>0</v>
      </c>
      <c r="H12" s="268">
        <v>200</v>
      </c>
      <c r="I12" s="6">
        <v>4726</v>
      </c>
      <c r="J12" s="274">
        <v>52399.9999999978</v>
      </c>
      <c r="K12" s="275">
        <v>0</v>
      </c>
      <c r="L12" s="275">
        <v>0</v>
      </c>
      <c r="M12" s="275">
        <v>1562</v>
      </c>
      <c r="N12" s="275">
        <v>600</v>
      </c>
      <c r="O12" s="276">
        <v>2.16</v>
      </c>
      <c r="P12" s="276">
        <v>0</v>
      </c>
      <c r="Q12" s="285">
        <v>5528</v>
      </c>
      <c r="R12" s="286">
        <f t="shared" si="0"/>
        <v>189865</v>
      </c>
      <c r="S12" s="287"/>
      <c r="T12" s="291"/>
      <c r="U12" s="292"/>
      <c r="V12" s="290"/>
      <c r="W12" s="290"/>
      <c r="X12" s="290"/>
      <c r="AB12" s="318">
        <f t="shared" si="1"/>
        <v>181.78</v>
      </c>
    </row>
    <row r="13" ht="18.6" customHeight="1" spans="1:28">
      <c r="A13" s="6">
        <v>9</v>
      </c>
      <c r="B13" s="264">
        <v>25.1</v>
      </c>
      <c r="C13" s="265" t="s">
        <v>35</v>
      </c>
      <c r="D13" s="266">
        <v>192802</v>
      </c>
      <c r="E13" s="267">
        <v>184.44</v>
      </c>
      <c r="F13" s="267">
        <v>0</v>
      </c>
      <c r="G13" s="267">
        <v>0</v>
      </c>
      <c r="H13" s="268">
        <v>200</v>
      </c>
      <c r="I13" s="6">
        <v>5236</v>
      </c>
      <c r="J13" s="274">
        <v>56400.0000000124</v>
      </c>
      <c r="K13" s="275">
        <v>3240</v>
      </c>
      <c r="L13" s="275">
        <v>2</v>
      </c>
      <c r="M13" s="275">
        <v>3053</v>
      </c>
      <c r="N13" s="275">
        <v>1080</v>
      </c>
      <c r="O13" s="276">
        <v>1.99</v>
      </c>
      <c r="P13" s="276">
        <v>0</v>
      </c>
      <c r="Q13" s="285">
        <v>5520</v>
      </c>
      <c r="R13" s="286">
        <f t="shared" si="0"/>
        <v>187282</v>
      </c>
      <c r="S13" s="287"/>
      <c r="T13" s="288"/>
      <c r="U13" s="293">
        <f>U14/R37</f>
        <v>0.0634023291119462</v>
      </c>
      <c r="V13" s="57"/>
      <c r="W13" s="57"/>
      <c r="X13" s="290"/>
      <c r="AB13" s="318">
        <f t="shared" si="1"/>
        <v>184.44</v>
      </c>
    </row>
    <row r="14" ht="18.6" customHeight="1" spans="1:28">
      <c r="A14" s="6">
        <v>10</v>
      </c>
      <c r="B14" s="264">
        <v>25.5</v>
      </c>
      <c r="C14" s="265" t="s">
        <v>35</v>
      </c>
      <c r="D14" s="266">
        <v>202452</v>
      </c>
      <c r="E14" s="267">
        <v>196.26</v>
      </c>
      <c r="F14" s="267">
        <v>0</v>
      </c>
      <c r="G14" s="267">
        <v>0</v>
      </c>
      <c r="H14" s="268">
        <v>225</v>
      </c>
      <c r="I14" s="6">
        <v>5064</v>
      </c>
      <c r="J14" s="274">
        <v>56800.0000000029</v>
      </c>
      <c r="K14" s="275">
        <v>2040</v>
      </c>
      <c r="L14" s="275">
        <v>3</v>
      </c>
      <c r="M14" s="275">
        <v>4260</v>
      </c>
      <c r="N14" s="275">
        <v>1488</v>
      </c>
      <c r="O14" s="276">
        <v>1.74</v>
      </c>
      <c r="P14" s="276">
        <v>0</v>
      </c>
      <c r="Q14" s="285">
        <v>5520</v>
      </c>
      <c r="R14" s="286">
        <f t="shared" si="0"/>
        <v>196932</v>
      </c>
      <c r="S14" s="287"/>
      <c r="T14" s="294" t="s">
        <v>45</v>
      </c>
      <c r="U14" s="295">
        <f>U5+U6+U7+U8+U9</f>
        <v>383052.526</v>
      </c>
      <c r="V14" s="296" t="s">
        <v>46</v>
      </c>
      <c r="W14" s="297">
        <f>U6+U9</f>
        <v>25142.4</v>
      </c>
      <c r="X14" s="290"/>
      <c r="AB14" s="318">
        <f t="shared" si="1"/>
        <v>196.26</v>
      </c>
    </row>
    <row r="15" ht="18.6" customHeight="1" spans="1:28">
      <c r="A15" s="6">
        <v>11</v>
      </c>
      <c r="B15" s="264">
        <v>23</v>
      </c>
      <c r="C15" s="265" t="s">
        <v>39</v>
      </c>
      <c r="D15" s="266">
        <v>196494</v>
      </c>
      <c r="E15" s="267">
        <v>176.46</v>
      </c>
      <c r="F15" s="267">
        <v>0</v>
      </c>
      <c r="G15" s="267">
        <v>0</v>
      </c>
      <c r="H15" s="268">
        <v>200</v>
      </c>
      <c r="I15" s="6">
        <v>4802</v>
      </c>
      <c r="J15" s="277">
        <v>56899.9999999869</v>
      </c>
      <c r="K15" s="275">
        <v>2280</v>
      </c>
      <c r="L15" s="275">
        <v>9</v>
      </c>
      <c r="M15" s="275">
        <v>4473</v>
      </c>
      <c r="N15" s="275">
        <v>1560</v>
      </c>
      <c r="O15" s="276">
        <v>2.78</v>
      </c>
      <c r="P15" s="276">
        <v>0</v>
      </c>
      <c r="Q15" s="285">
        <v>5512</v>
      </c>
      <c r="R15" s="286">
        <f t="shared" si="0"/>
        <v>190982</v>
      </c>
      <c r="S15" s="287"/>
      <c r="T15" s="294" t="s">
        <v>47</v>
      </c>
      <c r="U15" s="298" t="s">
        <v>48</v>
      </c>
      <c r="V15" s="298" t="s">
        <v>49</v>
      </c>
      <c r="W15" s="299" t="s">
        <v>50</v>
      </c>
      <c r="X15" s="290"/>
      <c r="AB15" s="318">
        <f t="shared" si="1"/>
        <v>176.46</v>
      </c>
    </row>
    <row r="16" ht="18.6" customHeight="1" spans="1:28">
      <c r="A16" s="6">
        <v>12</v>
      </c>
      <c r="B16" s="264">
        <v>22.5</v>
      </c>
      <c r="C16" s="265" t="s">
        <v>39</v>
      </c>
      <c r="D16" s="266">
        <v>206094</v>
      </c>
      <c r="E16" s="267">
        <v>140.08</v>
      </c>
      <c r="F16" s="267">
        <v>0</v>
      </c>
      <c r="G16" s="267">
        <v>0</v>
      </c>
      <c r="H16" s="268">
        <v>200</v>
      </c>
      <c r="I16" s="6">
        <v>4582</v>
      </c>
      <c r="J16" s="278">
        <v>55799.9999999993</v>
      </c>
      <c r="K16" s="275">
        <v>1200</v>
      </c>
      <c r="L16" s="275">
        <v>5</v>
      </c>
      <c r="M16" s="275">
        <v>2840</v>
      </c>
      <c r="N16" s="275">
        <v>1032</v>
      </c>
      <c r="O16" s="276">
        <v>2.75</v>
      </c>
      <c r="P16" s="276">
        <v>0</v>
      </c>
      <c r="Q16" s="285">
        <v>5520</v>
      </c>
      <c r="R16" s="286">
        <f t="shared" si="0"/>
        <v>200574</v>
      </c>
      <c r="S16" s="287"/>
      <c r="T16" s="300">
        <f>U16+V16+W16</f>
        <v>4075.04</v>
      </c>
      <c r="U16" s="297">
        <f>F37</f>
        <v>1023.04</v>
      </c>
      <c r="V16" s="297">
        <f>E37</f>
        <v>2872</v>
      </c>
      <c r="W16" s="297">
        <f>G37</f>
        <v>180</v>
      </c>
      <c r="X16" s="290"/>
      <c r="AB16" s="318">
        <f t="shared" si="1"/>
        <v>140.08</v>
      </c>
    </row>
    <row r="17" ht="18.6" customHeight="1" spans="1:28">
      <c r="A17" s="6">
        <v>13</v>
      </c>
      <c r="B17" s="264">
        <v>22.3</v>
      </c>
      <c r="C17" s="265" t="s">
        <v>39</v>
      </c>
      <c r="D17" s="266">
        <v>209679</v>
      </c>
      <c r="E17" s="267">
        <v>70.74</v>
      </c>
      <c r="F17" s="267">
        <v>88.9</v>
      </c>
      <c r="G17" s="267">
        <v>0</v>
      </c>
      <c r="H17" s="268">
        <v>125</v>
      </c>
      <c r="I17" s="6">
        <v>5580</v>
      </c>
      <c r="J17" s="278">
        <v>55900.0000000015</v>
      </c>
      <c r="K17" s="275">
        <v>0</v>
      </c>
      <c r="L17" s="275">
        <v>0</v>
      </c>
      <c r="M17" s="275">
        <v>2627</v>
      </c>
      <c r="N17" s="275">
        <v>960</v>
      </c>
      <c r="O17" s="276">
        <v>2.36</v>
      </c>
      <c r="P17" s="276">
        <v>0</v>
      </c>
      <c r="Q17" s="285">
        <v>5584</v>
      </c>
      <c r="R17" s="286">
        <f t="shared" si="0"/>
        <v>204095</v>
      </c>
      <c r="S17" s="287"/>
      <c r="T17" s="294" t="s">
        <v>51</v>
      </c>
      <c r="U17" s="301">
        <v>22.8</v>
      </c>
      <c r="V17" s="301">
        <v>22.8</v>
      </c>
      <c r="W17" s="296"/>
      <c r="X17" s="290"/>
      <c r="AB17" s="318">
        <f t="shared" si="1"/>
        <v>159.64</v>
      </c>
    </row>
    <row r="18" ht="18.6" customHeight="1" spans="1:28">
      <c r="A18" s="6">
        <v>14</v>
      </c>
      <c r="B18" s="264">
        <v>22.5</v>
      </c>
      <c r="C18" s="265" t="s">
        <v>39</v>
      </c>
      <c r="D18" s="266">
        <v>213685</v>
      </c>
      <c r="E18" s="267">
        <v>91.58</v>
      </c>
      <c r="F18" s="267">
        <v>0</v>
      </c>
      <c r="G18" s="267">
        <v>0</v>
      </c>
      <c r="H18" s="268">
        <v>175</v>
      </c>
      <c r="I18" s="6">
        <v>4744</v>
      </c>
      <c r="J18" s="278">
        <v>56800.0000000029</v>
      </c>
      <c r="K18" s="275">
        <v>0</v>
      </c>
      <c r="L18" s="275">
        <v>0</v>
      </c>
      <c r="M18" s="275">
        <v>2130</v>
      </c>
      <c r="N18" s="275">
        <v>768</v>
      </c>
      <c r="O18" s="276">
        <v>1.78</v>
      </c>
      <c r="P18" s="276">
        <v>0</v>
      </c>
      <c r="Q18" s="285">
        <v>5467</v>
      </c>
      <c r="R18" s="286">
        <f t="shared" si="0"/>
        <v>208218</v>
      </c>
      <c r="S18" s="287"/>
      <c r="T18" s="300">
        <f>U18+V18</f>
        <v>88806.91</v>
      </c>
      <c r="U18" s="302">
        <f>ROUND(U16*U17,2)</f>
        <v>23325.31</v>
      </c>
      <c r="V18" s="299">
        <f>ROUND(V16*V17,2)</f>
        <v>65481.6</v>
      </c>
      <c r="W18" s="296"/>
      <c r="X18" s="290"/>
      <c r="AB18" s="318">
        <f t="shared" si="1"/>
        <v>91.58</v>
      </c>
    </row>
    <row r="19" ht="18.6" customHeight="1" spans="1:28">
      <c r="A19" s="6">
        <v>15</v>
      </c>
      <c r="B19" s="264">
        <v>23.3</v>
      </c>
      <c r="C19" s="265" t="s">
        <v>35</v>
      </c>
      <c r="D19" s="266">
        <v>212734</v>
      </c>
      <c r="E19" s="267">
        <v>179.3</v>
      </c>
      <c r="F19" s="267">
        <v>0</v>
      </c>
      <c r="G19" s="267">
        <v>0</v>
      </c>
      <c r="H19" s="268">
        <v>200</v>
      </c>
      <c r="I19" s="6">
        <v>4934</v>
      </c>
      <c r="J19" s="278">
        <v>57600.0000000022</v>
      </c>
      <c r="K19" s="275">
        <v>0</v>
      </c>
      <c r="L19" s="275">
        <v>0</v>
      </c>
      <c r="M19" s="275">
        <v>1633</v>
      </c>
      <c r="N19" s="275">
        <v>600</v>
      </c>
      <c r="O19" s="276">
        <v>2.03</v>
      </c>
      <c r="P19" s="276">
        <v>0</v>
      </c>
      <c r="Q19" s="285">
        <v>5536</v>
      </c>
      <c r="R19" s="286">
        <f t="shared" si="0"/>
        <v>207198</v>
      </c>
      <c r="S19" s="287"/>
      <c r="T19" s="294" t="s">
        <v>52</v>
      </c>
      <c r="U19" s="298"/>
      <c r="V19" s="301">
        <v>0</v>
      </c>
      <c r="W19" s="296"/>
      <c r="X19" s="290"/>
      <c r="AB19" s="318">
        <f t="shared" si="1"/>
        <v>179.3</v>
      </c>
    </row>
    <row r="20" ht="18.6" customHeight="1" spans="1:28">
      <c r="A20" s="6">
        <v>16</v>
      </c>
      <c r="B20" s="264">
        <v>22.1</v>
      </c>
      <c r="C20" s="265" t="s">
        <v>35</v>
      </c>
      <c r="D20" s="266">
        <v>214205</v>
      </c>
      <c r="E20" s="267">
        <v>180.42</v>
      </c>
      <c r="F20" s="267">
        <v>0</v>
      </c>
      <c r="G20" s="267">
        <v>0</v>
      </c>
      <c r="H20" s="268">
        <v>200</v>
      </c>
      <c r="I20" s="6">
        <v>4824</v>
      </c>
      <c r="J20" s="278">
        <v>53500.0000000036</v>
      </c>
      <c r="K20" s="275">
        <v>600</v>
      </c>
      <c r="L20" s="275">
        <v>3</v>
      </c>
      <c r="M20" s="275">
        <v>3550</v>
      </c>
      <c r="N20" s="275">
        <v>1248</v>
      </c>
      <c r="O20" s="276">
        <v>2.25</v>
      </c>
      <c r="P20" s="276">
        <v>0</v>
      </c>
      <c r="Q20" s="285">
        <v>5515</v>
      </c>
      <c r="R20" s="286">
        <f t="shared" si="0"/>
        <v>208690</v>
      </c>
      <c r="S20" s="287"/>
      <c r="T20" s="300">
        <f>U20+V20</f>
        <v>0</v>
      </c>
      <c r="U20" s="298"/>
      <c r="V20" s="299">
        <f>ROUND(V16*V19,2)</f>
        <v>0</v>
      </c>
      <c r="W20" s="296"/>
      <c r="X20" s="290"/>
      <c r="AB20" s="318">
        <f t="shared" si="1"/>
        <v>180.42</v>
      </c>
    </row>
    <row r="21" ht="18.6" customHeight="1" spans="1:28">
      <c r="A21" s="6">
        <v>17</v>
      </c>
      <c r="B21" s="264">
        <v>23.5</v>
      </c>
      <c r="C21" s="265" t="s">
        <v>39</v>
      </c>
      <c r="D21" s="266">
        <v>208911</v>
      </c>
      <c r="E21" s="267">
        <v>179.96</v>
      </c>
      <c r="F21" s="267">
        <v>17.44</v>
      </c>
      <c r="G21" s="267">
        <v>0</v>
      </c>
      <c r="H21" s="268">
        <v>225</v>
      </c>
      <c r="I21" s="6">
        <v>4966</v>
      </c>
      <c r="J21" s="278">
        <v>55599.9999999949</v>
      </c>
      <c r="K21" s="275">
        <v>5640</v>
      </c>
      <c r="L21" s="275">
        <v>23</v>
      </c>
      <c r="M21" s="275">
        <v>4118</v>
      </c>
      <c r="N21" s="275">
        <v>1440</v>
      </c>
      <c r="O21" s="276">
        <v>2.78</v>
      </c>
      <c r="P21" s="276">
        <v>0</v>
      </c>
      <c r="Q21" s="285">
        <v>5538</v>
      </c>
      <c r="R21" s="286">
        <f t="shared" si="0"/>
        <v>203373</v>
      </c>
      <c r="S21" s="287"/>
      <c r="T21" s="294" t="s">
        <v>53</v>
      </c>
      <c r="U21" s="303" t="s">
        <v>54</v>
      </c>
      <c r="V21" s="283">
        <f>V17+V19</f>
        <v>22.8</v>
      </c>
      <c r="W21" s="57" t="s">
        <v>55</v>
      </c>
      <c r="X21" s="290"/>
      <c r="AB21" s="318">
        <f t="shared" si="1"/>
        <v>197.4</v>
      </c>
    </row>
    <row r="22" ht="18.6" customHeight="1" spans="1:28">
      <c r="A22" s="6">
        <v>18</v>
      </c>
      <c r="B22" s="264">
        <v>23</v>
      </c>
      <c r="C22" s="265" t="s">
        <v>39</v>
      </c>
      <c r="D22" s="266">
        <v>209058</v>
      </c>
      <c r="E22" s="267">
        <v>172.06</v>
      </c>
      <c r="F22" s="267">
        <v>0</v>
      </c>
      <c r="G22" s="267">
        <v>0</v>
      </c>
      <c r="H22" s="268">
        <v>225</v>
      </c>
      <c r="I22" s="6">
        <v>4908</v>
      </c>
      <c r="J22" s="64">
        <v>53899.9999999942</v>
      </c>
      <c r="K22" s="275">
        <v>3240</v>
      </c>
      <c r="L22" s="275">
        <v>11</v>
      </c>
      <c r="M22" s="275">
        <v>4189</v>
      </c>
      <c r="N22" s="275">
        <v>1488</v>
      </c>
      <c r="O22" s="276">
        <v>2.15</v>
      </c>
      <c r="P22" s="276">
        <v>0</v>
      </c>
      <c r="Q22" s="285">
        <v>5512</v>
      </c>
      <c r="R22" s="286">
        <f t="shared" si="0"/>
        <v>203546</v>
      </c>
      <c r="S22" s="287"/>
      <c r="T22" s="300">
        <f>T18+T20</f>
        <v>88806.91</v>
      </c>
      <c r="U22" s="303"/>
      <c r="V22" s="57"/>
      <c r="W22" s="304">
        <f>T16-E37-F37-G37</f>
        <v>2.27373675443232e-13</v>
      </c>
      <c r="X22" s="290"/>
      <c r="AB22" s="318">
        <f t="shared" si="1"/>
        <v>172.06</v>
      </c>
    </row>
    <row r="23" ht="18.6" customHeight="1" spans="1:28">
      <c r="A23" s="6">
        <v>19</v>
      </c>
      <c r="B23" s="264">
        <v>22.8</v>
      </c>
      <c r="C23" s="265" t="s">
        <v>39</v>
      </c>
      <c r="D23" s="266">
        <v>212964</v>
      </c>
      <c r="E23" s="267">
        <v>174.56</v>
      </c>
      <c r="F23" s="267">
        <v>0</v>
      </c>
      <c r="G23" s="267">
        <v>0</v>
      </c>
      <c r="H23" s="268">
        <v>125</v>
      </c>
      <c r="I23" s="6">
        <v>4478</v>
      </c>
      <c r="J23" s="64">
        <v>55000</v>
      </c>
      <c r="K23" s="275">
        <v>2280</v>
      </c>
      <c r="L23" s="275">
        <v>5</v>
      </c>
      <c r="M23" s="275">
        <v>3905</v>
      </c>
      <c r="N23" s="275">
        <v>1344</v>
      </c>
      <c r="O23" s="276">
        <v>2.12</v>
      </c>
      <c r="P23" s="276">
        <v>0</v>
      </c>
      <c r="Q23" s="285">
        <v>5528</v>
      </c>
      <c r="R23" s="286">
        <f t="shared" si="0"/>
        <v>207436</v>
      </c>
      <c r="S23" s="287"/>
      <c r="T23" s="288"/>
      <c r="U23" s="305"/>
      <c r="V23" s="57"/>
      <c r="W23" s="57"/>
      <c r="X23" s="57"/>
      <c r="AB23" s="318">
        <f t="shared" si="1"/>
        <v>174.56</v>
      </c>
    </row>
    <row r="24" ht="18.6" customHeight="1" spans="1:28">
      <c r="A24" s="6">
        <v>20</v>
      </c>
      <c r="B24" s="264">
        <v>22.5</v>
      </c>
      <c r="C24" s="265" t="s">
        <v>39</v>
      </c>
      <c r="D24" s="266">
        <v>214953</v>
      </c>
      <c r="E24" s="267">
        <v>83.44</v>
      </c>
      <c r="F24" s="267">
        <v>15.4</v>
      </c>
      <c r="G24" s="267">
        <v>0</v>
      </c>
      <c r="H24" s="268">
        <v>100</v>
      </c>
      <c r="I24" s="6">
        <v>4696</v>
      </c>
      <c r="J24" s="64">
        <v>50600.0000000131</v>
      </c>
      <c r="K24" s="275">
        <v>1080</v>
      </c>
      <c r="L24" s="275">
        <v>3</v>
      </c>
      <c r="M24" s="275">
        <v>2840</v>
      </c>
      <c r="N24" s="275">
        <v>1008</v>
      </c>
      <c r="O24" s="276">
        <v>2.04</v>
      </c>
      <c r="P24" s="276">
        <v>0</v>
      </c>
      <c r="Q24" s="285">
        <v>5528</v>
      </c>
      <c r="R24" s="286">
        <f t="shared" si="0"/>
        <v>209425</v>
      </c>
      <c r="S24" s="287"/>
      <c r="T24" s="288" t="s">
        <v>56</v>
      </c>
      <c r="U24" s="305" t="s">
        <v>57</v>
      </c>
      <c r="V24" s="306">
        <f>H37</f>
        <v>4775</v>
      </c>
      <c r="W24" s="57">
        <f>L37</f>
        <v>189</v>
      </c>
      <c r="X24" s="57"/>
      <c r="AB24" s="318">
        <f t="shared" si="1"/>
        <v>98.84</v>
      </c>
    </row>
    <row r="25" ht="18.6" customHeight="1" spans="1:28">
      <c r="A25" s="6">
        <v>21</v>
      </c>
      <c r="B25" s="264">
        <v>23</v>
      </c>
      <c r="C25" s="265" t="s">
        <v>35</v>
      </c>
      <c r="D25" s="266">
        <v>215073</v>
      </c>
      <c r="E25" s="267">
        <v>102.68</v>
      </c>
      <c r="F25" s="267">
        <v>0</v>
      </c>
      <c r="G25" s="267">
        <v>0</v>
      </c>
      <c r="H25" s="268">
        <v>100</v>
      </c>
      <c r="I25" s="6">
        <v>5024</v>
      </c>
      <c r="J25" s="278">
        <v>51599.9999999985</v>
      </c>
      <c r="K25" s="275">
        <v>0</v>
      </c>
      <c r="L25" s="275">
        <v>0</v>
      </c>
      <c r="M25" s="275">
        <v>2272</v>
      </c>
      <c r="N25" s="275">
        <v>816</v>
      </c>
      <c r="O25" s="276">
        <v>2.12</v>
      </c>
      <c r="P25" s="276">
        <v>0</v>
      </c>
      <c r="Q25" s="285">
        <v>5536</v>
      </c>
      <c r="R25" s="286">
        <f t="shared" si="0"/>
        <v>209537</v>
      </c>
      <c r="S25" s="287"/>
      <c r="T25" s="288"/>
      <c r="U25" s="305" t="s">
        <v>58</v>
      </c>
      <c r="V25" s="282">
        <f>汇总!F6</f>
        <v>5.26400556644501</v>
      </c>
      <c r="W25" s="282">
        <f>W24/R37*1000</f>
        <v>0.0312830209665758</v>
      </c>
      <c r="X25" s="57"/>
      <c r="AB25" s="318">
        <f t="shared" si="1"/>
        <v>102.68</v>
      </c>
    </row>
    <row r="26" ht="18.6" customHeight="1" spans="1:28">
      <c r="A26" s="6">
        <v>22</v>
      </c>
      <c r="B26" s="264">
        <v>25.3</v>
      </c>
      <c r="C26" s="265" t="s">
        <v>35</v>
      </c>
      <c r="D26" s="266">
        <v>216119</v>
      </c>
      <c r="E26" s="267">
        <v>72.94</v>
      </c>
      <c r="F26" s="267">
        <v>0</v>
      </c>
      <c r="G26" s="267">
        <v>15</v>
      </c>
      <c r="H26" s="268">
        <v>100</v>
      </c>
      <c r="I26" s="6">
        <v>4646</v>
      </c>
      <c r="J26" s="64">
        <v>53799.999999992</v>
      </c>
      <c r="K26" s="275">
        <v>0</v>
      </c>
      <c r="L26" s="275">
        <v>0</v>
      </c>
      <c r="M26" s="275">
        <v>1633</v>
      </c>
      <c r="N26" s="275">
        <v>600</v>
      </c>
      <c r="O26" s="276">
        <v>2.06</v>
      </c>
      <c r="P26" s="276">
        <v>0</v>
      </c>
      <c r="Q26" s="285">
        <v>5528</v>
      </c>
      <c r="R26" s="286">
        <f t="shared" si="0"/>
        <v>210591</v>
      </c>
      <c r="S26" s="287"/>
      <c r="T26" s="288" t="s">
        <v>10</v>
      </c>
      <c r="U26" s="305" t="s">
        <v>57</v>
      </c>
      <c r="V26" s="306">
        <f>K37</f>
        <v>66600</v>
      </c>
      <c r="W26" s="57"/>
      <c r="X26" s="57"/>
      <c r="AB26" s="318">
        <f t="shared" si="1"/>
        <v>87.94</v>
      </c>
    </row>
    <row r="27" ht="18.6" customHeight="1" spans="1:28">
      <c r="A27" s="6">
        <v>23</v>
      </c>
      <c r="B27" s="264">
        <v>21.8</v>
      </c>
      <c r="C27" s="265" t="s">
        <v>59</v>
      </c>
      <c r="D27" s="266">
        <v>211660</v>
      </c>
      <c r="E27" s="267">
        <v>0</v>
      </c>
      <c r="F27" s="267">
        <v>85.08</v>
      </c>
      <c r="G27" s="267">
        <v>15</v>
      </c>
      <c r="H27" s="268">
        <v>75</v>
      </c>
      <c r="I27" s="6">
        <v>4422</v>
      </c>
      <c r="J27" s="64">
        <v>52100.0000000095</v>
      </c>
      <c r="K27" s="275">
        <v>480</v>
      </c>
      <c r="L27" s="275">
        <v>2</v>
      </c>
      <c r="M27" s="275">
        <v>2982</v>
      </c>
      <c r="N27" s="275">
        <v>1080</v>
      </c>
      <c r="O27" s="276">
        <v>2.02</v>
      </c>
      <c r="P27" s="276">
        <v>0</v>
      </c>
      <c r="Q27" s="285">
        <v>5528</v>
      </c>
      <c r="R27" s="286">
        <f t="shared" si="0"/>
        <v>206132</v>
      </c>
      <c r="S27" s="287"/>
      <c r="T27" s="288"/>
      <c r="U27" s="305" t="s">
        <v>60</v>
      </c>
      <c r="V27" s="304">
        <f>ROUND(K37/R37*1000,1)</f>
        <v>11</v>
      </c>
      <c r="W27" s="57"/>
      <c r="X27" s="57"/>
      <c r="AB27" s="318">
        <f t="shared" si="1"/>
        <v>100.08</v>
      </c>
    </row>
    <row r="28" ht="18.6" customHeight="1" spans="1:28">
      <c r="A28" s="6">
        <v>24</v>
      </c>
      <c r="B28" s="264">
        <v>23</v>
      </c>
      <c r="C28" s="265" t="s">
        <v>35</v>
      </c>
      <c r="D28" s="266">
        <v>211857</v>
      </c>
      <c r="E28" s="267">
        <v>0</v>
      </c>
      <c r="F28" s="267">
        <v>86.32</v>
      </c>
      <c r="G28" s="267">
        <v>0</v>
      </c>
      <c r="H28" s="268">
        <v>150</v>
      </c>
      <c r="I28" s="6">
        <v>4716</v>
      </c>
      <c r="J28" s="64">
        <v>49699.9999999935</v>
      </c>
      <c r="K28" s="275">
        <v>3120</v>
      </c>
      <c r="L28" s="275">
        <v>8</v>
      </c>
      <c r="M28" s="275">
        <v>3550</v>
      </c>
      <c r="N28" s="275">
        <v>1320</v>
      </c>
      <c r="O28" s="276">
        <v>2.17</v>
      </c>
      <c r="P28" s="276">
        <v>0</v>
      </c>
      <c r="Q28" s="285">
        <v>5528</v>
      </c>
      <c r="R28" s="286">
        <f t="shared" si="0"/>
        <v>206329</v>
      </c>
      <c r="S28" s="287"/>
      <c r="T28" s="288" t="s">
        <v>12</v>
      </c>
      <c r="U28" s="305" t="s">
        <v>57</v>
      </c>
      <c r="V28" s="306">
        <f>M37</f>
        <v>88821</v>
      </c>
      <c r="W28" s="57"/>
      <c r="X28" s="57"/>
      <c r="AB28" s="318">
        <f t="shared" si="1"/>
        <v>86.32</v>
      </c>
    </row>
    <row r="29" ht="18.6" customHeight="1" spans="1:28">
      <c r="A29" s="6">
        <v>25</v>
      </c>
      <c r="B29" s="264">
        <v>25.2</v>
      </c>
      <c r="C29" s="265" t="s">
        <v>35</v>
      </c>
      <c r="D29" s="266">
        <v>213010</v>
      </c>
      <c r="E29" s="267">
        <v>89.16</v>
      </c>
      <c r="F29" s="267">
        <v>0</v>
      </c>
      <c r="G29" s="267">
        <v>15</v>
      </c>
      <c r="H29" s="268">
        <v>125</v>
      </c>
      <c r="I29" s="6">
        <v>4494</v>
      </c>
      <c r="J29" s="64">
        <v>52700.0000000044</v>
      </c>
      <c r="K29" s="275">
        <v>3240</v>
      </c>
      <c r="L29" s="275">
        <v>19</v>
      </c>
      <c r="M29" s="275">
        <v>3976</v>
      </c>
      <c r="N29" s="275">
        <v>1440</v>
      </c>
      <c r="O29" s="276">
        <v>2.23</v>
      </c>
      <c r="P29" s="276">
        <v>0</v>
      </c>
      <c r="Q29" s="285">
        <v>5544</v>
      </c>
      <c r="R29" s="286">
        <f t="shared" si="0"/>
        <v>207466</v>
      </c>
      <c r="S29" s="287"/>
      <c r="T29" s="288"/>
      <c r="U29" s="305" t="s">
        <v>60</v>
      </c>
      <c r="V29" s="307">
        <f>ROUND(M37/R37*1000,1)</f>
        <v>14.7</v>
      </c>
      <c r="W29" s="57"/>
      <c r="X29" s="57"/>
      <c r="AB29" s="318">
        <f t="shared" si="1"/>
        <v>104.16</v>
      </c>
    </row>
    <row r="30" ht="18.6" customHeight="1" spans="1:28">
      <c r="A30" s="6">
        <v>26</v>
      </c>
      <c r="B30" s="264">
        <v>24</v>
      </c>
      <c r="C30" s="265" t="s">
        <v>59</v>
      </c>
      <c r="D30" s="266">
        <v>213758</v>
      </c>
      <c r="E30" s="267">
        <v>0</v>
      </c>
      <c r="F30" s="267">
        <v>69.22</v>
      </c>
      <c r="G30" s="267">
        <v>0</v>
      </c>
      <c r="H30" s="268">
        <v>125</v>
      </c>
      <c r="I30" s="6">
        <v>4832</v>
      </c>
      <c r="J30" s="64">
        <v>49399.9999999869</v>
      </c>
      <c r="K30" s="275">
        <v>2280</v>
      </c>
      <c r="L30" s="275">
        <v>12</v>
      </c>
      <c r="M30" s="275">
        <v>2982</v>
      </c>
      <c r="N30" s="275">
        <v>1080</v>
      </c>
      <c r="O30" s="276">
        <v>2.56</v>
      </c>
      <c r="P30" s="276">
        <v>0</v>
      </c>
      <c r="Q30" s="285">
        <v>5552</v>
      </c>
      <c r="R30" s="286">
        <f t="shared" si="0"/>
        <v>208206</v>
      </c>
      <c r="S30" s="287"/>
      <c r="T30" s="288" t="s">
        <v>13</v>
      </c>
      <c r="U30" s="305" t="s">
        <v>57</v>
      </c>
      <c r="V30" s="306">
        <f>处理量!N37</f>
        <v>31896</v>
      </c>
      <c r="W30" s="57"/>
      <c r="X30" s="57"/>
      <c r="AB30" s="318">
        <f t="shared" si="1"/>
        <v>69.22</v>
      </c>
    </row>
    <row r="31" ht="18.6" customHeight="1" spans="1:28">
      <c r="A31" s="6">
        <v>27</v>
      </c>
      <c r="B31" s="264">
        <v>25</v>
      </c>
      <c r="C31" s="265" t="s">
        <v>35</v>
      </c>
      <c r="D31" s="266">
        <v>211196</v>
      </c>
      <c r="E31" s="267">
        <v>0</v>
      </c>
      <c r="F31" s="267">
        <v>87.32</v>
      </c>
      <c r="G31" s="267">
        <v>0</v>
      </c>
      <c r="H31" s="268">
        <v>125</v>
      </c>
      <c r="I31" s="6">
        <v>4646</v>
      </c>
      <c r="J31" s="64">
        <v>49900.000000016</v>
      </c>
      <c r="K31" s="275">
        <v>1320</v>
      </c>
      <c r="L31" s="275">
        <v>10</v>
      </c>
      <c r="M31" s="275">
        <v>2627</v>
      </c>
      <c r="N31" s="275">
        <v>960</v>
      </c>
      <c r="O31" s="276">
        <v>2.14</v>
      </c>
      <c r="P31" s="276">
        <v>0</v>
      </c>
      <c r="Q31" s="285">
        <v>5536</v>
      </c>
      <c r="R31" s="286">
        <f t="shared" si="0"/>
        <v>205660</v>
      </c>
      <c r="S31" s="287"/>
      <c r="T31" s="288"/>
      <c r="U31" s="305" t="s">
        <v>60</v>
      </c>
      <c r="V31" s="304">
        <f>ROUND(N37/R37*1000,2)</f>
        <v>5.28</v>
      </c>
      <c r="W31" s="57"/>
      <c r="X31" s="57"/>
      <c r="AB31" s="318">
        <f t="shared" si="1"/>
        <v>87.32</v>
      </c>
    </row>
    <row r="32" ht="18.6" customHeight="1" spans="1:28">
      <c r="A32" s="6">
        <v>28</v>
      </c>
      <c r="B32" s="264">
        <v>25</v>
      </c>
      <c r="C32" s="265" t="s">
        <v>35</v>
      </c>
      <c r="D32" s="266">
        <v>216266</v>
      </c>
      <c r="E32" s="267">
        <v>0</v>
      </c>
      <c r="F32" s="267">
        <v>85</v>
      </c>
      <c r="G32" s="267">
        <v>0</v>
      </c>
      <c r="H32" s="268">
        <v>175</v>
      </c>
      <c r="I32" s="6">
        <v>4470</v>
      </c>
      <c r="J32" s="64">
        <v>49699.9999999935</v>
      </c>
      <c r="K32" s="275">
        <v>0</v>
      </c>
      <c r="L32" s="275">
        <v>0</v>
      </c>
      <c r="M32" s="275">
        <v>2414</v>
      </c>
      <c r="N32" s="275">
        <v>888</v>
      </c>
      <c r="O32" s="276">
        <v>2.27</v>
      </c>
      <c r="P32" s="276">
        <v>0</v>
      </c>
      <c r="Q32" s="285">
        <v>5456</v>
      </c>
      <c r="R32" s="286">
        <f t="shared" si="0"/>
        <v>210810</v>
      </c>
      <c r="S32" s="287"/>
      <c r="T32" s="288" t="s">
        <v>61</v>
      </c>
      <c r="U32" s="305" t="s">
        <v>62</v>
      </c>
      <c r="V32" s="57">
        <f>O37</f>
        <v>68.7</v>
      </c>
      <c r="W32" s="57"/>
      <c r="X32" s="57"/>
      <c r="AB32" s="318">
        <f t="shared" si="1"/>
        <v>85</v>
      </c>
    </row>
    <row r="33" ht="18.6" customHeight="1" spans="1:28">
      <c r="A33" s="6">
        <v>29</v>
      </c>
      <c r="B33" s="264">
        <v>25.6</v>
      </c>
      <c r="C33" s="265" t="s">
        <v>35</v>
      </c>
      <c r="D33" s="266">
        <v>217934</v>
      </c>
      <c r="E33" s="267">
        <v>0</v>
      </c>
      <c r="F33" s="267">
        <v>162.2</v>
      </c>
      <c r="G33" s="267">
        <v>0</v>
      </c>
      <c r="H33" s="268">
        <v>225</v>
      </c>
      <c r="I33" s="6">
        <v>4498</v>
      </c>
      <c r="J33" s="64">
        <v>51599.9999999985</v>
      </c>
      <c r="K33" s="275">
        <v>720</v>
      </c>
      <c r="L33" s="275">
        <v>7</v>
      </c>
      <c r="M33" s="275">
        <v>1633</v>
      </c>
      <c r="N33" s="275">
        <v>600</v>
      </c>
      <c r="O33" s="276">
        <v>2.12</v>
      </c>
      <c r="P33" s="276">
        <v>0</v>
      </c>
      <c r="Q33" s="285">
        <v>5552</v>
      </c>
      <c r="R33" s="286">
        <f t="shared" si="0"/>
        <v>212382</v>
      </c>
      <c r="S33" s="287"/>
      <c r="T33" s="288"/>
      <c r="U33" s="305" t="s">
        <v>60</v>
      </c>
      <c r="V33" s="304">
        <f>ROUND(V32/R37*1000000,2)</f>
        <v>11.37</v>
      </c>
      <c r="W33" s="57"/>
      <c r="X33" s="57"/>
      <c r="AB33" s="318">
        <f t="shared" si="1"/>
        <v>162.2</v>
      </c>
    </row>
    <row r="34" ht="18.6" customHeight="1" spans="1:28">
      <c r="A34" s="6">
        <v>30</v>
      </c>
      <c r="B34" s="264">
        <v>26.1</v>
      </c>
      <c r="C34" s="265" t="s">
        <v>35</v>
      </c>
      <c r="D34" s="266">
        <v>217407</v>
      </c>
      <c r="E34" s="267">
        <v>0</v>
      </c>
      <c r="F34" s="267">
        <v>163.46</v>
      </c>
      <c r="G34" s="267">
        <v>0</v>
      </c>
      <c r="H34" s="268">
        <v>200</v>
      </c>
      <c r="I34" s="6">
        <v>4406</v>
      </c>
      <c r="J34" s="64">
        <v>52999.9999999927</v>
      </c>
      <c r="K34" s="275">
        <v>0</v>
      </c>
      <c r="L34" s="275">
        <v>0</v>
      </c>
      <c r="M34" s="275">
        <v>3053</v>
      </c>
      <c r="N34" s="275">
        <v>1080</v>
      </c>
      <c r="O34" s="276">
        <v>2.61</v>
      </c>
      <c r="P34" s="276">
        <v>0</v>
      </c>
      <c r="Q34" s="285">
        <v>5552</v>
      </c>
      <c r="R34" s="286">
        <f t="shared" si="0"/>
        <v>211855</v>
      </c>
      <c r="S34" s="287"/>
      <c r="T34" s="288"/>
      <c r="U34" s="305"/>
      <c r="V34" s="304"/>
      <c r="W34" s="57"/>
      <c r="X34" s="57"/>
      <c r="AB34" s="318">
        <f t="shared" si="1"/>
        <v>163.46</v>
      </c>
    </row>
    <row r="35" ht="18.6" customHeight="1" spans="1:28">
      <c r="A35" s="6">
        <v>31</v>
      </c>
      <c r="B35" s="264">
        <v>26</v>
      </c>
      <c r="C35" s="265" t="s">
        <v>39</v>
      </c>
      <c r="D35" s="266">
        <v>214581</v>
      </c>
      <c r="E35" s="267">
        <v>0</v>
      </c>
      <c r="F35" s="267">
        <v>162.7</v>
      </c>
      <c r="G35" s="267">
        <v>0</v>
      </c>
      <c r="H35" s="268">
        <v>150</v>
      </c>
      <c r="I35" s="6">
        <v>4416</v>
      </c>
      <c r="J35" s="64">
        <v>53100.0000000131</v>
      </c>
      <c r="K35" s="275">
        <v>360</v>
      </c>
      <c r="L35" s="275">
        <v>3</v>
      </c>
      <c r="M35" s="275">
        <v>4615</v>
      </c>
      <c r="N35" s="275">
        <v>1608</v>
      </c>
      <c r="O35" s="276">
        <v>2.06</v>
      </c>
      <c r="P35" s="276">
        <v>0</v>
      </c>
      <c r="Q35" s="285">
        <v>5536</v>
      </c>
      <c r="R35" s="286">
        <f t="shared" si="0"/>
        <v>209045</v>
      </c>
      <c r="S35" s="287"/>
      <c r="T35" s="288"/>
      <c r="U35" s="305"/>
      <c r="V35" s="57"/>
      <c r="W35" s="57"/>
      <c r="X35" s="57"/>
      <c r="AB35" s="318">
        <f t="shared" si="1"/>
        <v>162.7</v>
      </c>
    </row>
    <row r="36" ht="19" customHeight="1" spans="1:20">
      <c r="A36" s="5" t="s">
        <v>63</v>
      </c>
      <c r="B36" s="61">
        <f>AVERAGE(B5:B35)</f>
        <v>23.6741935483871</v>
      </c>
      <c r="C36" s="8" t="s">
        <v>64</v>
      </c>
      <c r="D36" s="269">
        <f>AVERAGE(D5:D35)</f>
        <v>200417.64516129</v>
      </c>
      <c r="E36" s="171">
        <f>AVERAGE(E5:E35)</f>
        <v>92.6451612903226</v>
      </c>
      <c r="F36" s="171">
        <f>AVERAGE(F5:F35)</f>
        <v>33.0012903225807</v>
      </c>
      <c r="G36" s="171">
        <f>AVERAGE(G5:G35)</f>
        <v>5.80645161290323</v>
      </c>
      <c r="H36" s="269">
        <f t="shared" ref="H36:Q36" si="2">AVERAGE(H5:H35)</f>
        <v>154.032258064516</v>
      </c>
      <c r="I36" s="269">
        <f t="shared" si="2"/>
        <v>4717.16129032258</v>
      </c>
      <c r="J36" s="269">
        <f t="shared" si="2"/>
        <v>52729.0322580648</v>
      </c>
      <c r="K36" s="269">
        <f t="shared" si="2"/>
        <v>2148.38709677419</v>
      </c>
      <c r="L36" s="269">
        <f t="shared" si="2"/>
        <v>6.09677419354839</v>
      </c>
      <c r="M36" s="269">
        <f t="shared" si="2"/>
        <v>2865.1935483871</v>
      </c>
      <c r="N36" s="269">
        <f t="shared" si="2"/>
        <v>1028.90322580645</v>
      </c>
      <c r="O36" s="279">
        <f t="shared" si="2"/>
        <v>2.21612903225806</v>
      </c>
      <c r="P36" s="171">
        <f t="shared" si="2"/>
        <v>0</v>
      </c>
      <c r="Q36" s="269">
        <f t="shared" si="2"/>
        <v>5526.8064516129</v>
      </c>
      <c r="R36" s="308">
        <f t="shared" si="0"/>
        <v>194890.838709677</v>
      </c>
      <c r="S36" s="309"/>
      <c r="T36" s="310"/>
    </row>
    <row r="37" ht="17" customHeight="1" spans="1:28">
      <c r="A37" s="5" t="s">
        <v>65</v>
      </c>
      <c r="B37" s="6" t="s">
        <v>64</v>
      </c>
      <c r="C37" s="6" t="s">
        <v>64</v>
      </c>
      <c r="D37" s="270">
        <f>SUM(D5:D35)</f>
        <v>6212947</v>
      </c>
      <c r="E37" s="271">
        <f>SUM(E5:E35)</f>
        <v>2872</v>
      </c>
      <c r="F37" s="271">
        <f>SUM(F5:F35)</f>
        <v>1023.04</v>
      </c>
      <c r="G37" s="271">
        <f>SUM(G5:G35)</f>
        <v>180</v>
      </c>
      <c r="H37" s="270">
        <f>SUM(H5:H35)</f>
        <v>4775</v>
      </c>
      <c r="I37" s="6" t="s">
        <v>64</v>
      </c>
      <c r="J37" s="269">
        <f t="shared" ref="J37:R37" si="3">SUM(J5:J35)</f>
        <v>1634600.00000001</v>
      </c>
      <c r="K37" s="269">
        <f t="shared" si="3"/>
        <v>66600</v>
      </c>
      <c r="L37" s="269">
        <f t="shared" si="3"/>
        <v>189</v>
      </c>
      <c r="M37" s="269">
        <f t="shared" si="3"/>
        <v>88821</v>
      </c>
      <c r="N37" s="269">
        <f t="shared" si="3"/>
        <v>31896</v>
      </c>
      <c r="O37" s="171">
        <f t="shared" si="3"/>
        <v>68.7</v>
      </c>
      <c r="P37" s="171">
        <f t="shared" si="3"/>
        <v>0</v>
      </c>
      <c r="Q37" s="269">
        <f t="shared" si="3"/>
        <v>171331</v>
      </c>
      <c r="R37" s="269">
        <f t="shared" si="3"/>
        <v>6041616</v>
      </c>
      <c r="S37" s="311"/>
      <c r="T37" s="312"/>
      <c r="AB37" s="3">
        <f>SUM(AB5:AB36)</f>
        <v>4075.04</v>
      </c>
    </row>
    <row r="38" ht="18.6" customHeight="1" spans="1:18">
      <c r="A38" s="272" t="s">
        <v>66</v>
      </c>
      <c r="B38" s="272"/>
      <c r="C38" s="272"/>
      <c r="D38" s="272"/>
      <c r="E38" s="273"/>
      <c r="F38" s="273"/>
      <c r="I38" s="280" t="s">
        <v>67</v>
      </c>
      <c r="Q38" s="313" t="s">
        <v>68</v>
      </c>
      <c r="R38" s="314">
        <v>44350</v>
      </c>
    </row>
    <row r="39" ht="18.6" customHeight="1" spans="13:13">
      <c r="M39" s="255">
        <f>M37*0.31</f>
        <v>27534.51</v>
      </c>
    </row>
    <row r="40" spans="7:18">
      <c r="G40" s="255"/>
      <c r="H40" s="255"/>
      <c r="Q40" s="255" t="s">
        <v>69</v>
      </c>
      <c r="R40" s="255">
        <f>MAX(R5:R35)</f>
        <v>212382</v>
      </c>
    </row>
    <row r="41" spans="7:18">
      <c r="G41" s="255"/>
      <c r="H41" s="255"/>
      <c r="O41" s="255">
        <f>O37*1000</f>
        <v>68700</v>
      </c>
      <c r="Q41" s="255" t="s">
        <v>70</v>
      </c>
      <c r="R41" s="255">
        <f>MIN(R5:R35)</f>
        <v>61012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4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J5" sqref="J5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7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29" width="9" style="27"/>
    <col min="30" max="16384" width="8.75" style="27"/>
  </cols>
  <sheetData>
    <row r="1" ht="18.75" spans="1:13">
      <c r="A1" s="199" t="s">
        <v>71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="195" customFormat="1" ht="20.1" customHeight="1" spans="1:13">
      <c r="A2" s="200">
        <v>44317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="195" customFormat="1" ht="24" customHeight="1" spans="1:18">
      <c r="A3" s="201" t="s">
        <v>72</v>
      </c>
      <c r="B3" s="202" t="s">
        <v>73</v>
      </c>
      <c r="C3" s="203">
        <f>处理量!R37</f>
        <v>6041616</v>
      </c>
      <c r="D3" s="204" t="s">
        <v>74</v>
      </c>
      <c r="E3" s="202" t="s">
        <v>75</v>
      </c>
      <c r="F3" s="205">
        <f>处理量!E37+处理量!F37+处理量!G37</f>
        <v>4075.04</v>
      </c>
      <c r="G3" s="201" t="s">
        <v>76</v>
      </c>
      <c r="H3" s="202" t="s">
        <v>77</v>
      </c>
      <c r="I3" s="202"/>
      <c r="J3" s="37">
        <f>处理量!J37</f>
        <v>1634600.00000001</v>
      </c>
      <c r="K3" s="204" t="s">
        <v>78</v>
      </c>
      <c r="L3" s="202" t="s">
        <v>79</v>
      </c>
      <c r="M3" s="239">
        <f>J3/C3</f>
        <v>0.270556751703519</v>
      </c>
      <c r="P3" s="195" t="s">
        <v>80</v>
      </c>
      <c r="Q3" s="195">
        <v>1684.1</v>
      </c>
      <c r="R3" s="195">
        <f>J5-Q3</f>
        <v>2444.9</v>
      </c>
    </row>
    <row r="4" s="195" customFormat="1" ht="24" customHeight="1" spans="1:17">
      <c r="A4" s="201"/>
      <c r="B4" s="202" t="s">
        <v>81</v>
      </c>
      <c r="C4" s="206">
        <f>处理量!R36</f>
        <v>194890.838709677</v>
      </c>
      <c r="D4" s="207"/>
      <c r="E4" s="202" t="s">
        <v>82</v>
      </c>
      <c r="F4" s="208">
        <f>处理量!H37</f>
        <v>4775</v>
      </c>
      <c r="G4" s="201"/>
      <c r="H4" s="202" t="s">
        <v>83</v>
      </c>
      <c r="I4" s="202"/>
      <c r="J4" s="208">
        <f>J3/M15</f>
        <v>52729.0322580648</v>
      </c>
      <c r="K4" s="207"/>
      <c r="L4" s="202" t="s">
        <v>84</v>
      </c>
      <c r="M4" s="240">
        <f>J3/I12</f>
        <v>1.43607617677027</v>
      </c>
      <c r="P4" s="195" t="s">
        <v>85</v>
      </c>
      <c r="Q4" s="195">
        <v>42300.0000000001</v>
      </c>
    </row>
    <row r="5" s="195" customFormat="1" ht="24" customHeight="1" spans="1:13">
      <c r="A5" s="201"/>
      <c r="B5" s="202"/>
      <c r="C5" s="209"/>
      <c r="D5" s="207"/>
      <c r="E5" s="202" t="s">
        <v>86</v>
      </c>
      <c r="F5" s="210">
        <f>进出水!T38</f>
        <v>77.74</v>
      </c>
      <c r="G5" s="201"/>
      <c r="H5" s="202" t="s">
        <v>87</v>
      </c>
      <c r="I5" s="202"/>
      <c r="J5" s="241">
        <v>4129</v>
      </c>
      <c r="K5" s="207"/>
      <c r="L5" s="202"/>
      <c r="M5" s="242"/>
    </row>
    <row r="6" s="195" customFormat="1" ht="24" customHeight="1" spans="1:13">
      <c r="A6" s="201"/>
      <c r="B6" s="202" t="s">
        <v>88</v>
      </c>
      <c r="C6" s="211">
        <f>处理量!R40</f>
        <v>212382</v>
      </c>
      <c r="D6" s="207"/>
      <c r="E6" s="201" t="s">
        <v>89</v>
      </c>
      <c r="F6" s="205">
        <f>F4/(F3*(100-F5)/100)</f>
        <v>5.26400556644501</v>
      </c>
      <c r="G6" s="204" t="s">
        <v>90</v>
      </c>
      <c r="H6" s="202" t="s">
        <v>91</v>
      </c>
      <c r="I6" s="202"/>
      <c r="J6" s="214">
        <f>处理量!M37/1000</f>
        <v>88.821</v>
      </c>
      <c r="K6" s="207"/>
      <c r="L6" s="202" t="s">
        <v>92</v>
      </c>
      <c r="M6" s="214">
        <f>J3/I13</f>
        <v>2.41568528306714</v>
      </c>
    </row>
    <row r="7" s="195" customFormat="1" ht="24" customHeight="1" spans="1:13">
      <c r="A7" s="201"/>
      <c r="B7" s="202" t="s">
        <v>93</v>
      </c>
      <c r="C7" s="37">
        <f>处理量!R41</f>
        <v>61012</v>
      </c>
      <c r="D7" s="212"/>
      <c r="E7" s="201" t="s">
        <v>94</v>
      </c>
      <c r="F7" s="213">
        <f>F3*(100-F5)/100*1000/(C3/1000)</f>
        <v>150.142594961348</v>
      </c>
      <c r="G7" s="207"/>
      <c r="H7" s="202" t="s">
        <v>95</v>
      </c>
      <c r="I7" s="202"/>
      <c r="J7" s="228">
        <f>J6*1000/(C3/1000)</f>
        <v>14.7015301866256</v>
      </c>
      <c r="K7" s="207"/>
      <c r="L7" s="243" t="s">
        <v>96</v>
      </c>
      <c r="M7" s="214">
        <f>J3/I14</f>
        <v>2.56330413740899</v>
      </c>
    </row>
    <row r="8" s="195" customFormat="1" ht="24" customHeight="1" spans="1:13">
      <c r="A8" s="201"/>
      <c r="B8" s="202" t="s">
        <v>97</v>
      </c>
      <c r="C8" s="214">
        <f>C4/200000*100</f>
        <v>97.4454193548385</v>
      </c>
      <c r="D8" s="201" t="s">
        <v>98</v>
      </c>
      <c r="E8" s="202" t="s">
        <v>99</v>
      </c>
      <c r="F8" s="214">
        <f>处理量!K37/1000</f>
        <v>66.6</v>
      </c>
      <c r="G8" s="207"/>
      <c r="H8" s="202" t="s">
        <v>100</v>
      </c>
      <c r="I8" s="202"/>
      <c r="J8" s="214">
        <f>处理量!N37/1000</f>
        <v>31.896</v>
      </c>
      <c r="K8" s="244" t="s">
        <v>101</v>
      </c>
      <c r="L8" s="223" t="s">
        <v>102</v>
      </c>
      <c r="M8" s="245">
        <f>处理量!O37</f>
        <v>68.7</v>
      </c>
    </row>
    <row r="9" s="195" customFormat="1" ht="24" customHeight="1" spans="1:13">
      <c r="A9" s="201"/>
      <c r="B9" s="215" t="s">
        <v>103</v>
      </c>
      <c r="C9" s="216">
        <f>处理量!B36</f>
        <v>23.6741935483871</v>
      </c>
      <c r="D9" s="201"/>
      <c r="E9" s="202" t="s">
        <v>95</v>
      </c>
      <c r="F9" s="214">
        <f>F8*1000/(C3/1000)</f>
        <v>11.0235407215553</v>
      </c>
      <c r="G9" s="212"/>
      <c r="H9" s="202" t="s">
        <v>95</v>
      </c>
      <c r="I9" s="202"/>
      <c r="J9" s="205">
        <f>J8*1000/(C3/1000)</f>
        <v>5.27938220502594</v>
      </c>
      <c r="K9" s="220"/>
      <c r="L9" s="37" t="s">
        <v>95</v>
      </c>
      <c r="M9" s="245">
        <f>M8*1000000/C3</f>
        <v>11.3711298434061</v>
      </c>
    </row>
    <row r="10" s="195" customFormat="1" ht="24" customHeight="1" spans="1:13">
      <c r="A10" s="201" t="s">
        <v>104</v>
      </c>
      <c r="B10" s="217" t="s">
        <v>105</v>
      </c>
      <c r="C10" s="218" t="s">
        <v>106</v>
      </c>
      <c r="D10" s="219"/>
      <c r="E10" s="218" t="s">
        <v>107</v>
      </c>
      <c r="F10" s="219"/>
      <c r="G10" s="218" t="s">
        <v>108</v>
      </c>
      <c r="H10" s="219"/>
      <c r="I10" s="218" t="s">
        <v>109</v>
      </c>
      <c r="J10" s="219"/>
      <c r="K10" s="204" t="s">
        <v>110</v>
      </c>
      <c r="L10" s="223" t="s">
        <v>102</v>
      </c>
      <c r="M10" s="37">
        <v>0</v>
      </c>
    </row>
    <row r="11" s="195" customFormat="1" ht="24" customHeight="1" spans="1:13">
      <c r="A11" s="201"/>
      <c r="B11" s="220"/>
      <c r="C11" s="221"/>
      <c r="D11" s="222"/>
      <c r="E11" s="221"/>
      <c r="F11" s="222"/>
      <c r="G11" s="221"/>
      <c r="H11" s="222"/>
      <c r="I11" s="221"/>
      <c r="J11" s="222"/>
      <c r="K11" s="212"/>
      <c r="L11" s="37" t="s">
        <v>95</v>
      </c>
      <c r="M11" s="37">
        <v>0</v>
      </c>
    </row>
    <row r="12" s="195" customFormat="1" ht="24" customHeight="1" spans="1:19">
      <c r="A12" s="201"/>
      <c r="B12" s="223" t="s">
        <v>111</v>
      </c>
      <c r="C12" s="208">
        <f>进出水!B38</f>
        <v>214</v>
      </c>
      <c r="D12" s="208"/>
      <c r="E12" s="224">
        <f>进出水!N38</f>
        <v>25.6</v>
      </c>
      <c r="F12" s="225"/>
      <c r="G12" s="224">
        <f t="shared" ref="G12:G17" si="0">(C12-E12)/C12*100</f>
        <v>88.0373831775701</v>
      </c>
      <c r="H12" s="225"/>
      <c r="I12" s="208">
        <f>$C$3*(C12-E12)/1000</f>
        <v>1138240.4544</v>
      </c>
      <c r="J12" s="208"/>
      <c r="K12" s="201" t="s">
        <v>112</v>
      </c>
      <c r="L12" s="202" t="s">
        <v>25</v>
      </c>
      <c r="M12" s="205">
        <f>处理量!V16</f>
        <v>2872</v>
      </c>
      <c r="P12" s="246">
        <f t="shared" ref="P12:P17" si="1">ROUND(E12,1)</f>
        <v>25.6</v>
      </c>
      <c r="Q12" s="254">
        <f>C3</f>
        <v>6041616</v>
      </c>
      <c r="R12" s="246">
        <f t="shared" ref="R12:R17" si="2">P12*Q12/1000000</f>
        <v>154.6653696</v>
      </c>
      <c r="S12" s="223" t="s">
        <v>111</v>
      </c>
    </row>
    <row r="13" s="195" customFormat="1" ht="24" customHeight="1" spans="1:19">
      <c r="A13" s="201"/>
      <c r="B13" s="223" t="s">
        <v>113</v>
      </c>
      <c r="C13" s="208">
        <f>进出水!C38</f>
        <v>113</v>
      </c>
      <c r="D13" s="208"/>
      <c r="E13" s="226" t="str">
        <f>[1]进出水!O38</f>
        <v>&lt;2</v>
      </c>
      <c r="F13" s="227"/>
      <c r="G13" s="224">
        <f>(C13-1)/C13*100</f>
        <v>99.1150442477876</v>
      </c>
      <c r="H13" s="225"/>
      <c r="I13" s="208">
        <f>$C$3*(C13-1)/1000</f>
        <v>676660.992</v>
      </c>
      <c r="J13" s="208"/>
      <c r="K13" s="201"/>
      <c r="L13" s="34" t="s">
        <v>26</v>
      </c>
      <c r="M13" s="247">
        <f>处理量!U16</f>
        <v>1023.04</v>
      </c>
      <c r="P13" s="248">
        <v>1</v>
      </c>
      <c r="Q13" s="254">
        <f t="shared" ref="Q13:Q17" si="3">Q12</f>
        <v>6041616</v>
      </c>
      <c r="R13" s="246">
        <f t="shared" si="2"/>
        <v>6.041616</v>
      </c>
      <c r="S13" s="223" t="s">
        <v>113</v>
      </c>
    </row>
    <row r="14" s="195" customFormat="1" ht="24" customHeight="1" spans="1:19">
      <c r="A14" s="201"/>
      <c r="B14" s="223" t="s">
        <v>114</v>
      </c>
      <c r="C14" s="208">
        <f>进出水!D38</f>
        <v>111</v>
      </c>
      <c r="D14" s="208"/>
      <c r="E14" s="226">
        <f>进出水!P38</f>
        <v>5.45</v>
      </c>
      <c r="F14" s="227"/>
      <c r="G14" s="224">
        <f t="shared" si="0"/>
        <v>95.0900900900901</v>
      </c>
      <c r="H14" s="225"/>
      <c r="I14" s="208">
        <f>$C$3*(C14-E14)/1000</f>
        <v>637692.5688</v>
      </c>
      <c r="J14" s="208"/>
      <c r="K14" s="201"/>
      <c r="L14" s="34" t="s">
        <v>115</v>
      </c>
      <c r="M14" s="247">
        <f>处理量!W16</f>
        <v>180</v>
      </c>
      <c r="P14" s="246">
        <f t="shared" si="1"/>
        <v>5.5</v>
      </c>
      <c r="Q14" s="254">
        <f t="shared" si="3"/>
        <v>6041616</v>
      </c>
      <c r="R14" s="246">
        <f t="shared" si="2"/>
        <v>33.228888</v>
      </c>
      <c r="S14" s="223" t="s">
        <v>114</v>
      </c>
    </row>
    <row r="15" s="195" customFormat="1" ht="24" customHeight="1" spans="1:19">
      <c r="A15" s="201"/>
      <c r="B15" s="223" t="s">
        <v>116</v>
      </c>
      <c r="C15" s="205">
        <f>进出水!E38</f>
        <v>3.95</v>
      </c>
      <c r="D15" s="205"/>
      <c r="E15" s="226">
        <f>进出水!Q38</f>
        <v>0.1</v>
      </c>
      <c r="F15" s="227"/>
      <c r="G15" s="224">
        <f t="shared" si="0"/>
        <v>97.4683544303797</v>
      </c>
      <c r="H15" s="225"/>
      <c r="I15" s="208">
        <f>$C$3*(C15-E15)/1000</f>
        <v>23260.2216</v>
      </c>
      <c r="J15" s="208"/>
      <c r="K15" s="204" t="s">
        <v>117</v>
      </c>
      <c r="L15" s="249" t="s">
        <v>118</v>
      </c>
      <c r="M15" s="36">
        <v>31</v>
      </c>
      <c r="P15" s="246">
        <f t="shared" si="1"/>
        <v>0.1</v>
      </c>
      <c r="Q15" s="254">
        <f t="shared" si="3"/>
        <v>6041616</v>
      </c>
      <c r="R15" s="246">
        <f t="shared" si="2"/>
        <v>0.6041616</v>
      </c>
      <c r="S15" s="223" t="s">
        <v>116</v>
      </c>
    </row>
    <row r="16" s="195" customFormat="1" ht="24" customHeight="1" spans="1:19">
      <c r="A16" s="201"/>
      <c r="B16" s="223" t="s">
        <v>119</v>
      </c>
      <c r="C16" s="228">
        <f>进出水!G38</f>
        <v>24.3</v>
      </c>
      <c r="D16" s="228"/>
      <c r="E16" s="226">
        <f>进出水!S38</f>
        <v>6.88</v>
      </c>
      <c r="F16" s="227"/>
      <c r="G16" s="224">
        <f t="shared" si="0"/>
        <v>71.6872427983539</v>
      </c>
      <c r="H16" s="225"/>
      <c r="I16" s="208">
        <f>$C$3*(C16-E16)/1000</f>
        <v>105244.95072</v>
      </c>
      <c r="J16" s="208"/>
      <c r="K16" s="207"/>
      <c r="L16" s="250" t="s">
        <v>120</v>
      </c>
      <c r="M16" s="37">
        <v>31</v>
      </c>
      <c r="P16" s="246">
        <f t="shared" si="1"/>
        <v>6.9</v>
      </c>
      <c r="Q16" s="254">
        <f t="shared" si="3"/>
        <v>6041616</v>
      </c>
      <c r="R16" s="246">
        <f t="shared" si="2"/>
        <v>41.6871504</v>
      </c>
      <c r="S16" s="223" t="s">
        <v>119</v>
      </c>
    </row>
    <row r="17" s="195" customFormat="1" ht="24" customHeight="1" spans="1:19">
      <c r="A17" s="201"/>
      <c r="B17" s="223" t="s">
        <v>121</v>
      </c>
      <c r="C17" s="228">
        <f>进出水!F38</f>
        <v>18.1</v>
      </c>
      <c r="D17" s="228"/>
      <c r="E17" s="226">
        <f>进出水!R38</f>
        <v>0.44</v>
      </c>
      <c r="F17" s="227"/>
      <c r="G17" s="224">
        <f t="shared" si="0"/>
        <v>97.5690607734807</v>
      </c>
      <c r="H17" s="225"/>
      <c r="I17" s="208">
        <f>$C$3*(C17-E17)/1000</f>
        <v>106694.93856</v>
      </c>
      <c r="J17" s="208"/>
      <c r="K17" s="207"/>
      <c r="L17" s="250" t="s">
        <v>122</v>
      </c>
      <c r="M17" s="36">
        <v>31</v>
      </c>
      <c r="P17" s="246">
        <f t="shared" si="1"/>
        <v>0.4</v>
      </c>
      <c r="Q17" s="254">
        <f t="shared" si="3"/>
        <v>6041616</v>
      </c>
      <c r="R17" s="246">
        <f t="shared" si="2"/>
        <v>2.4166464</v>
      </c>
      <c r="S17" s="223" t="s">
        <v>121</v>
      </c>
    </row>
    <row r="18" s="195" customFormat="1" ht="24" customHeight="1" spans="1:13">
      <c r="A18" s="201"/>
      <c r="B18" s="215" t="s">
        <v>123</v>
      </c>
      <c r="C18" s="229"/>
      <c r="D18" s="230"/>
      <c r="E18" s="231" t="s">
        <v>124</v>
      </c>
      <c r="F18" s="232"/>
      <c r="G18" s="229"/>
      <c r="H18" s="230"/>
      <c r="I18" s="229"/>
      <c r="J18" s="230"/>
      <c r="K18" s="212"/>
      <c r="L18" s="243" t="s">
        <v>125</v>
      </c>
      <c r="M18" s="37">
        <v>100</v>
      </c>
    </row>
    <row r="19" s="195" customFormat="1" ht="20.1" customHeight="1" spans="1:13">
      <c r="A19" s="201" t="s">
        <v>126</v>
      </c>
      <c r="B19" s="233" t="s">
        <v>127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51"/>
    </row>
    <row r="20" s="195" customFormat="1" ht="20.1" customHeight="1" spans="1:13">
      <c r="A20" s="201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52"/>
    </row>
    <row r="21" ht="20.1" customHeight="1" spans="1:13">
      <c r="A21" s="237" t="s">
        <v>128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</row>
    <row r="22" ht="17.25" customHeight="1" spans="9:9">
      <c r="I22" s="253"/>
    </row>
    <row r="23" ht="17.25" customHeight="1" spans="5:9">
      <c r="E23" s="238"/>
      <c r="I23" s="253"/>
    </row>
    <row r="24" ht="17.25" customHeight="1" spans="5:9">
      <c r="E24" s="238"/>
      <c r="I24" s="253"/>
    </row>
    <row r="25" ht="17.25" customHeight="1" spans="5:9">
      <c r="E25" s="238"/>
      <c r="I25" s="253"/>
    </row>
    <row r="26" ht="17.25" customHeight="1" spans="5:9">
      <c r="E26" s="238"/>
      <c r="I26" s="253"/>
    </row>
    <row r="27" ht="17.25" customHeight="1" spans="5:9">
      <c r="E27" s="238"/>
      <c r="I27" s="253"/>
    </row>
    <row r="28" ht="17.25" customHeight="1" spans="5:9">
      <c r="E28" s="238"/>
      <c r="I28" s="253"/>
    </row>
    <row r="29" ht="17.25" customHeight="1" spans="9:9">
      <c r="I29" s="253"/>
    </row>
    <row r="30" ht="17.25" customHeight="1" spans="9:9">
      <c r="I30" s="253"/>
    </row>
    <row r="31" ht="17.25" customHeight="1" spans="9:9">
      <c r="I31" s="253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workbookViewId="0">
      <selection activeCell="F47" sqref="F47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129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hidden="1" spans="1:21">
      <c r="A2" s="97"/>
      <c r="B2" s="97"/>
      <c r="C2" s="97"/>
      <c r="D2" s="97"/>
      <c r="E2" s="97"/>
      <c r="F2" s="97"/>
      <c r="G2" s="97"/>
      <c r="H2" s="98"/>
      <c r="I2" s="163"/>
      <c r="J2" s="163"/>
      <c r="K2" s="98"/>
      <c r="L2" s="97"/>
      <c r="M2" s="97"/>
      <c r="N2" s="97"/>
      <c r="O2" s="97"/>
      <c r="P2" s="97"/>
      <c r="Q2" s="97"/>
      <c r="R2" s="97"/>
      <c r="S2" s="97"/>
      <c r="T2" s="97"/>
      <c r="U2" s="27"/>
    </row>
    <row r="3" spans="1:21">
      <c r="A3" s="33" t="s">
        <v>130</v>
      </c>
      <c r="B3" s="33"/>
      <c r="C3" s="33"/>
      <c r="D3" s="33"/>
      <c r="E3" s="33"/>
      <c r="F3" s="33"/>
      <c r="G3" s="33"/>
      <c r="H3" s="99"/>
      <c r="I3" s="164"/>
      <c r="J3" s="165">
        <v>44317</v>
      </c>
      <c r="K3" s="166"/>
      <c r="L3" s="33"/>
      <c r="M3" s="33"/>
      <c r="N3" s="33"/>
      <c r="O3" s="33"/>
      <c r="P3" s="33"/>
      <c r="Q3" s="33"/>
      <c r="R3" s="33"/>
      <c r="S3" s="33"/>
      <c r="T3" s="189"/>
      <c r="U3" s="27"/>
    </row>
    <row r="4" ht="12.75" customHeight="1" spans="1:21">
      <c r="A4" s="100" t="s">
        <v>131</v>
      </c>
      <c r="B4" s="101" t="s">
        <v>106</v>
      </c>
      <c r="C4" s="102"/>
      <c r="D4" s="102"/>
      <c r="E4" s="102"/>
      <c r="F4" s="102"/>
      <c r="G4" s="103"/>
      <c r="H4" s="104" t="s">
        <v>132</v>
      </c>
      <c r="I4" s="104"/>
      <c r="J4" s="104"/>
      <c r="K4" s="104"/>
      <c r="L4" s="104"/>
      <c r="M4" s="104"/>
      <c r="N4" s="167" t="s">
        <v>133</v>
      </c>
      <c r="O4" s="167"/>
      <c r="P4" s="167"/>
      <c r="Q4" s="167"/>
      <c r="R4" s="167"/>
      <c r="S4" s="167"/>
      <c r="T4" s="190" t="s">
        <v>134</v>
      </c>
      <c r="U4" s="190" t="s">
        <v>135</v>
      </c>
    </row>
    <row r="5" ht="15" customHeight="1" spans="1:21">
      <c r="A5" s="105"/>
      <c r="B5" s="106" t="s">
        <v>136</v>
      </c>
      <c r="C5" s="106" t="s">
        <v>113</v>
      </c>
      <c r="D5" s="106" t="s">
        <v>114</v>
      </c>
      <c r="E5" s="106" t="s">
        <v>116</v>
      </c>
      <c r="F5" s="106" t="s">
        <v>121</v>
      </c>
      <c r="G5" s="106" t="s">
        <v>119</v>
      </c>
      <c r="H5" s="107" t="s">
        <v>136</v>
      </c>
      <c r="I5" s="107" t="s">
        <v>113</v>
      </c>
      <c r="J5" s="107" t="s">
        <v>114</v>
      </c>
      <c r="K5" s="107" t="s">
        <v>116</v>
      </c>
      <c r="L5" s="106" t="s">
        <v>121</v>
      </c>
      <c r="M5" s="106" t="s">
        <v>119</v>
      </c>
      <c r="N5" s="100" t="s">
        <v>137</v>
      </c>
      <c r="O5" s="100" t="s">
        <v>138</v>
      </c>
      <c r="P5" s="100" t="s">
        <v>114</v>
      </c>
      <c r="Q5" s="100" t="s">
        <v>116</v>
      </c>
      <c r="R5" s="100" t="s">
        <v>139</v>
      </c>
      <c r="S5" s="100" t="s">
        <v>119</v>
      </c>
      <c r="T5" s="191"/>
      <c r="U5" s="191"/>
    </row>
    <row r="6" ht="22.5" customHeight="1" spans="1:21">
      <c r="A6" s="108"/>
      <c r="B6" s="109" t="s">
        <v>140</v>
      </c>
      <c r="C6" s="109" t="s">
        <v>140</v>
      </c>
      <c r="D6" s="109" t="s">
        <v>140</v>
      </c>
      <c r="E6" s="109" t="s">
        <v>140</v>
      </c>
      <c r="F6" s="109" t="s">
        <v>140</v>
      </c>
      <c r="G6" s="109" t="s">
        <v>140</v>
      </c>
      <c r="H6" s="110" t="s">
        <v>140</v>
      </c>
      <c r="I6" s="110" t="s">
        <v>140</v>
      </c>
      <c r="J6" s="110" t="s">
        <v>140</v>
      </c>
      <c r="K6" s="110" t="s">
        <v>140</v>
      </c>
      <c r="L6" s="109" t="s">
        <v>140</v>
      </c>
      <c r="M6" s="109" t="s">
        <v>140</v>
      </c>
      <c r="N6" s="109" t="s">
        <v>140</v>
      </c>
      <c r="O6" s="109" t="s">
        <v>140</v>
      </c>
      <c r="P6" s="109" t="s">
        <v>140</v>
      </c>
      <c r="Q6" s="109" t="s">
        <v>140</v>
      </c>
      <c r="R6" s="109" t="s">
        <v>140</v>
      </c>
      <c r="S6" s="109" t="s">
        <v>140</v>
      </c>
      <c r="T6" s="108" t="s">
        <v>141</v>
      </c>
      <c r="U6" s="108" t="s">
        <v>142</v>
      </c>
    </row>
    <row r="7" ht="12.95" customHeight="1" spans="1:23">
      <c r="A7" s="111">
        <v>1</v>
      </c>
      <c r="B7" s="112">
        <v>164</v>
      </c>
      <c r="C7" s="113">
        <v>88.6</v>
      </c>
      <c r="D7" s="114">
        <v>120</v>
      </c>
      <c r="E7" s="115">
        <v>4.05</v>
      </c>
      <c r="F7" s="116">
        <v>20.3</v>
      </c>
      <c r="G7" s="117">
        <v>29.3</v>
      </c>
      <c r="H7" s="118">
        <v>41</v>
      </c>
      <c r="I7" s="115">
        <v>2.35</v>
      </c>
      <c r="J7" s="118">
        <v>16</v>
      </c>
      <c r="K7" s="115">
        <v>0.2</v>
      </c>
      <c r="L7" s="168">
        <v>0.47</v>
      </c>
      <c r="M7" s="168">
        <v>6.19</v>
      </c>
      <c r="N7" s="114">
        <v>28</v>
      </c>
      <c r="O7" s="169" t="s">
        <v>143</v>
      </c>
      <c r="P7" s="114">
        <v>5</v>
      </c>
      <c r="Q7" s="168">
        <v>0.11</v>
      </c>
      <c r="R7" s="172">
        <v>0.33</v>
      </c>
      <c r="S7" s="168">
        <v>6.04</v>
      </c>
      <c r="T7" s="121">
        <v>77.7</v>
      </c>
      <c r="U7" s="119"/>
      <c r="V7" s="192"/>
      <c r="W7" s="193">
        <f>1-S7/G7</f>
        <v>0.793856655290102</v>
      </c>
    </row>
    <row r="8" ht="12.95" customHeight="1" spans="1:23">
      <c r="A8" s="111">
        <v>2</v>
      </c>
      <c r="B8" s="112">
        <v>338</v>
      </c>
      <c r="C8" s="113">
        <v>179</v>
      </c>
      <c r="D8" s="114">
        <v>164</v>
      </c>
      <c r="E8" s="119">
        <v>3.42</v>
      </c>
      <c r="F8" s="117">
        <v>16.7</v>
      </c>
      <c r="G8" s="117">
        <v>21.8</v>
      </c>
      <c r="H8" s="118">
        <v>44</v>
      </c>
      <c r="I8" s="115">
        <v>2.16</v>
      </c>
      <c r="J8" s="118">
        <v>17</v>
      </c>
      <c r="K8" s="115">
        <v>0.29</v>
      </c>
      <c r="L8" s="168">
        <v>1.24</v>
      </c>
      <c r="M8" s="168">
        <v>8.02</v>
      </c>
      <c r="N8" s="114">
        <v>29</v>
      </c>
      <c r="O8" s="169" t="s">
        <v>143</v>
      </c>
      <c r="P8" s="114">
        <v>5</v>
      </c>
      <c r="Q8" s="168">
        <v>0.1</v>
      </c>
      <c r="R8" s="172">
        <v>0.5</v>
      </c>
      <c r="S8" s="168">
        <v>6.06</v>
      </c>
      <c r="T8" s="121">
        <v>76.2</v>
      </c>
      <c r="U8" s="119"/>
      <c r="V8" s="192"/>
      <c r="W8" s="193">
        <f t="shared" ref="W8:W37" si="0">1-S8/G8</f>
        <v>0.722018348623853</v>
      </c>
    </row>
    <row r="9" ht="12.95" customHeight="1" spans="1:23">
      <c r="A9" s="111">
        <v>3</v>
      </c>
      <c r="B9" s="112">
        <v>234</v>
      </c>
      <c r="C9" s="113">
        <v>124</v>
      </c>
      <c r="D9" s="114">
        <v>198</v>
      </c>
      <c r="E9" s="115">
        <v>3.36</v>
      </c>
      <c r="F9" s="117">
        <v>24</v>
      </c>
      <c r="G9" s="117">
        <v>30</v>
      </c>
      <c r="H9" s="118">
        <v>45</v>
      </c>
      <c r="I9" s="115">
        <v>2.6</v>
      </c>
      <c r="J9" s="118">
        <v>18</v>
      </c>
      <c r="K9" s="115">
        <v>0.74</v>
      </c>
      <c r="L9" s="168">
        <v>2</v>
      </c>
      <c r="M9" s="168">
        <v>9.4</v>
      </c>
      <c r="N9" s="114">
        <v>29</v>
      </c>
      <c r="O9" s="169" t="s">
        <v>143</v>
      </c>
      <c r="P9" s="114">
        <v>5</v>
      </c>
      <c r="Q9" s="168">
        <v>0.12</v>
      </c>
      <c r="R9" s="172">
        <v>1.34</v>
      </c>
      <c r="S9" s="168">
        <v>7.2</v>
      </c>
      <c r="T9" s="121">
        <v>78.6</v>
      </c>
      <c r="U9" s="119" t="s">
        <v>124</v>
      </c>
      <c r="V9" s="192"/>
      <c r="W9" s="193">
        <f t="shared" si="0"/>
        <v>0.76</v>
      </c>
    </row>
    <row r="10" ht="12.95" customHeight="1" spans="1:23">
      <c r="A10" s="111">
        <v>4</v>
      </c>
      <c r="B10" s="112">
        <v>176</v>
      </c>
      <c r="C10" s="113">
        <v>95</v>
      </c>
      <c r="D10" s="114">
        <v>112</v>
      </c>
      <c r="E10" s="115">
        <v>3.02</v>
      </c>
      <c r="F10" s="117">
        <v>18.1</v>
      </c>
      <c r="G10" s="117">
        <v>24</v>
      </c>
      <c r="H10" s="118">
        <v>30</v>
      </c>
      <c r="I10" s="115" t="s">
        <v>143</v>
      </c>
      <c r="J10" s="118">
        <v>16</v>
      </c>
      <c r="K10" s="115">
        <v>0.25</v>
      </c>
      <c r="L10" s="168">
        <v>0.39</v>
      </c>
      <c r="M10" s="168">
        <v>7.13</v>
      </c>
      <c r="N10" s="114">
        <v>20</v>
      </c>
      <c r="O10" s="169" t="s">
        <v>143</v>
      </c>
      <c r="P10" s="114">
        <v>5</v>
      </c>
      <c r="Q10" s="168">
        <v>0.1</v>
      </c>
      <c r="R10" s="172">
        <v>0.26</v>
      </c>
      <c r="S10" s="168">
        <v>6.32</v>
      </c>
      <c r="T10" s="121">
        <v>77.1</v>
      </c>
      <c r="U10" s="119" t="s">
        <v>124</v>
      </c>
      <c r="V10" s="192"/>
      <c r="W10" s="193">
        <f t="shared" si="0"/>
        <v>0.736666666666667</v>
      </c>
    </row>
    <row r="11" ht="12.95" customHeight="1" spans="1:23">
      <c r="A11" s="111">
        <v>5</v>
      </c>
      <c r="B11" s="112">
        <v>120</v>
      </c>
      <c r="C11" s="113">
        <v>66</v>
      </c>
      <c r="D11" s="114">
        <v>72</v>
      </c>
      <c r="E11" s="115">
        <v>2.59</v>
      </c>
      <c r="F11" s="120">
        <v>21.7</v>
      </c>
      <c r="G11" s="117">
        <v>26.6</v>
      </c>
      <c r="H11" s="118">
        <v>32</v>
      </c>
      <c r="I11" s="115" t="s">
        <v>143</v>
      </c>
      <c r="J11" s="118">
        <v>19</v>
      </c>
      <c r="K11" s="115">
        <v>0.27</v>
      </c>
      <c r="L11" s="168">
        <v>0.44</v>
      </c>
      <c r="M11" s="168">
        <v>8.12</v>
      </c>
      <c r="N11" s="114">
        <v>24</v>
      </c>
      <c r="O11" s="169" t="s">
        <v>143</v>
      </c>
      <c r="P11" s="114">
        <v>5</v>
      </c>
      <c r="Q11" s="168">
        <v>0.09</v>
      </c>
      <c r="R11" s="172">
        <v>0.33</v>
      </c>
      <c r="S11" s="168">
        <v>7.18</v>
      </c>
      <c r="T11" s="121">
        <v>77.8</v>
      </c>
      <c r="U11" s="119">
        <v>140</v>
      </c>
      <c r="V11" s="192"/>
      <c r="W11" s="193">
        <f t="shared" si="0"/>
        <v>0.730075187969925</v>
      </c>
    </row>
    <row r="12" ht="12.95" customHeight="1" spans="1:23">
      <c r="A12" s="111">
        <v>6</v>
      </c>
      <c r="B12" s="112">
        <v>395</v>
      </c>
      <c r="C12" s="113">
        <v>213</v>
      </c>
      <c r="D12" s="114">
        <v>94</v>
      </c>
      <c r="E12" s="115">
        <v>5.74</v>
      </c>
      <c r="F12" s="116">
        <v>18.2</v>
      </c>
      <c r="G12" s="117">
        <v>23.6</v>
      </c>
      <c r="H12" s="118">
        <v>39</v>
      </c>
      <c r="I12" s="115" t="s">
        <v>143</v>
      </c>
      <c r="J12" s="118">
        <v>15</v>
      </c>
      <c r="K12" s="115">
        <v>0.43</v>
      </c>
      <c r="L12" s="168">
        <v>0.56</v>
      </c>
      <c r="M12" s="168">
        <v>7.57</v>
      </c>
      <c r="N12" s="114">
        <v>27</v>
      </c>
      <c r="O12" s="169" t="s">
        <v>143</v>
      </c>
      <c r="P12" s="114">
        <v>5</v>
      </c>
      <c r="Q12" s="168">
        <v>0.11</v>
      </c>
      <c r="R12" s="172">
        <v>0.46</v>
      </c>
      <c r="S12" s="168">
        <v>6.58</v>
      </c>
      <c r="T12" s="121">
        <v>77.7</v>
      </c>
      <c r="U12" s="119" t="s">
        <v>124</v>
      </c>
      <c r="V12" s="192"/>
      <c r="W12" s="193">
        <f t="shared" si="0"/>
        <v>0.721186440677966</v>
      </c>
    </row>
    <row r="13" ht="12.95" customHeight="1" spans="1:23">
      <c r="A13" s="111">
        <v>7</v>
      </c>
      <c r="B13" s="112">
        <v>240</v>
      </c>
      <c r="C13" s="113">
        <v>127</v>
      </c>
      <c r="D13" s="114">
        <v>90</v>
      </c>
      <c r="E13" s="115">
        <v>4.26</v>
      </c>
      <c r="F13" s="116">
        <v>20.1</v>
      </c>
      <c r="G13" s="117">
        <v>25.8</v>
      </c>
      <c r="H13" s="118">
        <v>36</v>
      </c>
      <c r="I13" s="115" t="s">
        <v>143</v>
      </c>
      <c r="J13" s="118">
        <v>17</v>
      </c>
      <c r="K13" s="115">
        <v>0.24</v>
      </c>
      <c r="L13" s="168">
        <v>0.63</v>
      </c>
      <c r="M13" s="168">
        <v>8.51</v>
      </c>
      <c r="N13" s="114">
        <v>24</v>
      </c>
      <c r="O13" s="169" t="s">
        <v>143</v>
      </c>
      <c r="P13" s="114">
        <v>5</v>
      </c>
      <c r="Q13" s="168">
        <v>0.1</v>
      </c>
      <c r="R13" s="172">
        <v>0.48</v>
      </c>
      <c r="S13" s="168">
        <v>8.12</v>
      </c>
      <c r="T13" s="121">
        <v>77.9</v>
      </c>
      <c r="U13" s="119" t="s">
        <v>124</v>
      </c>
      <c r="V13" s="192"/>
      <c r="W13" s="193">
        <f t="shared" si="0"/>
        <v>0.685271317829457</v>
      </c>
    </row>
    <row r="14" ht="12.95" customHeight="1" spans="1:23">
      <c r="A14" s="111">
        <v>8</v>
      </c>
      <c r="B14" s="112">
        <v>262</v>
      </c>
      <c r="C14" s="113">
        <v>138</v>
      </c>
      <c r="D14" s="114">
        <v>86</v>
      </c>
      <c r="E14" s="115">
        <v>4.57</v>
      </c>
      <c r="F14" s="121">
        <v>11.5</v>
      </c>
      <c r="G14" s="117">
        <v>16.3</v>
      </c>
      <c r="H14" s="118">
        <v>34</v>
      </c>
      <c r="I14" s="115" t="s">
        <v>143</v>
      </c>
      <c r="J14" s="118">
        <v>12</v>
      </c>
      <c r="K14" s="115">
        <v>0.21</v>
      </c>
      <c r="L14" s="168">
        <v>0.52</v>
      </c>
      <c r="M14" s="168">
        <v>8.02</v>
      </c>
      <c r="N14" s="114">
        <v>26</v>
      </c>
      <c r="O14" s="169" t="s">
        <v>143</v>
      </c>
      <c r="P14" s="114">
        <v>5</v>
      </c>
      <c r="Q14" s="168">
        <v>0.09</v>
      </c>
      <c r="R14" s="172">
        <v>0.44</v>
      </c>
      <c r="S14" s="168">
        <v>7.72</v>
      </c>
      <c r="T14" s="121">
        <v>76.6</v>
      </c>
      <c r="U14" s="119"/>
      <c r="V14" s="192"/>
      <c r="W14" s="193">
        <f t="shared" si="0"/>
        <v>0.52638036809816</v>
      </c>
    </row>
    <row r="15" ht="12.95" customHeight="1" spans="1:23">
      <c r="A15" s="111">
        <v>9</v>
      </c>
      <c r="B15" s="112">
        <v>148</v>
      </c>
      <c r="C15" s="113">
        <v>79.9</v>
      </c>
      <c r="D15" s="114">
        <v>108</v>
      </c>
      <c r="E15" s="115">
        <v>3.07</v>
      </c>
      <c r="F15" s="117">
        <v>14.3</v>
      </c>
      <c r="G15" s="117">
        <v>20.4</v>
      </c>
      <c r="H15" s="118">
        <v>37</v>
      </c>
      <c r="I15" s="115" t="s">
        <v>143</v>
      </c>
      <c r="J15" s="118">
        <v>18</v>
      </c>
      <c r="K15" s="115">
        <v>0.22</v>
      </c>
      <c r="L15" s="168">
        <v>0.51</v>
      </c>
      <c r="M15" s="168">
        <v>7.03</v>
      </c>
      <c r="N15" s="114">
        <v>28</v>
      </c>
      <c r="O15" s="169" t="s">
        <v>143</v>
      </c>
      <c r="P15" s="114">
        <v>8</v>
      </c>
      <c r="Q15" s="168">
        <v>0.11</v>
      </c>
      <c r="R15" s="172">
        <v>0.44</v>
      </c>
      <c r="S15" s="168">
        <v>6.58</v>
      </c>
      <c r="T15" s="121">
        <v>78.8</v>
      </c>
      <c r="U15" s="119"/>
      <c r="V15" s="192"/>
      <c r="W15" s="193">
        <f t="shared" si="0"/>
        <v>0.677450980392157</v>
      </c>
    </row>
    <row r="16" ht="12.95" customHeight="1" spans="1:23">
      <c r="A16" s="111">
        <v>10</v>
      </c>
      <c r="B16" s="112">
        <v>290</v>
      </c>
      <c r="C16" s="122">
        <v>154</v>
      </c>
      <c r="D16" s="114">
        <v>176</v>
      </c>
      <c r="E16" s="115">
        <v>4.85</v>
      </c>
      <c r="F16" s="117">
        <v>15</v>
      </c>
      <c r="G16" s="117">
        <v>23.8</v>
      </c>
      <c r="H16" s="118">
        <v>40</v>
      </c>
      <c r="I16" s="170">
        <v>2.04</v>
      </c>
      <c r="J16" s="118">
        <v>18</v>
      </c>
      <c r="K16" s="115">
        <v>0.44</v>
      </c>
      <c r="L16" s="168">
        <v>0.52</v>
      </c>
      <c r="M16" s="168">
        <v>6.93</v>
      </c>
      <c r="N16" s="114">
        <v>24</v>
      </c>
      <c r="O16" s="169" t="s">
        <v>143</v>
      </c>
      <c r="P16" s="114">
        <v>6</v>
      </c>
      <c r="Q16" s="168">
        <v>0.1</v>
      </c>
      <c r="R16" s="172">
        <v>0.42</v>
      </c>
      <c r="S16" s="168">
        <v>6.54</v>
      </c>
      <c r="T16" s="121">
        <v>78.3</v>
      </c>
      <c r="U16" s="119">
        <v>100</v>
      </c>
      <c r="V16" s="192"/>
      <c r="W16" s="193">
        <f t="shared" si="0"/>
        <v>0.725210084033614</v>
      </c>
    </row>
    <row r="17" ht="12.95" customHeight="1" spans="1:23">
      <c r="A17" s="111">
        <v>11</v>
      </c>
      <c r="B17" s="112">
        <v>276</v>
      </c>
      <c r="C17" s="113">
        <v>140</v>
      </c>
      <c r="D17" s="114">
        <v>134</v>
      </c>
      <c r="E17" s="115">
        <v>4.93</v>
      </c>
      <c r="F17" s="116">
        <v>18.3</v>
      </c>
      <c r="G17" s="117">
        <v>26.1</v>
      </c>
      <c r="H17" s="118">
        <v>35</v>
      </c>
      <c r="I17" s="115" t="s">
        <v>143</v>
      </c>
      <c r="J17" s="118">
        <v>16</v>
      </c>
      <c r="K17" s="115">
        <v>0.3</v>
      </c>
      <c r="L17" s="168">
        <v>0.53</v>
      </c>
      <c r="M17" s="168">
        <v>8.02</v>
      </c>
      <c r="N17" s="114">
        <v>25</v>
      </c>
      <c r="O17" s="169" t="s">
        <v>143</v>
      </c>
      <c r="P17" s="114">
        <v>7</v>
      </c>
      <c r="Q17" s="168">
        <v>0.1</v>
      </c>
      <c r="R17" s="172">
        <v>0.48</v>
      </c>
      <c r="S17" s="168">
        <v>6.49</v>
      </c>
      <c r="T17" s="121">
        <v>77.7</v>
      </c>
      <c r="U17" s="119" t="s">
        <v>124</v>
      </c>
      <c r="V17" s="192"/>
      <c r="W17" s="193">
        <f t="shared" si="0"/>
        <v>0.751340996168582</v>
      </c>
    </row>
    <row r="18" ht="12.95" customHeight="1" spans="1:23">
      <c r="A18" s="111">
        <v>12</v>
      </c>
      <c r="B18" s="114">
        <v>140</v>
      </c>
      <c r="C18" s="113">
        <v>71.4</v>
      </c>
      <c r="D18" s="123">
        <v>104</v>
      </c>
      <c r="E18" s="115">
        <v>3.74</v>
      </c>
      <c r="F18" s="117">
        <v>18.1</v>
      </c>
      <c r="G18" s="117">
        <v>24.2</v>
      </c>
      <c r="H18" s="118">
        <v>37</v>
      </c>
      <c r="I18" s="115" t="s">
        <v>143</v>
      </c>
      <c r="J18" s="61">
        <v>10</v>
      </c>
      <c r="K18" s="115">
        <v>0.28</v>
      </c>
      <c r="L18" s="168">
        <v>0.53</v>
      </c>
      <c r="M18" s="168">
        <v>7.82</v>
      </c>
      <c r="N18" s="114">
        <v>28</v>
      </c>
      <c r="O18" s="169" t="s">
        <v>143</v>
      </c>
      <c r="P18" s="114">
        <v>5</v>
      </c>
      <c r="Q18" s="168">
        <v>0.1</v>
      </c>
      <c r="R18" s="172">
        <v>0.46</v>
      </c>
      <c r="S18" s="171">
        <v>7.62</v>
      </c>
      <c r="T18" s="121">
        <v>78.4</v>
      </c>
      <c r="U18" s="119" t="s">
        <v>124</v>
      </c>
      <c r="V18" s="192"/>
      <c r="W18" s="193">
        <f t="shared" si="0"/>
        <v>0.685123966942149</v>
      </c>
    </row>
    <row r="19" ht="12.95" customHeight="1" spans="1:23">
      <c r="A19" s="111">
        <v>13</v>
      </c>
      <c r="B19" s="112">
        <v>114</v>
      </c>
      <c r="C19" s="113">
        <v>58.2</v>
      </c>
      <c r="D19" s="123">
        <v>106</v>
      </c>
      <c r="E19" s="115">
        <v>3.59</v>
      </c>
      <c r="F19" s="117">
        <v>15.8</v>
      </c>
      <c r="G19" s="117">
        <v>23</v>
      </c>
      <c r="H19" s="118">
        <v>36</v>
      </c>
      <c r="I19" s="115" t="s">
        <v>143</v>
      </c>
      <c r="J19" s="61">
        <v>18</v>
      </c>
      <c r="K19" s="115">
        <v>0.19</v>
      </c>
      <c r="L19" s="168">
        <v>0.52</v>
      </c>
      <c r="M19" s="168">
        <v>7.3</v>
      </c>
      <c r="N19" s="114">
        <v>29</v>
      </c>
      <c r="O19" s="169" t="s">
        <v>143</v>
      </c>
      <c r="P19" s="114">
        <v>5</v>
      </c>
      <c r="Q19" s="168">
        <v>0.1</v>
      </c>
      <c r="R19" s="172">
        <v>0.47</v>
      </c>
      <c r="S19" s="168">
        <v>6.63</v>
      </c>
      <c r="T19" s="121">
        <v>76.6</v>
      </c>
      <c r="U19" s="119" t="s">
        <v>124</v>
      </c>
      <c r="V19" s="192"/>
      <c r="W19" s="193">
        <f t="shared" si="0"/>
        <v>0.711739130434783</v>
      </c>
    </row>
    <row r="20" ht="12.95" customHeight="1" spans="1:23">
      <c r="A20" s="111">
        <v>14</v>
      </c>
      <c r="B20" s="112">
        <v>340</v>
      </c>
      <c r="C20" s="122">
        <v>176</v>
      </c>
      <c r="D20" s="114">
        <v>106</v>
      </c>
      <c r="E20" s="115">
        <v>5.88</v>
      </c>
      <c r="F20" s="121">
        <v>21.8</v>
      </c>
      <c r="G20" s="117">
        <v>28.9</v>
      </c>
      <c r="H20" s="118">
        <v>34</v>
      </c>
      <c r="I20" s="170" t="s">
        <v>143</v>
      </c>
      <c r="J20" s="118">
        <v>19</v>
      </c>
      <c r="K20" s="115">
        <v>0.24</v>
      </c>
      <c r="L20" s="168">
        <v>0.55</v>
      </c>
      <c r="M20" s="168">
        <v>9.75</v>
      </c>
      <c r="N20" s="114">
        <v>26</v>
      </c>
      <c r="O20" s="169" t="s">
        <v>143</v>
      </c>
      <c r="P20" s="114">
        <v>5</v>
      </c>
      <c r="Q20" s="168">
        <v>0.1</v>
      </c>
      <c r="R20" s="172">
        <v>0.49</v>
      </c>
      <c r="S20" s="168">
        <v>8.26</v>
      </c>
      <c r="T20" s="121">
        <v>77.3</v>
      </c>
      <c r="U20" s="119" t="s">
        <v>124</v>
      </c>
      <c r="V20" s="192"/>
      <c r="W20" s="193">
        <f t="shared" si="0"/>
        <v>0.714186851211073</v>
      </c>
    </row>
    <row r="21" ht="12.95" customHeight="1" spans="1:23">
      <c r="A21" s="111">
        <v>15</v>
      </c>
      <c r="B21" s="112">
        <v>304</v>
      </c>
      <c r="C21" s="113">
        <v>161</v>
      </c>
      <c r="D21" s="114">
        <v>114</v>
      </c>
      <c r="E21" s="115">
        <v>5.55</v>
      </c>
      <c r="F21" s="116">
        <v>17</v>
      </c>
      <c r="G21" s="117">
        <v>23.4</v>
      </c>
      <c r="H21" s="118">
        <v>42</v>
      </c>
      <c r="I21" s="115">
        <v>2.14</v>
      </c>
      <c r="J21" s="118">
        <v>18</v>
      </c>
      <c r="K21" s="115">
        <v>0.26</v>
      </c>
      <c r="L21" s="168">
        <v>0.42</v>
      </c>
      <c r="M21" s="168">
        <v>8.54</v>
      </c>
      <c r="N21" s="114">
        <v>27</v>
      </c>
      <c r="O21" s="169" t="s">
        <v>143</v>
      </c>
      <c r="P21" s="114">
        <v>5</v>
      </c>
      <c r="Q21" s="168">
        <v>0.1</v>
      </c>
      <c r="R21" s="172">
        <v>0.37</v>
      </c>
      <c r="S21" s="168">
        <v>7.97</v>
      </c>
      <c r="T21" s="121">
        <v>78.3</v>
      </c>
      <c r="U21" s="119"/>
      <c r="V21" s="192"/>
      <c r="W21" s="193">
        <f t="shared" si="0"/>
        <v>0.659401709401709</v>
      </c>
    </row>
    <row r="22" ht="12" customHeight="1" spans="1:23">
      <c r="A22" s="111">
        <v>16</v>
      </c>
      <c r="B22" s="112">
        <v>244</v>
      </c>
      <c r="C22" s="113">
        <v>131</v>
      </c>
      <c r="D22" s="114">
        <v>88</v>
      </c>
      <c r="E22" s="115">
        <v>5.34</v>
      </c>
      <c r="F22" s="116">
        <v>21.4</v>
      </c>
      <c r="G22" s="117">
        <v>25.7</v>
      </c>
      <c r="H22" s="118">
        <v>39</v>
      </c>
      <c r="I22" s="115" t="s">
        <v>143</v>
      </c>
      <c r="J22" s="118">
        <v>18</v>
      </c>
      <c r="K22" s="115">
        <v>0.32</v>
      </c>
      <c r="L22" s="168">
        <v>0.55</v>
      </c>
      <c r="M22" s="168">
        <v>7.41</v>
      </c>
      <c r="N22" s="114">
        <v>29</v>
      </c>
      <c r="O22" s="169" t="s">
        <v>143</v>
      </c>
      <c r="P22" s="114">
        <v>7</v>
      </c>
      <c r="Q22" s="168">
        <v>0.12</v>
      </c>
      <c r="R22" s="172">
        <v>0.44</v>
      </c>
      <c r="S22" s="168">
        <v>7.06</v>
      </c>
      <c r="T22" s="121">
        <v>77.7</v>
      </c>
      <c r="U22" s="119"/>
      <c r="V22" s="192"/>
      <c r="W22" s="193">
        <f t="shared" si="0"/>
        <v>0.725291828793774</v>
      </c>
    </row>
    <row r="23" ht="12.95" customHeight="1" spans="1:23">
      <c r="A23" s="111">
        <v>17</v>
      </c>
      <c r="B23" s="112">
        <v>94</v>
      </c>
      <c r="C23" s="113">
        <v>49</v>
      </c>
      <c r="D23" s="114">
        <v>110</v>
      </c>
      <c r="E23" s="115">
        <v>3.09</v>
      </c>
      <c r="F23" s="116">
        <v>15.3</v>
      </c>
      <c r="G23" s="117">
        <v>21.6</v>
      </c>
      <c r="H23" s="118">
        <v>31</v>
      </c>
      <c r="I23" s="115">
        <v>2.16</v>
      </c>
      <c r="J23" s="118">
        <v>17</v>
      </c>
      <c r="K23" s="115">
        <v>0.21</v>
      </c>
      <c r="L23" s="168">
        <v>0.43</v>
      </c>
      <c r="M23" s="168">
        <v>7.46</v>
      </c>
      <c r="N23" s="114">
        <v>26</v>
      </c>
      <c r="O23" s="169" t="s">
        <v>143</v>
      </c>
      <c r="P23" s="114">
        <v>7</v>
      </c>
      <c r="Q23" s="168">
        <v>0.12</v>
      </c>
      <c r="R23" s="172">
        <v>0.34</v>
      </c>
      <c r="S23" s="168">
        <v>6.62</v>
      </c>
      <c r="T23" s="121">
        <v>78.9</v>
      </c>
      <c r="U23" s="119">
        <v>50</v>
      </c>
      <c r="V23" s="192"/>
      <c r="W23" s="193">
        <f t="shared" si="0"/>
        <v>0.693518518518519</v>
      </c>
    </row>
    <row r="24" ht="12.95" customHeight="1" spans="1:23">
      <c r="A24" s="111">
        <v>18</v>
      </c>
      <c r="B24" s="119">
        <v>344</v>
      </c>
      <c r="C24" s="113">
        <v>175</v>
      </c>
      <c r="D24" s="114">
        <v>150</v>
      </c>
      <c r="E24" s="115">
        <v>4.88</v>
      </c>
      <c r="F24" s="116">
        <v>22</v>
      </c>
      <c r="G24" s="117">
        <v>27.6</v>
      </c>
      <c r="H24" s="118">
        <v>41</v>
      </c>
      <c r="I24" s="115">
        <v>2.28</v>
      </c>
      <c r="J24" s="118">
        <v>18</v>
      </c>
      <c r="K24" s="115">
        <v>0.36</v>
      </c>
      <c r="L24" s="168">
        <v>0.48</v>
      </c>
      <c r="M24" s="168">
        <v>8.02</v>
      </c>
      <c r="N24" s="114">
        <v>25</v>
      </c>
      <c r="O24" s="169" t="s">
        <v>143</v>
      </c>
      <c r="P24" s="114">
        <v>5</v>
      </c>
      <c r="Q24" s="168">
        <v>0.12</v>
      </c>
      <c r="R24" s="172">
        <v>0.36</v>
      </c>
      <c r="S24" s="168">
        <v>7.51</v>
      </c>
      <c r="T24" s="121">
        <v>77.7</v>
      </c>
      <c r="U24" s="119" t="s">
        <v>124</v>
      </c>
      <c r="V24" s="192"/>
      <c r="W24" s="193">
        <f t="shared" si="0"/>
        <v>0.727898550724638</v>
      </c>
    </row>
    <row r="25" ht="12.95" customHeight="1" spans="1:23">
      <c r="A25" s="111">
        <v>19</v>
      </c>
      <c r="B25" s="119">
        <v>220</v>
      </c>
      <c r="C25" s="122">
        <v>115</v>
      </c>
      <c r="D25" s="114">
        <v>112</v>
      </c>
      <c r="E25" s="115">
        <v>4.42</v>
      </c>
      <c r="F25" s="117">
        <v>17.5</v>
      </c>
      <c r="G25" s="117">
        <v>23.8</v>
      </c>
      <c r="H25" s="118">
        <v>28</v>
      </c>
      <c r="I25" s="170" t="s">
        <v>143</v>
      </c>
      <c r="J25" s="118">
        <v>9</v>
      </c>
      <c r="K25" s="115">
        <v>0.2</v>
      </c>
      <c r="L25" s="168">
        <v>0.46</v>
      </c>
      <c r="M25" s="168">
        <v>7.95</v>
      </c>
      <c r="N25" s="114">
        <v>24</v>
      </c>
      <c r="O25" s="169" t="s">
        <v>143</v>
      </c>
      <c r="P25" s="114">
        <v>5</v>
      </c>
      <c r="Q25" s="168">
        <v>0.12</v>
      </c>
      <c r="R25" s="172">
        <v>0.44</v>
      </c>
      <c r="S25" s="168">
        <v>7.75</v>
      </c>
      <c r="T25" s="121">
        <v>77.3</v>
      </c>
      <c r="U25" s="119" t="s">
        <v>124</v>
      </c>
      <c r="V25" s="192"/>
      <c r="W25" s="193">
        <f t="shared" si="0"/>
        <v>0.67436974789916</v>
      </c>
    </row>
    <row r="26" ht="12.95" customHeight="1" spans="1:23">
      <c r="A26" s="111">
        <v>20</v>
      </c>
      <c r="B26" s="119">
        <v>225</v>
      </c>
      <c r="C26" s="113">
        <v>117</v>
      </c>
      <c r="D26" s="114">
        <v>96</v>
      </c>
      <c r="E26" s="115">
        <v>4.97</v>
      </c>
      <c r="F26" s="117">
        <v>24.4</v>
      </c>
      <c r="G26" s="117">
        <v>30.6</v>
      </c>
      <c r="H26" s="118">
        <v>43</v>
      </c>
      <c r="I26" s="115">
        <v>2.69</v>
      </c>
      <c r="J26" s="118">
        <v>18</v>
      </c>
      <c r="K26" s="115">
        <v>0.36</v>
      </c>
      <c r="L26" s="168">
        <v>0.6</v>
      </c>
      <c r="M26" s="168">
        <v>7.56</v>
      </c>
      <c r="N26" s="114">
        <v>29</v>
      </c>
      <c r="O26" s="169" t="s">
        <v>143</v>
      </c>
      <c r="P26" s="114">
        <v>5</v>
      </c>
      <c r="Q26" s="168">
        <v>0.12</v>
      </c>
      <c r="R26" s="172">
        <v>0.43</v>
      </c>
      <c r="S26" s="168">
        <v>7.36</v>
      </c>
      <c r="T26" s="121">
        <v>78.8</v>
      </c>
      <c r="U26" s="119" t="s">
        <v>124</v>
      </c>
      <c r="V26" s="192"/>
      <c r="W26" s="193">
        <f t="shared" si="0"/>
        <v>0.759477124183007</v>
      </c>
    </row>
    <row r="27" ht="12.95" customHeight="1" spans="1:23">
      <c r="A27" s="111">
        <v>21</v>
      </c>
      <c r="B27" s="119">
        <v>108</v>
      </c>
      <c r="C27" s="113">
        <v>57.3</v>
      </c>
      <c r="D27" s="114">
        <v>68</v>
      </c>
      <c r="E27" s="115">
        <v>2.99</v>
      </c>
      <c r="F27" s="121">
        <v>12</v>
      </c>
      <c r="G27" s="117">
        <v>18.6</v>
      </c>
      <c r="H27" s="118">
        <v>25</v>
      </c>
      <c r="I27" s="115" t="s">
        <v>143</v>
      </c>
      <c r="J27" s="118">
        <v>11</v>
      </c>
      <c r="K27" s="115">
        <v>0.15</v>
      </c>
      <c r="L27" s="168">
        <v>0.48</v>
      </c>
      <c r="M27" s="168">
        <v>7.9</v>
      </c>
      <c r="N27" s="114">
        <v>22</v>
      </c>
      <c r="O27" s="169" t="s">
        <v>143</v>
      </c>
      <c r="P27" s="114">
        <v>5</v>
      </c>
      <c r="Q27" s="168">
        <v>0.09</v>
      </c>
      <c r="R27" s="172">
        <v>0.42</v>
      </c>
      <c r="S27" s="168">
        <v>7.31</v>
      </c>
      <c r="T27" s="121">
        <v>76.6</v>
      </c>
      <c r="U27" s="119">
        <v>140</v>
      </c>
      <c r="V27" s="192"/>
      <c r="W27" s="193">
        <f t="shared" si="0"/>
        <v>0.606989247311828</v>
      </c>
    </row>
    <row r="28" ht="12.95" customHeight="1" spans="1:23">
      <c r="A28" s="111">
        <v>22</v>
      </c>
      <c r="B28" s="119">
        <v>238</v>
      </c>
      <c r="C28" s="113">
        <v>128</v>
      </c>
      <c r="D28" s="114">
        <v>116</v>
      </c>
      <c r="E28" s="115">
        <v>3.91</v>
      </c>
      <c r="F28" s="121">
        <v>18.1</v>
      </c>
      <c r="G28" s="117">
        <v>24.8</v>
      </c>
      <c r="H28" s="118">
        <v>36</v>
      </c>
      <c r="I28" s="115" t="s">
        <v>143</v>
      </c>
      <c r="J28" s="118">
        <v>14</v>
      </c>
      <c r="K28" s="115">
        <v>0.33</v>
      </c>
      <c r="L28" s="168">
        <v>0.44</v>
      </c>
      <c r="M28" s="168">
        <v>7.31</v>
      </c>
      <c r="N28" s="114">
        <v>26</v>
      </c>
      <c r="O28" s="169" t="s">
        <v>143</v>
      </c>
      <c r="P28" s="114">
        <v>5</v>
      </c>
      <c r="Q28" s="168">
        <v>0.09</v>
      </c>
      <c r="R28" s="172">
        <v>0.37</v>
      </c>
      <c r="S28" s="168">
        <v>6.42</v>
      </c>
      <c r="T28" s="121">
        <v>77.1</v>
      </c>
      <c r="U28" s="119"/>
      <c r="V28" s="192"/>
      <c r="W28" s="193">
        <f t="shared" si="0"/>
        <v>0.741129032258065</v>
      </c>
    </row>
    <row r="29" ht="12.95" customHeight="1" spans="1:23">
      <c r="A29" s="111">
        <v>23</v>
      </c>
      <c r="B29" s="119">
        <v>247</v>
      </c>
      <c r="C29" s="122">
        <v>130</v>
      </c>
      <c r="D29" s="114">
        <v>174</v>
      </c>
      <c r="E29" s="115">
        <v>5.19</v>
      </c>
      <c r="F29" s="121">
        <v>22.9</v>
      </c>
      <c r="G29" s="117">
        <v>30.1</v>
      </c>
      <c r="H29" s="118">
        <v>39</v>
      </c>
      <c r="I29" s="170" t="s">
        <v>143</v>
      </c>
      <c r="J29" s="118">
        <v>18</v>
      </c>
      <c r="K29" s="115">
        <v>0.24</v>
      </c>
      <c r="L29" s="168">
        <v>0.55</v>
      </c>
      <c r="M29" s="168">
        <v>7.8</v>
      </c>
      <c r="N29" s="114">
        <v>32</v>
      </c>
      <c r="O29" s="169" t="s">
        <v>143</v>
      </c>
      <c r="P29" s="114">
        <v>5</v>
      </c>
      <c r="Q29" s="168">
        <v>0.1</v>
      </c>
      <c r="R29" s="172">
        <v>0.45</v>
      </c>
      <c r="S29" s="168">
        <v>7.51</v>
      </c>
      <c r="T29" s="121">
        <v>77.3</v>
      </c>
      <c r="U29" s="119"/>
      <c r="V29" s="192"/>
      <c r="W29" s="193">
        <f t="shared" si="0"/>
        <v>0.750498338870432</v>
      </c>
    </row>
    <row r="30" ht="12.95" customHeight="1" spans="1:23">
      <c r="A30" s="111">
        <v>24</v>
      </c>
      <c r="B30" s="119">
        <v>297</v>
      </c>
      <c r="C30" s="113">
        <v>157</v>
      </c>
      <c r="D30" s="114">
        <v>120</v>
      </c>
      <c r="E30" s="115">
        <v>5.71</v>
      </c>
      <c r="F30" s="124">
        <v>18</v>
      </c>
      <c r="G30" s="125">
        <v>23.2</v>
      </c>
      <c r="H30" s="118">
        <v>32</v>
      </c>
      <c r="I30" s="115" t="s">
        <v>143</v>
      </c>
      <c r="J30" s="118">
        <v>11</v>
      </c>
      <c r="K30" s="115">
        <v>0.2</v>
      </c>
      <c r="L30" s="168">
        <v>0.57</v>
      </c>
      <c r="M30" s="168">
        <v>7.21</v>
      </c>
      <c r="N30" s="114">
        <v>26</v>
      </c>
      <c r="O30" s="169" t="s">
        <v>143</v>
      </c>
      <c r="P30" s="114">
        <v>5</v>
      </c>
      <c r="Q30" s="168">
        <v>0.09</v>
      </c>
      <c r="R30" s="168">
        <v>0.48</v>
      </c>
      <c r="S30" s="168">
        <v>6.57</v>
      </c>
      <c r="T30" s="124">
        <v>77.9</v>
      </c>
      <c r="U30" s="119">
        <v>100</v>
      </c>
      <c r="V30" s="192"/>
      <c r="W30" s="193">
        <f t="shared" si="0"/>
        <v>0.716810344827586</v>
      </c>
    </row>
    <row r="31" ht="12.95" customHeight="1" spans="1:23">
      <c r="A31" s="111">
        <v>25</v>
      </c>
      <c r="B31" s="119">
        <v>94</v>
      </c>
      <c r="C31" s="113">
        <v>48.8</v>
      </c>
      <c r="D31" s="114">
        <v>84</v>
      </c>
      <c r="E31" s="115">
        <v>3.43</v>
      </c>
      <c r="F31" s="117">
        <v>18.9</v>
      </c>
      <c r="G31" s="125">
        <v>25</v>
      </c>
      <c r="H31" s="118">
        <v>34</v>
      </c>
      <c r="I31" s="115" t="s">
        <v>143</v>
      </c>
      <c r="J31" s="118">
        <v>7</v>
      </c>
      <c r="K31" s="115">
        <v>0.3</v>
      </c>
      <c r="L31" s="168">
        <v>0.46</v>
      </c>
      <c r="M31" s="171">
        <v>6.91</v>
      </c>
      <c r="N31" s="114">
        <v>22</v>
      </c>
      <c r="O31" s="169" t="s">
        <v>143</v>
      </c>
      <c r="P31" s="114">
        <v>5</v>
      </c>
      <c r="Q31" s="168">
        <v>0.08</v>
      </c>
      <c r="R31" s="168">
        <v>0.43</v>
      </c>
      <c r="S31" s="171">
        <v>5.6</v>
      </c>
      <c r="T31" s="121">
        <v>78.1</v>
      </c>
      <c r="U31" s="119" t="s">
        <v>124</v>
      </c>
      <c r="V31" s="192"/>
      <c r="W31" s="193">
        <f t="shared" si="0"/>
        <v>0.776</v>
      </c>
    </row>
    <row r="32" ht="12.95" customHeight="1" spans="1:23">
      <c r="A32" s="111">
        <v>26</v>
      </c>
      <c r="B32" s="119">
        <v>206</v>
      </c>
      <c r="C32" s="113">
        <v>109</v>
      </c>
      <c r="D32" s="114">
        <v>98</v>
      </c>
      <c r="E32" s="115">
        <v>2.24</v>
      </c>
      <c r="F32" s="116">
        <v>21.9</v>
      </c>
      <c r="G32" s="117">
        <v>27.2</v>
      </c>
      <c r="H32" s="118">
        <v>32</v>
      </c>
      <c r="I32" s="115" t="s">
        <v>143</v>
      </c>
      <c r="J32" s="118">
        <v>18</v>
      </c>
      <c r="K32" s="115">
        <v>0.21</v>
      </c>
      <c r="L32" s="168">
        <v>0.46</v>
      </c>
      <c r="M32" s="168">
        <v>7.01</v>
      </c>
      <c r="N32" s="114">
        <v>24</v>
      </c>
      <c r="O32" s="169" t="s">
        <v>143</v>
      </c>
      <c r="P32" s="114">
        <v>6</v>
      </c>
      <c r="Q32" s="168">
        <v>0.09</v>
      </c>
      <c r="R32" s="168">
        <v>0.39</v>
      </c>
      <c r="S32" s="168">
        <v>6.84</v>
      </c>
      <c r="T32" s="121">
        <v>77.9</v>
      </c>
      <c r="U32" s="119" t="s">
        <v>124</v>
      </c>
      <c r="V32" s="192"/>
      <c r="W32" s="193">
        <f t="shared" si="0"/>
        <v>0.748529411764706</v>
      </c>
    </row>
    <row r="33" ht="12.95" customHeight="1" spans="1:23">
      <c r="A33" s="111">
        <v>27</v>
      </c>
      <c r="B33" s="119">
        <v>148</v>
      </c>
      <c r="C33" s="113">
        <v>78.4</v>
      </c>
      <c r="D33" s="114">
        <v>78</v>
      </c>
      <c r="E33" s="115">
        <v>1.98</v>
      </c>
      <c r="F33" s="121">
        <v>15.8</v>
      </c>
      <c r="G33" s="117">
        <v>21.9</v>
      </c>
      <c r="H33" s="118">
        <v>27</v>
      </c>
      <c r="I33" s="115" t="s">
        <v>143</v>
      </c>
      <c r="J33" s="118">
        <v>12</v>
      </c>
      <c r="K33" s="115">
        <v>0.22</v>
      </c>
      <c r="L33" s="168">
        <v>0.55</v>
      </c>
      <c r="M33" s="168">
        <v>6.42</v>
      </c>
      <c r="N33" s="114">
        <v>25</v>
      </c>
      <c r="O33" s="169" t="s">
        <v>143</v>
      </c>
      <c r="P33" s="114">
        <v>6</v>
      </c>
      <c r="Q33" s="168">
        <v>0.08</v>
      </c>
      <c r="R33" s="168">
        <v>0.46</v>
      </c>
      <c r="S33" s="168">
        <v>6.37</v>
      </c>
      <c r="T33" s="121">
        <v>78.8</v>
      </c>
      <c r="U33" s="119" t="s">
        <v>124</v>
      </c>
      <c r="V33" s="192"/>
      <c r="W33" s="193">
        <f t="shared" si="0"/>
        <v>0.709132420091324</v>
      </c>
    </row>
    <row r="34" ht="12.95" customHeight="1" spans="1:23">
      <c r="A34" s="111">
        <v>28</v>
      </c>
      <c r="B34" s="119">
        <v>122</v>
      </c>
      <c r="C34" s="113">
        <v>63.3</v>
      </c>
      <c r="D34" s="114">
        <v>50</v>
      </c>
      <c r="E34" s="115">
        <v>1.15</v>
      </c>
      <c r="F34" s="116">
        <v>12.3</v>
      </c>
      <c r="G34" s="117">
        <v>17.9</v>
      </c>
      <c r="H34" s="118">
        <v>23</v>
      </c>
      <c r="I34" s="115" t="s">
        <v>143</v>
      </c>
      <c r="J34" s="118">
        <v>11</v>
      </c>
      <c r="K34" s="115">
        <v>0.14</v>
      </c>
      <c r="L34" s="168">
        <v>0.35</v>
      </c>
      <c r="M34" s="168">
        <v>6.07</v>
      </c>
      <c r="N34" s="114">
        <v>21</v>
      </c>
      <c r="O34" s="169" t="s">
        <v>143</v>
      </c>
      <c r="P34" s="114">
        <v>5</v>
      </c>
      <c r="Q34" s="168">
        <v>0.08</v>
      </c>
      <c r="R34" s="168">
        <v>0.29</v>
      </c>
      <c r="S34" s="168">
        <v>5.13</v>
      </c>
      <c r="T34" s="121">
        <v>77.7</v>
      </c>
      <c r="U34" s="119" t="s">
        <v>124</v>
      </c>
      <c r="V34" s="192"/>
      <c r="W34" s="193">
        <f t="shared" si="0"/>
        <v>0.71340782122905</v>
      </c>
    </row>
    <row r="35" ht="12.95" customHeight="1" spans="1:23">
      <c r="A35" s="111">
        <v>29</v>
      </c>
      <c r="B35" s="119">
        <v>120</v>
      </c>
      <c r="C35" s="113">
        <v>62.4</v>
      </c>
      <c r="D35" s="114">
        <v>78</v>
      </c>
      <c r="E35" s="115">
        <v>1.69</v>
      </c>
      <c r="F35" s="116">
        <v>16.1</v>
      </c>
      <c r="G35" s="117">
        <v>21.8</v>
      </c>
      <c r="H35" s="118">
        <v>35</v>
      </c>
      <c r="I35" s="115" t="s">
        <v>143</v>
      </c>
      <c r="J35" s="118">
        <v>11</v>
      </c>
      <c r="K35" s="115">
        <v>0.17</v>
      </c>
      <c r="L35" s="168">
        <v>0.37</v>
      </c>
      <c r="M35" s="168">
        <v>6.57</v>
      </c>
      <c r="N35" s="114">
        <v>24</v>
      </c>
      <c r="O35" s="169" t="s">
        <v>143</v>
      </c>
      <c r="P35" s="114">
        <v>5</v>
      </c>
      <c r="Q35" s="168">
        <v>0.09</v>
      </c>
      <c r="R35" s="168">
        <v>0.35</v>
      </c>
      <c r="S35" s="168">
        <v>6.12</v>
      </c>
      <c r="T35" s="121">
        <v>78.9</v>
      </c>
      <c r="U35" s="119"/>
      <c r="V35" s="192"/>
      <c r="W35" s="193"/>
    </row>
    <row r="36" ht="12.95" customHeight="1" spans="1:23">
      <c r="A36" s="111">
        <v>30</v>
      </c>
      <c r="B36" s="119">
        <v>164</v>
      </c>
      <c r="C36" s="113">
        <v>86.9</v>
      </c>
      <c r="D36" s="114">
        <v>108</v>
      </c>
      <c r="E36" s="115">
        <v>4.34</v>
      </c>
      <c r="F36" s="121">
        <v>19.4</v>
      </c>
      <c r="G36" s="117">
        <v>25.5</v>
      </c>
      <c r="H36" s="118">
        <v>33</v>
      </c>
      <c r="I36" s="115" t="s">
        <v>143</v>
      </c>
      <c r="J36" s="118">
        <v>10</v>
      </c>
      <c r="K36" s="115">
        <v>0.26</v>
      </c>
      <c r="L36" s="168">
        <v>0.47</v>
      </c>
      <c r="M36" s="168">
        <v>7.6</v>
      </c>
      <c r="N36" s="114">
        <v>21</v>
      </c>
      <c r="O36" s="169" t="s">
        <v>143</v>
      </c>
      <c r="P36" s="114">
        <v>5</v>
      </c>
      <c r="Q36" s="168">
        <v>0.1</v>
      </c>
      <c r="R36" s="168">
        <v>0.42</v>
      </c>
      <c r="S36" s="168">
        <v>7.04</v>
      </c>
      <c r="T36" s="121">
        <v>76.6</v>
      </c>
      <c r="U36" s="119"/>
      <c r="V36" s="192"/>
      <c r="W36" s="193">
        <f>1-S36/G36</f>
        <v>0.723921568627451</v>
      </c>
    </row>
    <row r="37" ht="12.95" customHeight="1" spans="1:23">
      <c r="A37" s="111">
        <v>31</v>
      </c>
      <c r="B37" s="119">
        <v>212</v>
      </c>
      <c r="C37" s="113">
        <v>112</v>
      </c>
      <c r="D37" s="114">
        <v>124</v>
      </c>
      <c r="E37" s="115">
        <v>4.42</v>
      </c>
      <c r="F37" s="121">
        <v>15.2</v>
      </c>
      <c r="G37" s="117">
        <v>21.7</v>
      </c>
      <c r="H37" s="118">
        <v>31</v>
      </c>
      <c r="I37" s="115" t="s">
        <v>143</v>
      </c>
      <c r="J37" s="118">
        <v>10</v>
      </c>
      <c r="K37" s="115">
        <v>0.24</v>
      </c>
      <c r="L37" s="168">
        <v>0.46</v>
      </c>
      <c r="M37" s="172">
        <v>7.11</v>
      </c>
      <c r="N37" s="114">
        <v>25</v>
      </c>
      <c r="O37" s="169" t="s">
        <v>143</v>
      </c>
      <c r="P37" s="114">
        <v>7</v>
      </c>
      <c r="Q37" s="168">
        <v>0.11</v>
      </c>
      <c r="R37" s="168">
        <v>0.37</v>
      </c>
      <c r="S37" s="168">
        <v>6.74</v>
      </c>
      <c r="T37" s="121">
        <v>77.6</v>
      </c>
      <c r="U37" s="119" t="s">
        <v>124</v>
      </c>
      <c r="V37" s="192"/>
      <c r="W37" s="193">
        <f>1-S37/G37</f>
        <v>0.689400921658986</v>
      </c>
    </row>
    <row r="38" ht="12.95" customHeight="1" spans="1:21">
      <c r="A38" s="111" t="s">
        <v>63</v>
      </c>
      <c r="B38" s="114">
        <f>ROUND(AVERAGE(B7:B37),0)</f>
        <v>214</v>
      </c>
      <c r="C38" s="114">
        <f>ROUND(AVERAGE(C7:C37),0)</f>
        <v>113</v>
      </c>
      <c r="D38" s="114">
        <f>ROUND(AVERAGE(D7:D37),0)</f>
        <v>111</v>
      </c>
      <c r="E38" s="115">
        <f>ROUND(AVERAGE(E7:E37),2)</f>
        <v>3.95</v>
      </c>
      <c r="F38" s="121">
        <f>ROUND(AVERAGE(F7:F37),1)</f>
        <v>18.1</v>
      </c>
      <c r="G38" s="121">
        <f>ROUND(AVERAGE(G7:G37),1)</f>
        <v>24.3</v>
      </c>
      <c r="H38" s="126">
        <f>ROUND(AVERAGE(H7:H37),1)</f>
        <v>35.2</v>
      </c>
      <c r="I38" s="173">
        <f>ROUND(AVERAGE(I7:I37),2)</f>
        <v>2.3</v>
      </c>
      <c r="J38" s="174">
        <f>ROUND(AVERAGE(J7:J37),2)</f>
        <v>14.84</v>
      </c>
      <c r="K38" s="173">
        <f>ROUND(AVERAGE(K7:K37),2)</f>
        <v>0.27</v>
      </c>
      <c r="L38" s="173">
        <f>ROUND(AVERAGE(L7:L37),2)</f>
        <v>0.56</v>
      </c>
      <c r="M38" s="172">
        <f>ROUND(AVERAGE(M7:M37),1)</f>
        <v>7.6</v>
      </c>
      <c r="N38" s="114">
        <f>ROUND(AVERAGE(N7:N37),1)</f>
        <v>25.6</v>
      </c>
      <c r="O38" s="169" t="s">
        <v>143</v>
      </c>
      <c r="P38" s="114">
        <f>ROUND(AVERAGE(P7:P37),2)</f>
        <v>5.45</v>
      </c>
      <c r="Q38" s="168">
        <f>ROUND(AVERAGE(Q7:Q37),2)</f>
        <v>0.1</v>
      </c>
      <c r="R38" s="115">
        <f>ROUND(AVERAGE(R7:R37),2)</f>
        <v>0.44</v>
      </c>
      <c r="S38" s="172">
        <f>ROUND(AVERAGE(S7:S37),2)</f>
        <v>6.88</v>
      </c>
      <c r="T38" s="117">
        <f>ROUND(AVERAGE(T7:T37),2)</f>
        <v>77.74</v>
      </c>
      <c r="U38" s="119" t="s">
        <v>124</v>
      </c>
    </row>
    <row r="39" ht="21" customHeight="1" spans="1:21">
      <c r="A39" s="127" t="s">
        <v>66</v>
      </c>
      <c r="B39" s="128"/>
      <c r="C39" s="128"/>
      <c r="D39" s="129"/>
      <c r="E39" s="130"/>
      <c r="F39" s="131"/>
      <c r="H39"/>
      <c r="I39"/>
      <c r="J39" s="127" t="s">
        <v>67</v>
      </c>
      <c r="K39" s="175"/>
      <c r="L39" s="175"/>
      <c r="M39" s="175"/>
      <c r="N39" s="127"/>
      <c r="O39" s="176"/>
      <c r="P39" s="176"/>
      <c r="Q39" s="194" t="s">
        <v>144</v>
      </c>
      <c r="R39" s="194"/>
      <c r="S39" s="194"/>
      <c r="T39" s="194"/>
      <c r="U39" s="195"/>
    </row>
    <row r="40" ht="21" customHeight="1" spans="1:21">
      <c r="A40" s="132"/>
      <c r="B40" s="133"/>
      <c r="C40" s="134"/>
      <c r="D40" s="135"/>
      <c r="E40" s="136"/>
      <c r="F40" s="137"/>
      <c r="H40"/>
      <c r="I40"/>
      <c r="J40" s="176"/>
      <c r="K40" s="176"/>
      <c r="L40" s="176"/>
      <c r="M40" s="176"/>
      <c r="N40" s="132"/>
      <c r="O40" s="176"/>
      <c r="P40" s="176"/>
      <c r="Q40" s="196"/>
      <c r="R40" s="196"/>
      <c r="S40" s="196"/>
      <c r="T40" s="196"/>
      <c r="U40" s="195"/>
    </row>
    <row r="41" ht="15.75" spans="2:19">
      <c r="B41" s="138" t="s">
        <v>105</v>
      </c>
      <c r="C41" s="138" t="s">
        <v>145</v>
      </c>
      <c r="D41" s="139" t="s">
        <v>146</v>
      </c>
      <c r="E41" s="138" t="s">
        <v>147</v>
      </c>
      <c r="F41" s="138" t="s">
        <v>148</v>
      </c>
      <c r="G41" s="139" t="s">
        <v>146</v>
      </c>
      <c r="H41" s="138" t="s">
        <v>147</v>
      </c>
      <c r="I41" s="139" t="s">
        <v>149</v>
      </c>
      <c r="J41" s="176"/>
      <c r="K41" s="176"/>
      <c r="L41" s="176"/>
      <c r="S41" s="197"/>
    </row>
    <row r="42" ht="30" spans="2:20">
      <c r="B42" s="138"/>
      <c r="C42" s="138"/>
      <c r="D42" s="140" t="s">
        <v>150</v>
      </c>
      <c r="E42" s="138"/>
      <c r="F42" s="138"/>
      <c r="G42" s="140" t="s">
        <v>150</v>
      </c>
      <c r="H42" s="138"/>
      <c r="I42" s="140" t="s">
        <v>151</v>
      </c>
      <c r="J42" s="176"/>
      <c r="K42" s="176"/>
      <c r="L42" s="176"/>
      <c r="M42" s="177"/>
      <c r="N42" s="177"/>
      <c r="O42" s="177"/>
      <c r="P42" s="177"/>
      <c r="Q42" s="177"/>
      <c r="R42" s="177"/>
      <c r="S42" s="198"/>
      <c r="T42" s="198"/>
    </row>
    <row r="43" ht="18" spans="2:18">
      <c r="B43" s="141" t="s">
        <v>152</v>
      </c>
      <c r="C43" s="142">
        <f>B38</f>
        <v>214</v>
      </c>
      <c r="D43" s="143">
        <f>MAX(B7:B37)</f>
        <v>395</v>
      </c>
      <c r="E43" s="143">
        <f>MIN(B7:B37)</f>
        <v>94</v>
      </c>
      <c r="F43" s="144">
        <f>N38</f>
        <v>25.6</v>
      </c>
      <c r="G43" s="145">
        <f>MAX(N7:N37)</f>
        <v>32</v>
      </c>
      <c r="H43" s="143">
        <f>MIN(N7:N37)</f>
        <v>20</v>
      </c>
      <c r="I43" s="178">
        <f t="shared" ref="I43:I48" si="1">1-F43/C43</f>
        <v>0.880373831775701</v>
      </c>
      <c r="J43" s="160"/>
      <c r="K43" s="141" t="s">
        <v>153</v>
      </c>
      <c r="L43" s="179">
        <f>C44/C43</f>
        <v>0.52803738317757</v>
      </c>
      <c r="M43" s="180"/>
      <c r="N43" s="181"/>
      <c r="O43" s="181"/>
      <c r="P43" s="181"/>
      <c r="Q43" s="180"/>
      <c r="R43" s="185"/>
    </row>
    <row r="44" ht="17.25" spans="2:18">
      <c r="B44" s="146" t="s">
        <v>154</v>
      </c>
      <c r="C44" s="147">
        <f>C38</f>
        <v>113</v>
      </c>
      <c r="D44" s="148">
        <f>MAX(C7:C37)</f>
        <v>213</v>
      </c>
      <c r="E44" s="149">
        <f>MIN(C7:C37)</f>
        <v>48.8</v>
      </c>
      <c r="F44" s="150" t="s">
        <v>143</v>
      </c>
      <c r="G44" s="149" t="s">
        <v>143</v>
      </c>
      <c r="H44" s="149" t="s">
        <v>143</v>
      </c>
      <c r="I44" s="182">
        <f>1-2/C44</f>
        <v>0.982300884955752</v>
      </c>
      <c r="J44" s="160"/>
      <c r="K44" s="146" t="s">
        <v>155</v>
      </c>
      <c r="L44" s="183">
        <f>C44/C48</f>
        <v>4.65020576131687</v>
      </c>
      <c r="M44" s="180"/>
      <c r="N44" s="181"/>
      <c r="O44" s="181"/>
      <c r="P44" s="181"/>
      <c r="Q44" s="180"/>
      <c r="R44" s="185"/>
    </row>
    <row r="45" ht="17.25" spans="2:18">
      <c r="B45" s="146" t="s">
        <v>114</v>
      </c>
      <c r="C45" s="151">
        <f>D38</f>
        <v>111</v>
      </c>
      <c r="D45" s="149">
        <f>MAX(D7:D37)</f>
        <v>198</v>
      </c>
      <c r="E45" s="152">
        <f>MIN(D7:D37)</f>
        <v>50</v>
      </c>
      <c r="F45" s="153">
        <f>P38</f>
        <v>5.45</v>
      </c>
      <c r="G45" s="154">
        <f>MAX(P7:P37)</f>
        <v>8</v>
      </c>
      <c r="H45" s="154">
        <f>MIN(P7:P37)</f>
        <v>5</v>
      </c>
      <c r="I45" s="182">
        <f t="shared" si="1"/>
        <v>0.950900900900901</v>
      </c>
      <c r="J45" s="160"/>
      <c r="K45" s="146" t="s">
        <v>156</v>
      </c>
      <c r="L45" s="184">
        <f>C44/C46</f>
        <v>28.6075949367089</v>
      </c>
      <c r="M45" s="185"/>
      <c r="N45" s="185"/>
      <c r="O45" s="185"/>
      <c r="P45" s="185"/>
      <c r="Q45" s="185"/>
      <c r="R45" s="185"/>
    </row>
    <row r="46" ht="17.25" spans="2:12">
      <c r="B46" s="146" t="s">
        <v>116</v>
      </c>
      <c r="C46" s="153">
        <f>E38</f>
        <v>3.95</v>
      </c>
      <c r="D46" s="149">
        <f>MAX(E7:E37)</f>
        <v>5.88</v>
      </c>
      <c r="E46" s="149">
        <f>MIN(E7:E37)</f>
        <v>1.15</v>
      </c>
      <c r="F46" s="153">
        <f>Q38</f>
        <v>0.1</v>
      </c>
      <c r="G46" s="154">
        <f>MAX(Q7:Q37)</f>
        <v>0.12</v>
      </c>
      <c r="H46" s="154">
        <f>MIN(Q7:Q37)</f>
        <v>0.08</v>
      </c>
      <c r="I46" s="182">
        <f t="shared" si="1"/>
        <v>0.974683544303797</v>
      </c>
      <c r="J46" s="160"/>
      <c r="K46" s="146"/>
      <c r="L46" s="186"/>
    </row>
    <row r="47" ht="17.25" spans="2:12">
      <c r="B47" s="146" t="s">
        <v>157</v>
      </c>
      <c r="C47" s="147">
        <f>F38</f>
        <v>18.1</v>
      </c>
      <c r="D47" s="149">
        <f>MAX(F7:F37)</f>
        <v>24.4</v>
      </c>
      <c r="E47" s="149">
        <f>MIN(F7:F37)</f>
        <v>11.5</v>
      </c>
      <c r="F47" s="153">
        <f>R38</f>
        <v>0.44</v>
      </c>
      <c r="G47" s="149">
        <f>MAX(R7:R37)</f>
        <v>1.34</v>
      </c>
      <c r="H47" s="154">
        <f>MIN(R7:R37)</f>
        <v>0.26</v>
      </c>
      <c r="I47" s="182">
        <f t="shared" si="1"/>
        <v>0.975690607734807</v>
      </c>
      <c r="J47" s="160"/>
      <c r="K47" s="146"/>
      <c r="L47" s="186"/>
    </row>
    <row r="48" ht="17.25" spans="2:12">
      <c r="B48" s="155" t="s">
        <v>119</v>
      </c>
      <c r="C48" s="156">
        <f>G38</f>
        <v>24.3</v>
      </c>
      <c r="D48" s="157">
        <f>MAX(G7:G37)</f>
        <v>30.6</v>
      </c>
      <c r="E48" s="157">
        <f>MIN(G7:G37)</f>
        <v>16.3</v>
      </c>
      <c r="F48" s="158">
        <f>S38</f>
        <v>6.88</v>
      </c>
      <c r="G48" s="157">
        <f>MAX(S7:S37)</f>
        <v>8.26</v>
      </c>
      <c r="H48" s="157">
        <f>MIN(S7:S37)</f>
        <v>5.13</v>
      </c>
      <c r="I48" s="187">
        <f t="shared" si="1"/>
        <v>0.716872427983539</v>
      </c>
      <c r="J48" s="160"/>
      <c r="K48" s="155"/>
      <c r="L48" s="188"/>
    </row>
    <row r="49" ht="17.25" spans="2:12">
      <c r="B49" s="159"/>
      <c r="C49" s="160"/>
      <c r="D49" s="160"/>
      <c r="E49" s="160"/>
      <c r="F49" s="160"/>
      <c r="G49" s="160"/>
      <c r="H49" s="161"/>
      <c r="I49" s="160"/>
      <c r="J49" s="160"/>
      <c r="K49" s="161"/>
      <c r="L49" s="160"/>
    </row>
    <row r="50" spans="2:2">
      <c r="B50" s="162"/>
    </row>
    <row r="51" spans="2:2">
      <c r="B51" s="162"/>
    </row>
    <row r="52" spans="2:2">
      <c r="B52" s="162"/>
    </row>
    <row r="53" spans="2:2">
      <c r="B53" s="162"/>
    </row>
    <row r="54" spans="2:2">
      <c r="B54" s="162"/>
    </row>
    <row r="55" spans="2:2">
      <c r="B55" s="162"/>
    </row>
    <row r="56" spans="2:2">
      <c r="B56" s="162"/>
    </row>
    <row r="57" spans="2:2">
      <c r="B57" s="162"/>
    </row>
    <row r="58" spans="2:2">
      <c r="B58" s="162"/>
    </row>
    <row r="59" spans="2:2">
      <c r="B59" s="162"/>
    </row>
    <row r="60" spans="2:2">
      <c r="B60" s="162"/>
    </row>
    <row r="61" spans="2:2">
      <c r="B61" s="162"/>
    </row>
    <row r="62" spans="2:2">
      <c r="B62" s="162"/>
    </row>
    <row r="63" spans="2:2">
      <c r="B63" s="162"/>
    </row>
    <row r="64" spans="2:2">
      <c r="B64" s="162"/>
    </row>
    <row r="65" spans="2:2">
      <c r="B65" s="162"/>
    </row>
    <row r="66" spans="2:2">
      <c r="B66" s="162"/>
    </row>
    <row r="67" spans="2:2">
      <c r="B67" s="162"/>
    </row>
    <row r="68" spans="2:2">
      <c r="B68" s="162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6"/>
  <sheetViews>
    <sheetView workbookViewId="0">
      <selection activeCell="G8" sqref="G8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158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43952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159</v>
      </c>
      <c r="B3" s="6" t="s">
        <v>160</v>
      </c>
      <c r="C3" s="6" t="s">
        <v>161</v>
      </c>
      <c r="D3" s="6" t="s">
        <v>162</v>
      </c>
      <c r="E3" s="60" t="s">
        <v>163</v>
      </c>
      <c r="F3" s="60" t="s">
        <v>164</v>
      </c>
      <c r="G3" s="61" t="s">
        <v>165</v>
      </c>
      <c r="H3" s="62" t="s">
        <v>166</v>
      </c>
      <c r="I3" s="60" t="s">
        <v>167</v>
      </c>
      <c r="J3" s="6" t="s">
        <v>168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169</v>
      </c>
      <c r="E5" s="60" t="s">
        <v>170</v>
      </c>
      <c r="F5" s="60" t="s">
        <v>171</v>
      </c>
      <c r="G5" s="61" t="s">
        <v>171</v>
      </c>
      <c r="H5" s="62" t="s">
        <v>172</v>
      </c>
      <c r="I5" s="60" t="s">
        <v>172</v>
      </c>
      <c r="J5" s="6"/>
    </row>
    <row r="6" customHeight="1" spans="1:10">
      <c r="A6" s="64" t="s">
        <v>173</v>
      </c>
      <c r="B6" s="65" t="s">
        <v>174</v>
      </c>
      <c r="C6" s="65" t="s">
        <v>175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/>
    </row>
    <row r="7" customHeight="1" spans="1:10">
      <c r="A7" s="64"/>
      <c r="B7" s="65"/>
      <c r="C7" s="65" t="s">
        <v>176</v>
      </c>
      <c r="D7" s="65">
        <v>31</v>
      </c>
      <c r="E7" s="65">
        <v>2</v>
      </c>
      <c r="F7" s="65">
        <v>62</v>
      </c>
      <c r="G7" s="65">
        <v>56</v>
      </c>
      <c r="H7" s="66">
        <v>0.9</v>
      </c>
      <c r="I7" s="66">
        <v>0.9</v>
      </c>
      <c r="J7" s="65" t="s">
        <v>177</v>
      </c>
    </row>
    <row r="8" customHeight="1" spans="1:10">
      <c r="A8" s="64"/>
      <c r="B8" s="65" t="s">
        <v>178</v>
      </c>
      <c r="C8" s="65" t="s">
        <v>64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/>
    </row>
    <row r="9" customHeight="1" spans="1:10">
      <c r="A9" s="64"/>
      <c r="B9" s="65" t="s">
        <v>179</v>
      </c>
      <c r="C9" s="65" t="s">
        <v>64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/>
    </row>
    <row r="10" customHeight="1" spans="1:10">
      <c r="A10" s="64"/>
      <c r="B10" s="65" t="s">
        <v>180</v>
      </c>
      <c r="C10" s="65" t="s">
        <v>175</v>
      </c>
      <c r="D10" s="65">
        <v>31</v>
      </c>
      <c r="E10" s="65">
        <v>24</v>
      </c>
      <c r="F10" s="65">
        <v>744</v>
      </c>
      <c r="G10" s="65">
        <v>534</v>
      </c>
      <c r="H10" s="66">
        <v>0.717741935483871</v>
      </c>
      <c r="I10" s="66">
        <v>1</v>
      </c>
      <c r="J10" s="65"/>
    </row>
    <row r="11" customHeight="1" spans="1:10">
      <c r="A11" s="64"/>
      <c r="B11" s="65"/>
      <c r="C11" s="65" t="s">
        <v>176</v>
      </c>
      <c r="D11" s="65">
        <v>31</v>
      </c>
      <c r="E11" s="65">
        <v>24</v>
      </c>
      <c r="F11" s="65">
        <v>744</v>
      </c>
      <c r="G11" s="65">
        <v>514</v>
      </c>
      <c r="H11" s="66">
        <v>0.690860215053763</v>
      </c>
      <c r="I11" s="66">
        <v>1</v>
      </c>
      <c r="J11" s="65"/>
    </row>
    <row r="12" customHeight="1" spans="1:10">
      <c r="A12" s="64"/>
      <c r="B12" s="65"/>
      <c r="C12" s="65" t="s">
        <v>181</v>
      </c>
      <c r="D12" s="65">
        <v>31</v>
      </c>
      <c r="E12" s="65">
        <v>24</v>
      </c>
      <c r="F12" s="65">
        <v>744</v>
      </c>
      <c r="G12" s="65">
        <v>506</v>
      </c>
      <c r="H12" s="66">
        <v>0.68010752688172</v>
      </c>
      <c r="I12" s="66">
        <v>1</v>
      </c>
      <c r="J12" s="65"/>
    </row>
    <row r="13" customHeight="1" spans="1:10">
      <c r="A13" s="64"/>
      <c r="B13" s="65"/>
      <c r="C13" s="65" t="s">
        <v>182</v>
      </c>
      <c r="D13" s="65">
        <v>31</v>
      </c>
      <c r="E13" s="65">
        <v>24</v>
      </c>
      <c r="F13" s="65">
        <v>744</v>
      </c>
      <c r="G13" s="65">
        <v>154</v>
      </c>
      <c r="H13" s="66">
        <v>0.206989247311828</v>
      </c>
      <c r="I13" s="66">
        <v>1</v>
      </c>
      <c r="J13" s="65"/>
    </row>
    <row r="14" customHeight="1" spans="1:10">
      <c r="A14" s="64"/>
      <c r="B14" s="65"/>
      <c r="C14" s="65" t="s">
        <v>183</v>
      </c>
      <c r="D14" s="65">
        <v>31</v>
      </c>
      <c r="E14" s="65">
        <v>24</v>
      </c>
      <c r="F14" s="65">
        <v>744</v>
      </c>
      <c r="G14" s="65">
        <v>740</v>
      </c>
      <c r="H14" s="66">
        <v>0.994623655913978</v>
      </c>
      <c r="I14" s="66">
        <v>1</v>
      </c>
      <c r="J14" s="65"/>
    </row>
    <row r="15" customHeight="1" spans="1:10">
      <c r="A15" s="64"/>
      <c r="B15" s="65" t="s">
        <v>184</v>
      </c>
      <c r="C15" s="65" t="s">
        <v>175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 t="s">
        <v>185</v>
      </c>
    </row>
    <row r="16" customHeight="1" spans="1:10">
      <c r="A16" s="64"/>
      <c r="B16" s="65"/>
      <c r="C16" s="65" t="s">
        <v>176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 t="s">
        <v>185</v>
      </c>
    </row>
    <row r="17" customHeight="1" spans="1:10">
      <c r="A17" s="64"/>
      <c r="B17" s="65"/>
      <c r="C17" s="65" t="s">
        <v>181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 t="s">
        <v>185</v>
      </c>
    </row>
    <row r="18" customHeight="1" spans="1:10">
      <c r="A18" s="64"/>
      <c r="B18" s="65"/>
      <c r="C18" s="65" t="s">
        <v>182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 t="s">
        <v>185</v>
      </c>
    </row>
    <row r="19" customHeight="1" spans="1:10">
      <c r="A19" s="64"/>
      <c r="B19" s="65"/>
      <c r="C19" s="65" t="s">
        <v>183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 t="s">
        <v>185</v>
      </c>
    </row>
    <row r="20" customHeight="1" spans="1:10">
      <c r="A20" s="64"/>
      <c r="B20" s="65"/>
      <c r="C20" s="65" t="s">
        <v>186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 t="s">
        <v>185</v>
      </c>
    </row>
    <row r="21" customHeight="1" spans="1:10">
      <c r="A21" s="64"/>
      <c r="B21" s="65" t="s">
        <v>178</v>
      </c>
      <c r="C21" s="65" t="s">
        <v>175</v>
      </c>
      <c r="D21" s="65">
        <v>31</v>
      </c>
      <c r="E21" s="65">
        <v>2</v>
      </c>
      <c r="F21" s="65">
        <v>62</v>
      </c>
      <c r="G21" s="65">
        <v>15.5</v>
      </c>
      <c r="H21" s="66">
        <v>0.25</v>
      </c>
      <c r="I21" s="66">
        <v>1</v>
      </c>
      <c r="J21" s="65" t="s">
        <v>185</v>
      </c>
    </row>
    <row r="22" customHeight="1" spans="1:10">
      <c r="A22" s="64"/>
      <c r="B22" s="65"/>
      <c r="C22" s="65" t="s">
        <v>176</v>
      </c>
      <c r="D22" s="65">
        <v>31</v>
      </c>
      <c r="E22" s="65">
        <v>2</v>
      </c>
      <c r="F22" s="65">
        <v>62</v>
      </c>
      <c r="G22" s="65">
        <v>15.5</v>
      </c>
      <c r="H22" s="66">
        <v>0.25</v>
      </c>
      <c r="I22" s="66">
        <v>1</v>
      </c>
      <c r="J22" s="65" t="s">
        <v>185</v>
      </c>
    </row>
    <row r="23" customHeight="1" spans="1:10">
      <c r="A23" s="64"/>
      <c r="B23" s="65" t="s">
        <v>179</v>
      </c>
      <c r="C23" s="65" t="s">
        <v>175</v>
      </c>
      <c r="D23" s="65">
        <v>31</v>
      </c>
      <c r="E23" s="65">
        <v>2</v>
      </c>
      <c r="F23" s="65">
        <v>62</v>
      </c>
      <c r="G23" s="65">
        <v>15.5</v>
      </c>
      <c r="H23" s="66">
        <v>0.25</v>
      </c>
      <c r="I23" s="66">
        <v>1</v>
      </c>
      <c r="J23" s="65" t="s">
        <v>185</v>
      </c>
    </row>
    <row r="24" customHeight="1" spans="1:10">
      <c r="A24" s="64"/>
      <c r="B24" s="65"/>
      <c r="C24" s="65" t="s">
        <v>176</v>
      </c>
      <c r="D24" s="65">
        <v>31</v>
      </c>
      <c r="E24" s="65">
        <v>2</v>
      </c>
      <c r="F24" s="65">
        <v>62</v>
      </c>
      <c r="G24" s="65">
        <v>15.5</v>
      </c>
      <c r="H24" s="66">
        <v>0.25</v>
      </c>
      <c r="I24" s="66">
        <v>1</v>
      </c>
      <c r="J24" s="65" t="s">
        <v>185</v>
      </c>
    </row>
    <row r="25" customHeight="1" spans="1:10">
      <c r="A25" s="64"/>
      <c r="B25" s="65" t="s">
        <v>187</v>
      </c>
      <c r="C25" s="65" t="s">
        <v>175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0</v>
      </c>
      <c r="J25" s="65"/>
    </row>
    <row r="26" customHeight="1" spans="1:10">
      <c r="A26" s="64"/>
      <c r="B26" s="65" t="s">
        <v>188</v>
      </c>
      <c r="C26" s="65" t="s">
        <v>175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 t="s">
        <v>185</v>
      </c>
    </row>
    <row r="27" customHeight="1" spans="1:10">
      <c r="A27" s="64"/>
      <c r="B27" s="65" t="s">
        <v>187</v>
      </c>
      <c r="C27" s="65" t="s">
        <v>176</v>
      </c>
      <c r="D27" s="65">
        <v>31</v>
      </c>
      <c r="E27" s="65">
        <v>24</v>
      </c>
      <c r="F27" s="65">
        <v>744</v>
      </c>
      <c r="G27" s="65">
        <v>744</v>
      </c>
      <c r="H27" s="66">
        <v>1</v>
      </c>
      <c r="I27" s="66">
        <v>1</v>
      </c>
      <c r="J27" s="65" t="s">
        <v>185</v>
      </c>
    </row>
    <row r="28" customHeight="1" spans="1:10">
      <c r="A28" s="64"/>
      <c r="B28" s="65" t="s">
        <v>188</v>
      </c>
      <c r="C28" s="65" t="s">
        <v>176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 t="s">
        <v>185</v>
      </c>
    </row>
    <row r="29" customHeight="1" spans="1:10">
      <c r="A29" s="64"/>
      <c r="B29" s="65" t="s">
        <v>187</v>
      </c>
      <c r="C29" s="65" t="s">
        <v>181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 t="s">
        <v>185</v>
      </c>
    </row>
    <row r="30" customHeight="1" spans="1:10">
      <c r="A30" s="64"/>
      <c r="B30" s="65" t="s">
        <v>188</v>
      </c>
      <c r="C30" s="65" t="s">
        <v>181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 t="s">
        <v>185</v>
      </c>
    </row>
    <row r="31" customHeight="1" spans="1:10">
      <c r="A31" s="64"/>
      <c r="B31" s="65" t="s">
        <v>187</v>
      </c>
      <c r="C31" s="65" t="s">
        <v>182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0</v>
      </c>
      <c r="J31" s="65"/>
    </row>
    <row r="32" customHeight="1" spans="1:10">
      <c r="A32" s="64"/>
      <c r="B32" s="65" t="s">
        <v>188</v>
      </c>
      <c r="C32" s="65" t="s">
        <v>182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 t="s">
        <v>185</v>
      </c>
    </row>
    <row r="33" customHeight="1" spans="1:10">
      <c r="A33" s="64"/>
      <c r="B33" s="65" t="s">
        <v>189</v>
      </c>
      <c r="C33" s="65" t="s">
        <v>175</v>
      </c>
      <c r="D33" s="65">
        <v>31</v>
      </c>
      <c r="E33" s="65">
        <v>24</v>
      </c>
      <c r="F33" s="65">
        <v>744</v>
      </c>
      <c r="G33" s="65">
        <v>366</v>
      </c>
      <c r="H33" s="66">
        <v>0.491935483870968</v>
      </c>
      <c r="I33" s="66">
        <v>1</v>
      </c>
      <c r="J33" s="65"/>
    </row>
    <row r="34" customHeight="1" spans="1:10">
      <c r="A34" s="64"/>
      <c r="B34" s="65"/>
      <c r="C34" s="65" t="s">
        <v>176</v>
      </c>
      <c r="D34" s="65">
        <v>31</v>
      </c>
      <c r="E34" s="65">
        <v>24</v>
      </c>
      <c r="F34" s="65">
        <v>744</v>
      </c>
      <c r="G34" s="65">
        <v>36</v>
      </c>
      <c r="H34" s="66">
        <v>0.0483870967741935</v>
      </c>
      <c r="I34" s="66">
        <v>1</v>
      </c>
      <c r="J34" s="65"/>
    </row>
    <row r="35" customHeight="1" spans="1:10">
      <c r="A35" s="64"/>
      <c r="B35" s="65"/>
      <c r="C35" s="65" t="s">
        <v>181</v>
      </c>
      <c r="D35" s="65">
        <v>31</v>
      </c>
      <c r="E35" s="65">
        <v>24</v>
      </c>
      <c r="F35" s="65">
        <v>744</v>
      </c>
      <c r="G35" s="65">
        <v>342</v>
      </c>
      <c r="H35" s="66">
        <v>0.459677419354839</v>
      </c>
      <c r="I35" s="66">
        <v>1</v>
      </c>
      <c r="J35" s="65" t="s">
        <v>190</v>
      </c>
    </row>
    <row r="36" customHeight="1" spans="1:10">
      <c r="A36" s="64"/>
      <c r="B36" s="65"/>
      <c r="C36" s="65" t="s">
        <v>182</v>
      </c>
      <c r="D36" s="65">
        <v>31</v>
      </c>
      <c r="E36" s="65">
        <v>24</v>
      </c>
      <c r="F36" s="65">
        <v>744</v>
      </c>
      <c r="G36" s="65">
        <v>360</v>
      </c>
      <c r="H36" s="66">
        <v>0.483870967741935</v>
      </c>
      <c r="I36" s="66">
        <v>1</v>
      </c>
      <c r="J36" s="65"/>
    </row>
    <row r="37" customHeight="1" spans="1:10">
      <c r="A37" s="64"/>
      <c r="B37" s="65"/>
      <c r="C37" s="65" t="s">
        <v>183</v>
      </c>
      <c r="D37" s="65">
        <v>31</v>
      </c>
      <c r="E37" s="65">
        <v>24</v>
      </c>
      <c r="F37" s="65">
        <v>744</v>
      </c>
      <c r="G37" s="65">
        <v>396</v>
      </c>
      <c r="H37" s="66">
        <v>0.532258064516129</v>
      </c>
      <c r="I37" s="66">
        <v>1</v>
      </c>
      <c r="J37" s="65"/>
    </row>
    <row r="38" customHeight="1" spans="1:10">
      <c r="A38" s="67" t="s">
        <v>66</v>
      </c>
      <c r="B38" s="67"/>
      <c r="C38" s="68"/>
      <c r="D38" s="68"/>
      <c r="E38" s="69" t="s">
        <v>67</v>
      </c>
      <c r="F38" s="69"/>
      <c r="G38" s="70"/>
      <c r="H38" s="71" t="s">
        <v>191</v>
      </c>
      <c r="I38" s="71"/>
      <c r="J38" s="71"/>
    </row>
    <row r="39" ht="34" customHeight="1"/>
    <row r="46" ht="33" customHeight="1" spans="1:10">
      <c r="A46" s="57" t="s">
        <v>158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2">
        <v>43952</v>
      </c>
      <c r="B47" s="72"/>
      <c r="C47" s="72"/>
      <c r="D47" s="72"/>
      <c r="E47" s="72"/>
      <c r="F47" s="72"/>
      <c r="G47" s="72"/>
      <c r="H47" s="72"/>
      <c r="I47" s="72"/>
      <c r="J47" s="72"/>
    </row>
    <row r="48" customHeight="1" spans="1:10">
      <c r="A48" s="6" t="s">
        <v>159</v>
      </c>
      <c r="B48" s="6" t="s">
        <v>160</v>
      </c>
      <c r="C48" s="6" t="s">
        <v>161</v>
      </c>
      <c r="D48" s="6" t="s">
        <v>162</v>
      </c>
      <c r="E48" s="60" t="s">
        <v>163</v>
      </c>
      <c r="F48" s="60" t="s">
        <v>164</v>
      </c>
      <c r="G48" s="61" t="s">
        <v>165</v>
      </c>
      <c r="H48" s="62" t="s">
        <v>166</v>
      </c>
      <c r="I48" s="60" t="s">
        <v>167</v>
      </c>
      <c r="J48" s="6" t="s">
        <v>168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3"/>
      <c r="D50" s="8" t="s">
        <v>169</v>
      </c>
      <c r="E50" s="74" t="s">
        <v>170</v>
      </c>
      <c r="F50" s="74" t="s">
        <v>171</v>
      </c>
      <c r="G50" s="75" t="s">
        <v>171</v>
      </c>
      <c r="H50" s="76" t="s">
        <v>172</v>
      </c>
      <c r="I50" s="60" t="s">
        <v>172</v>
      </c>
      <c r="J50" s="6"/>
    </row>
    <row r="51" customHeight="1" spans="1:10">
      <c r="A51" s="77" t="s">
        <v>192</v>
      </c>
      <c r="B51" s="64" t="s">
        <v>193</v>
      </c>
      <c r="C51" s="65" t="s">
        <v>175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9">
        <v>1</v>
      </c>
      <c r="J51" s="65"/>
    </row>
    <row r="52" customHeight="1" spans="1:10">
      <c r="A52" s="78"/>
      <c r="B52" s="65"/>
      <c r="C52" s="65" t="s">
        <v>176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9">
        <v>1</v>
      </c>
      <c r="J52" s="65"/>
    </row>
    <row r="53" customHeight="1" spans="1:10">
      <c r="A53" s="78"/>
      <c r="B53" s="65"/>
      <c r="C53" s="65" t="s">
        <v>181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9">
        <v>1</v>
      </c>
      <c r="J53" s="65"/>
    </row>
    <row r="54" customHeight="1" spans="1:10">
      <c r="A54" s="78"/>
      <c r="B54" s="65"/>
      <c r="C54" s="65" t="s">
        <v>182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9">
        <v>1</v>
      </c>
      <c r="J54" s="65"/>
    </row>
    <row r="55" customHeight="1" spans="1:10">
      <c r="A55" s="78"/>
      <c r="B55" s="65"/>
      <c r="C55" s="65" t="s">
        <v>183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9">
        <v>1</v>
      </c>
      <c r="J55" s="65"/>
    </row>
    <row r="56" customHeight="1" spans="1:10">
      <c r="A56" s="78"/>
      <c r="B56" s="65"/>
      <c r="C56" s="65" t="s">
        <v>186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9">
        <v>1</v>
      </c>
      <c r="J56" s="65"/>
    </row>
    <row r="57" customHeight="1" spans="1:10">
      <c r="A57" s="78"/>
      <c r="B57" s="65"/>
      <c r="C57" s="65" t="s">
        <v>194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9">
        <v>1</v>
      </c>
      <c r="J57" s="65"/>
    </row>
    <row r="58" customHeight="1" spans="1:10">
      <c r="A58" s="78"/>
      <c r="B58" s="65"/>
      <c r="C58" s="65" t="s">
        <v>195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9">
        <v>1</v>
      </c>
      <c r="J58" s="65"/>
    </row>
    <row r="59" customHeight="1" spans="1:10">
      <c r="A59" s="78"/>
      <c r="B59" s="65"/>
      <c r="C59" s="65" t="s">
        <v>196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9">
        <v>1</v>
      </c>
      <c r="J59" s="65"/>
    </row>
    <row r="60" customHeight="1" spans="1:10">
      <c r="A60" s="78"/>
      <c r="B60" s="65"/>
      <c r="C60" s="65" t="s">
        <v>197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9">
        <v>1</v>
      </c>
      <c r="J60" s="65"/>
    </row>
    <row r="61" customHeight="1" spans="1:10">
      <c r="A61" s="78"/>
      <c r="B61" s="65"/>
      <c r="C61" s="65" t="s">
        <v>198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9">
        <v>1</v>
      </c>
      <c r="J61" s="65"/>
    </row>
    <row r="62" customHeight="1" spans="1:10">
      <c r="A62" s="78"/>
      <c r="B62" s="65"/>
      <c r="C62" s="65" t="s">
        <v>199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9">
        <v>1</v>
      </c>
      <c r="J62" s="65"/>
    </row>
    <row r="63" customHeight="1" spans="1:10">
      <c r="A63" s="78"/>
      <c r="B63" s="65"/>
      <c r="C63" s="65" t="s">
        <v>200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9">
        <v>1</v>
      </c>
      <c r="J63" s="65"/>
    </row>
    <row r="64" customHeight="1" spans="1:10">
      <c r="A64" s="78"/>
      <c r="B64" s="65"/>
      <c r="C64" s="65" t="s">
        <v>201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9">
        <v>1</v>
      </c>
      <c r="J64" s="65"/>
    </row>
    <row r="65" customHeight="1" spans="1:10">
      <c r="A65" s="78"/>
      <c r="B65" s="65"/>
      <c r="C65" s="65" t="s">
        <v>202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9">
        <v>1</v>
      </c>
      <c r="J65" s="65"/>
    </row>
    <row r="66" customHeight="1" spans="1:10">
      <c r="A66" s="78"/>
      <c r="B66" s="65"/>
      <c r="C66" s="65" t="s">
        <v>203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9">
        <v>1</v>
      </c>
      <c r="J66" s="65"/>
    </row>
    <row r="67" customHeight="1" spans="1:10">
      <c r="A67" s="78"/>
      <c r="B67" s="65"/>
      <c r="C67" s="65" t="s">
        <v>204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9">
        <v>1</v>
      </c>
      <c r="J67" s="65"/>
    </row>
    <row r="68" customHeight="1" spans="1:10">
      <c r="A68" s="78"/>
      <c r="B68" s="65"/>
      <c r="C68" s="65" t="s">
        <v>205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9">
        <v>1</v>
      </c>
      <c r="J68" s="65"/>
    </row>
    <row r="69" customHeight="1" spans="1:10">
      <c r="A69" s="78"/>
      <c r="B69" s="64" t="s">
        <v>206</v>
      </c>
      <c r="C69" s="65" t="s">
        <v>207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9">
        <v>1</v>
      </c>
      <c r="J69" s="65"/>
    </row>
    <row r="70" customHeight="1" spans="1:10">
      <c r="A70" s="78"/>
      <c r="B70" s="65"/>
      <c r="C70" s="65" t="s">
        <v>208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9">
        <v>1</v>
      </c>
      <c r="J70" s="65"/>
    </row>
    <row r="71" customHeight="1" spans="1:10">
      <c r="A71" s="78"/>
      <c r="B71" s="65"/>
      <c r="C71" s="65" t="s">
        <v>209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9">
        <v>1</v>
      </c>
      <c r="J71" s="65"/>
    </row>
    <row r="72" customHeight="1" spans="1:10">
      <c r="A72" s="78"/>
      <c r="B72" s="65"/>
      <c r="C72" s="65" t="s">
        <v>210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9">
        <v>1</v>
      </c>
      <c r="J72" s="65"/>
    </row>
    <row r="73" customHeight="1" spans="1:10">
      <c r="A73" s="78"/>
      <c r="B73" s="65"/>
      <c r="C73" s="65" t="s">
        <v>211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9">
        <v>1</v>
      </c>
      <c r="J73" s="65"/>
    </row>
    <row r="74" customHeight="1" spans="1:10">
      <c r="A74" s="78"/>
      <c r="B74" s="65"/>
      <c r="C74" s="65" t="s">
        <v>212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9">
        <v>1</v>
      </c>
      <c r="J74" s="65"/>
    </row>
    <row r="75" customHeight="1" spans="1:10">
      <c r="A75" s="78"/>
      <c r="B75" s="65"/>
      <c r="C75" s="65" t="s">
        <v>213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9">
        <v>1</v>
      </c>
      <c r="J75" s="65"/>
    </row>
    <row r="76" customHeight="1" spans="1:10">
      <c r="A76" s="78"/>
      <c r="B76" s="65"/>
      <c r="C76" s="65" t="s">
        <v>214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9">
        <v>1</v>
      </c>
      <c r="J76" s="65"/>
    </row>
    <row r="77" customHeight="1" spans="1:10">
      <c r="A77" s="78"/>
      <c r="B77" s="65"/>
      <c r="C77" s="65" t="s">
        <v>215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9">
        <v>1</v>
      </c>
      <c r="J77" s="65"/>
    </row>
    <row r="78" customHeight="1" spans="1:10">
      <c r="A78" s="78"/>
      <c r="B78" s="65"/>
      <c r="C78" s="65" t="s">
        <v>216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9">
        <v>1</v>
      </c>
      <c r="J78" s="65"/>
    </row>
    <row r="79" customHeight="1" spans="1:10">
      <c r="A79" s="78"/>
      <c r="B79" s="65"/>
      <c r="C79" s="65" t="s">
        <v>217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9">
        <v>1</v>
      </c>
      <c r="J79" s="65"/>
    </row>
    <row r="80" customHeight="1" spans="1:10">
      <c r="A80" s="78"/>
      <c r="B80" s="65"/>
      <c r="C80" s="65" t="s">
        <v>218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9">
        <v>1</v>
      </c>
      <c r="J80" s="65"/>
    </row>
    <row r="81" customHeight="1" spans="1:10">
      <c r="A81" s="78"/>
      <c r="B81" s="65"/>
      <c r="C81" s="65" t="s">
        <v>219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9">
        <v>1</v>
      </c>
      <c r="J81" s="65"/>
    </row>
    <row r="82" customHeight="1" spans="1:10">
      <c r="A82" s="78"/>
      <c r="B82" s="65"/>
      <c r="C82" s="65" t="s">
        <v>220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9">
        <v>1</v>
      </c>
      <c r="J82" s="65"/>
    </row>
    <row r="83" customHeight="1" spans="1:10">
      <c r="A83" s="78"/>
      <c r="B83" s="65"/>
      <c r="C83" s="65" t="s">
        <v>221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9">
        <v>1</v>
      </c>
      <c r="J83" s="65"/>
    </row>
    <row r="84" customHeight="1" spans="1:10">
      <c r="A84" s="78"/>
      <c r="B84" s="65"/>
      <c r="C84" s="65" t="s">
        <v>222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9">
        <v>1</v>
      </c>
      <c r="J84" s="65"/>
    </row>
    <row r="85" customHeight="1" spans="1:10">
      <c r="A85" s="78"/>
      <c r="B85" s="65"/>
      <c r="C85" s="65" t="s">
        <v>223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9">
        <v>1</v>
      </c>
      <c r="J85" s="65"/>
    </row>
    <row r="86" customHeight="1" spans="1:10">
      <c r="A86" s="80"/>
      <c r="B86" s="65"/>
      <c r="C86" s="65" t="s">
        <v>224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9">
        <v>1</v>
      </c>
      <c r="J86" s="65"/>
    </row>
    <row r="87" customHeight="1" spans="1:10">
      <c r="A87" s="67" t="s">
        <v>66</v>
      </c>
      <c r="B87" s="67"/>
      <c r="C87" s="68"/>
      <c r="D87" s="68"/>
      <c r="E87" s="69" t="s">
        <v>67</v>
      </c>
      <c r="F87" s="69"/>
      <c r="G87" s="70"/>
      <c r="H87" s="71" t="s">
        <v>191</v>
      </c>
      <c r="I87" s="71"/>
      <c r="J87" s="71"/>
    </row>
    <row r="88" ht="16" customHeight="1"/>
    <row r="89" ht="15.95" customHeight="1"/>
    <row r="90" ht="20.1" customHeight="1"/>
    <row r="91" ht="34" customHeight="1" spans="1:10">
      <c r="A91" s="57" t="s">
        <v>158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v>43952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159</v>
      </c>
      <c r="B93" s="6" t="s">
        <v>160</v>
      </c>
      <c r="C93" s="6" t="s">
        <v>161</v>
      </c>
      <c r="D93" s="6" t="s">
        <v>162</v>
      </c>
      <c r="E93" s="60" t="s">
        <v>163</v>
      </c>
      <c r="F93" s="60" t="s">
        <v>164</v>
      </c>
      <c r="G93" s="61" t="s">
        <v>165</v>
      </c>
      <c r="H93" s="62" t="s">
        <v>166</v>
      </c>
      <c r="I93" s="60" t="s">
        <v>167</v>
      </c>
      <c r="J93" s="6" t="s">
        <v>168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169</v>
      </c>
      <c r="E95" s="60" t="s">
        <v>170</v>
      </c>
      <c r="F95" s="60" t="s">
        <v>171</v>
      </c>
      <c r="G95" s="61" t="s">
        <v>171</v>
      </c>
      <c r="H95" s="62" t="s">
        <v>172</v>
      </c>
      <c r="I95" s="60" t="s">
        <v>172</v>
      </c>
      <c r="J95" s="6"/>
    </row>
    <row r="96" customHeight="1" spans="1:10">
      <c r="A96" s="64" t="s">
        <v>192</v>
      </c>
      <c r="B96" s="64" t="s">
        <v>225</v>
      </c>
      <c r="C96" s="65" t="s">
        <v>175</v>
      </c>
      <c r="D96" s="65">
        <v>31</v>
      </c>
      <c r="E96" s="65">
        <v>24</v>
      </c>
      <c r="F96" s="65">
        <v>744</v>
      </c>
      <c r="G96" s="65">
        <v>0</v>
      </c>
      <c r="H96" s="81">
        <v>0</v>
      </c>
      <c r="I96" s="66">
        <v>1</v>
      </c>
      <c r="J96" s="65"/>
    </row>
    <row r="97" customHeight="1" spans="1:10">
      <c r="A97" s="65"/>
      <c r="B97" s="65"/>
      <c r="C97" s="65" t="s">
        <v>176</v>
      </c>
      <c r="D97" s="65">
        <v>31</v>
      </c>
      <c r="E97" s="65">
        <v>24</v>
      </c>
      <c r="F97" s="65">
        <v>744</v>
      </c>
      <c r="G97" s="65">
        <v>0</v>
      </c>
      <c r="H97" s="81">
        <v>0</v>
      </c>
      <c r="I97" s="66">
        <v>1</v>
      </c>
      <c r="J97" s="65"/>
    </row>
    <row r="98" customHeight="1" spans="1:10">
      <c r="A98" s="65"/>
      <c r="B98" s="64" t="s">
        <v>226</v>
      </c>
      <c r="C98" s="65" t="s">
        <v>175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 t="s">
        <v>227</v>
      </c>
    </row>
    <row r="99" customHeight="1" spans="1:10">
      <c r="A99" s="65"/>
      <c r="B99" s="65"/>
      <c r="C99" s="65" t="s">
        <v>176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 t="s">
        <v>227</v>
      </c>
    </row>
    <row r="100" customHeight="1" spans="1:10">
      <c r="A100" s="65"/>
      <c r="B100" s="65"/>
      <c r="C100" s="65" t="s">
        <v>181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 t="s">
        <v>227</v>
      </c>
    </row>
    <row r="101" customHeight="1" spans="1:10">
      <c r="A101" s="65"/>
      <c r="B101" s="65"/>
      <c r="C101" s="65" t="s">
        <v>182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 t="s">
        <v>227</v>
      </c>
    </row>
    <row r="102" customHeight="1" spans="1:10">
      <c r="A102" s="65"/>
      <c r="B102" s="65"/>
      <c r="C102" s="65" t="s">
        <v>183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 t="s">
        <v>227</v>
      </c>
    </row>
    <row r="103" customHeight="1" spans="1:10">
      <c r="A103" s="65"/>
      <c r="B103" s="65"/>
      <c r="C103" s="65" t="s">
        <v>186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 t="s">
        <v>227</v>
      </c>
    </row>
    <row r="104" customHeight="1" spans="1:10">
      <c r="A104" s="65"/>
      <c r="B104" s="64" t="s">
        <v>228</v>
      </c>
      <c r="C104" s="65" t="s">
        <v>175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 t="s">
        <v>227</v>
      </c>
    </row>
    <row r="105" customHeight="1" spans="1:10">
      <c r="A105" s="65"/>
      <c r="B105" s="65"/>
      <c r="C105" s="65" t="s">
        <v>176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 t="s">
        <v>227</v>
      </c>
    </row>
    <row r="106" customHeight="1" spans="1:10">
      <c r="A106" s="65"/>
      <c r="B106" s="65"/>
      <c r="C106" s="65" t="s">
        <v>181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 t="s">
        <v>227</v>
      </c>
    </row>
    <row r="107" customHeight="1" spans="1:10">
      <c r="A107" s="65"/>
      <c r="B107" s="64" t="s">
        <v>229</v>
      </c>
      <c r="C107" s="65" t="s">
        <v>175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 t="s">
        <v>227</v>
      </c>
    </row>
    <row r="108" customHeight="1" spans="1:10">
      <c r="A108" s="65"/>
      <c r="B108" s="65"/>
      <c r="C108" s="65" t="s">
        <v>176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 t="s">
        <v>227</v>
      </c>
    </row>
    <row r="109" customHeight="1" spans="1:10">
      <c r="A109" s="65"/>
      <c r="B109" s="65"/>
      <c r="C109" s="65" t="s">
        <v>181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 t="s">
        <v>227</v>
      </c>
    </row>
    <row r="110" customHeight="1" spans="1:10">
      <c r="A110" s="65"/>
      <c r="B110" s="65"/>
      <c r="C110" s="65" t="s">
        <v>182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 t="s">
        <v>227</v>
      </c>
    </row>
    <row r="111" customHeight="1" spans="1:10">
      <c r="A111" s="82" t="s">
        <v>230</v>
      </c>
      <c r="B111" s="82" t="s">
        <v>231</v>
      </c>
      <c r="C111" s="65" t="s">
        <v>175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3"/>
      <c r="B112" s="84"/>
      <c r="C112" s="65" t="s">
        <v>176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3"/>
      <c r="B113" s="84"/>
      <c r="C113" s="65" t="s">
        <v>181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3"/>
      <c r="B114" s="84"/>
      <c r="C114" s="65" t="s">
        <v>182</v>
      </c>
      <c r="D114" s="65">
        <v>31</v>
      </c>
      <c r="E114" s="65">
        <v>24</v>
      </c>
      <c r="F114" s="65">
        <v>744</v>
      </c>
      <c r="G114" s="65">
        <v>744</v>
      </c>
      <c r="H114" s="66">
        <v>1</v>
      </c>
      <c r="I114" s="66">
        <v>1</v>
      </c>
      <c r="J114" s="65"/>
    </row>
    <row r="115" customHeight="1" spans="1:10">
      <c r="A115" s="83"/>
      <c r="B115" s="84"/>
      <c r="C115" s="65" t="s">
        <v>183</v>
      </c>
      <c r="D115" s="65">
        <v>31</v>
      </c>
      <c r="E115" s="65">
        <v>24</v>
      </c>
      <c r="F115" s="65">
        <v>744</v>
      </c>
      <c r="G115" s="65">
        <v>0</v>
      </c>
      <c r="H115" s="66">
        <v>0</v>
      </c>
      <c r="I115" s="66">
        <v>0</v>
      </c>
      <c r="J115" s="65"/>
    </row>
    <row r="116" customHeight="1" spans="1:10">
      <c r="A116" s="83"/>
      <c r="B116" s="84"/>
      <c r="C116" s="65" t="s">
        <v>186</v>
      </c>
      <c r="D116" s="65">
        <v>31</v>
      </c>
      <c r="E116" s="65">
        <v>24</v>
      </c>
      <c r="F116" s="65">
        <v>744</v>
      </c>
      <c r="G116" s="65">
        <v>744</v>
      </c>
      <c r="H116" s="66">
        <v>1</v>
      </c>
      <c r="I116" s="66">
        <v>1</v>
      </c>
      <c r="J116" s="65"/>
    </row>
    <row r="117" customHeight="1" spans="1:10">
      <c r="A117" s="83"/>
      <c r="B117" s="84"/>
      <c r="C117" s="65" t="s">
        <v>194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/>
    </row>
    <row r="118" customHeight="1" spans="1:10">
      <c r="A118" s="83"/>
      <c r="B118" s="84"/>
      <c r="C118" s="65" t="s">
        <v>195</v>
      </c>
      <c r="D118" s="65">
        <v>31</v>
      </c>
      <c r="E118" s="65">
        <v>24</v>
      </c>
      <c r="F118" s="65">
        <v>744</v>
      </c>
      <c r="G118" s="65">
        <v>744</v>
      </c>
      <c r="H118" s="66">
        <v>1</v>
      </c>
      <c r="I118" s="66">
        <v>1</v>
      </c>
      <c r="J118" s="65"/>
    </row>
    <row r="119" customHeight="1" spans="1:10">
      <c r="A119" s="83"/>
      <c r="B119" s="84"/>
      <c r="C119" s="65" t="s">
        <v>196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/>
    </row>
    <row r="120" customHeight="1" spans="1:10">
      <c r="A120" s="83"/>
      <c r="B120" s="84"/>
      <c r="C120" s="65" t="s">
        <v>197</v>
      </c>
      <c r="D120" s="65">
        <v>31</v>
      </c>
      <c r="E120" s="65">
        <v>24</v>
      </c>
      <c r="F120" s="65">
        <v>744</v>
      </c>
      <c r="G120" s="65">
        <v>0</v>
      </c>
      <c r="H120" s="66">
        <v>0</v>
      </c>
      <c r="I120" s="66">
        <v>0</v>
      </c>
      <c r="J120" s="65"/>
    </row>
    <row r="121" customHeight="1" spans="1:10">
      <c r="A121" s="83"/>
      <c r="B121" s="84"/>
      <c r="C121" s="65" t="s">
        <v>198</v>
      </c>
      <c r="D121" s="65">
        <v>31</v>
      </c>
      <c r="E121" s="65">
        <v>24</v>
      </c>
      <c r="F121" s="65">
        <v>744</v>
      </c>
      <c r="G121" s="65">
        <v>744</v>
      </c>
      <c r="H121" s="66">
        <v>1</v>
      </c>
      <c r="I121" s="66">
        <v>1</v>
      </c>
      <c r="J121" s="65"/>
    </row>
    <row r="122" customHeight="1" spans="1:10">
      <c r="A122" s="83"/>
      <c r="B122" s="84"/>
      <c r="C122" s="65" t="s">
        <v>199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/>
    </row>
    <row r="123" customHeight="1" spans="1:10">
      <c r="A123" s="83"/>
      <c r="B123" s="84"/>
      <c r="C123" s="65" t="s">
        <v>200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3"/>
      <c r="B124" s="84"/>
      <c r="C124" s="65" t="s">
        <v>201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/>
    </row>
    <row r="125" customHeight="1" spans="1:10">
      <c r="A125" s="83"/>
      <c r="B125" s="84"/>
      <c r="C125" s="65" t="s">
        <v>202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3"/>
      <c r="B126" s="84"/>
      <c r="C126" s="65" t="s">
        <v>203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/>
    </row>
    <row r="127" customHeight="1" spans="1:10">
      <c r="A127" s="83"/>
      <c r="B127" s="84"/>
      <c r="C127" s="65" t="s">
        <v>204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3"/>
      <c r="B128" s="84"/>
      <c r="C128" s="65" t="s">
        <v>205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3"/>
      <c r="B129" s="84"/>
      <c r="C129" s="65" t="s">
        <v>207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3"/>
      <c r="B130" s="84"/>
      <c r="C130" s="65" t="s">
        <v>208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3"/>
      <c r="B131" s="84"/>
      <c r="C131" s="65" t="s">
        <v>209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66">
        <v>1</v>
      </c>
      <c r="J131" s="65"/>
    </row>
    <row r="132" customHeight="1" spans="1:10">
      <c r="A132" s="85"/>
      <c r="B132" s="86"/>
      <c r="C132" s="65" t="s">
        <v>210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/>
    </row>
    <row r="133" ht="14.25" spans="1:10">
      <c r="A133" s="67" t="s">
        <v>66</v>
      </c>
      <c r="B133" s="67"/>
      <c r="C133" s="68"/>
      <c r="D133" s="68"/>
      <c r="E133" s="69" t="s">
        <v>67</v>
      </c>
      <c r="F133" s="69"/>
      <c r="G133" s="70"/>
      <c r="H133" s="71" t="s">
        <v>191</v>
      </c>
      <c r="I133" s="71"/>
      <c r="J133" s="71"/>
    </row>
    <row r="134" ht="7" customHeight="1" spans="2:6">
      <c r="B134" s="87"/>
      <c r="F134" s="88"/>
    </row>
    <row r="135" ht="5" customHeight="1" spans="2:6">
      <c r="B135" s="87"/>
      <c r="F135" s="88"/>
    </row>
    <row r="136" s="53" customFormat="1" ht="29" customHeight="1" spans="1:212">
      <c r="A136" s="57" t="s">
        <v>158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v>43952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159</v>
      </c>
      <c r="B138" s="6" t="s">
        <v>160</v>
      </c>
      <c r="C138" s="6" t="s">
        <v>161</v>
      </c>
      <c r="D138" s="6" t="s">
        <v>162</v>
      </c>
      <c r="E138" s="60" t="s">
        <v>163</v>
      </c>
      <c r="F138" s="60" t="s">
        <v>164</v>
      </c>
      <c r="G138" s="61" t="s">
        <v>165</v>
      </c>
      <c r="H138" s="62" t="s">
        <v>166</v>
      </c>
      <c r="I138" s="60" t="s">
        <v>167</v>
      </c>
      <c r="J138" s="6" t="s">
        <v>168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169</v>
      </c>
      <c r="E140" s="60" t="s">
        <v>170</v>
      </c>
      <c r="F140" s="60" t="s">
        <v>171</v>
      </c>
      <c r="G140" s="61" t="s">
        <v>171</v>
      </c>
      <c r="H140" s="62" t="s">
        <v>172</v>
      </c>
      <c r="I140" s="60" t="s">
        <v>172</v>
      </c>
      <c r="J140" s="6"/>
    </row>
    <row r="141" customHeight="1" spans="1:10">
      <c r="A141" s="64" t="s">
        <v>230</v>
      </c>
      <c r="B141" s="64" t="s">
        <v>232</v>
      </c>
      <c r="C141" s="65" t="s">
        <v>211</v>
      </c>
      <c r="D141" s="65">
        <v>31</v>
      </c>
      <c r="E141" s="65">
        <v>24</v>
      </c>
      <c r="F141" s="65">
        <v>744</v>
      </c>
      <c r="G141" s="65">
        <v>744</v>
      </c>
      <c r="H141" s="66">
        <v>1</v>
      </c>
      <c r="I141" s="66">
        <v>1</v>
      </c>
      <c r="J141" s="65"/>
    </row>
    <row r="142" customHeight="1" spans="1:10">
      <c r="A142" s="65"/>
      <c r="B142" s="65"/>
      <c r="C142" s="65" t="s">
        <v>212</v>
      </c>
      <c r="D142" s="65">
        <v>31</v>
      </c>
      <c r="E142" s="65">
        <v>24</v>
      </c>
      <c r="F142" s="65">
        <v>744</v>
      </c>
      <c r="G142" s="65">
        <v>744</v>
      </c>
      <c r="H142" s="66">
        <v>1</v>
      </c>
      <c r="I142" s="66">
        <v>1</v>
      </c>
      <c r="J142" s="65"/>
    </row>
    <row r="143" customHeight="1" spans="1:10">
      <c r="A143" s="65"/>
      <c r="B143" s="65"/>
      <c r="C143" s="65" t="s">
        <v>213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214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215</v>
      </c>
      <c r="D145" s="65">
        <v>31</v>
      </c>
      <c r="E145" s="65">
        <v>24</v>
      </c>
      <c r="F145" s="65">
        <v>744</v>
      </c>
      <c r="G145" s="65">
        <v>744</v>
      </c>
      <c r="H145" s="66">
        <v>1</v>
      </c>
      <c r="I145" s="66">
        <v>1</v>
      </c>
      <c r="J145" s="65"/>
    </row>
    <row r="146" customHeight="1" spans="1:10">
      <c r="A146" s="65"/>
      <c r="B146" s="65"/>
      <c r="C146" s="65" t="s">
        <v>216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233</v>
      </c>
      <c r="C147" s="65" t="s">
        <v>175</v>
      </c>
      <c r="D147" s="65">
        <v>31</v>
      </c>
      <c r="E147" s="65">
        <v>24</v>
      </c>
      <c r="F147" s="65">
        <v>744</v>
      </c>
      <c r="G147" s="65">
        <v>744</v>
      </c>
      <c r="H147" s="81">
        <v>1</v>
      </c>
      <c r="I147" s="81">
        <v>1</v>
      </c>
      <c r="J147" s="65"/>
    </row>
    <row r="148" customHeight="1" spans="1:10">
      <c r="A148" s="65"/>
      <c r="B148" s="65"/>
      <c r="C148" s="65" t="s">
        <v>176</v>
      </c>
      <c r="D148" s="65">
        <v>31</v>
      </c>
      <c r="E148" s="65">
        <v>24</v>
      </c>
      <c r="F148" s="65">
        <v>744</v>
      </c>
      <c r="G148" s="65">
        <v>744</v>
      </c>
      <c r="H148" s="81">
        <v>1</v>
      </c>
      <c r="I148" s="81">
        <v>1</v>
      </c>
      <c r="J148" s="65"/>
    </row>
    <row r="149" customHeight="1" spans="1:10">
      <c r="A149" s="65"/>
      <c r="B149" s="64" t="s">
        <v>234</v>
      </c>
      <c r="C149" s="65" t="s">
        <v>175</v>
      </c>
      <c r="D149" s="65">
        <v>31</v>
      </c>
      <c r="E149" s="65">
        <v>24</v>
      </c>
      <c r="F149" s="65">
        <v>744</v>
      </c>
      <c r="G149" s="65">
        <v>333</v>
      </c>
      <c r="H149" s="66">
        <v>0.44758064516129</v>
      </c>
      <c r="I149" s="66">
        <v>1</v>
      </c>
      <c r="J149" s="65" t="s">
        <v>235</v>
      </c>
    </row>
    <row r="150" customHeight="1" spans="1:10">
      <c r="A150" s="65"/>
      <c r="B150" s="65"/>
      <c r="C150" s="65" t="s">
        <v>176</v>
      </c>
      <c r="D150" s="65">
        <v>31</v>
      </c>
      <c r="E150" s="65">
        <v>24</v>
      </c>
      <c r="F150" s="65">
        <v>744</v>
      </c>
      <c r="G150" s="65">
        <v>20</v>
      </c>
      <c r="H150" s="66">
        <v>0.0268817204301075</v>
      </c>
      <c r="I150" s="66">
        <v>1</v>
      </c>
      <c r="J150" s="65" t="s">
        <v>235</v>
      </c>
    </row>
    <row r="151" customHeight="1" spans="1:10">
      <c r="A151" s="65"/>
      <c r="B151" s="65"/>
      <c r="C151" s="65" t="s">
        <v>181</v>
      </c>
      <c r="D151" s="65">
        <v>31</v>
      </c>
      <c r="E151" s="65">
        <v>24</v>
      </c>
      <c r="F151" s="65">
        <v>744</v>
      </c>
      <c r="G151" s="65">
        <v>274</v>
      </c>
      <c r="H151" s="66">
        <v>0.368279569892473</v>
      </c>
      <c r="I151" s="66">
        <v>1</v>
      </c>
      <c r="J151" s="65" t="s">
        <v>235</v>
      </c>
    </row>
    <row r="152" customHeight="1" spans="1:10">
      <c r="A152" s="65"/>
      <c r="B152" s="64" t="s">
        <v>236</v>
      </c>
      <c r="C152" s="65" t="s">
        <v>175</v>
      </c>
      <c r="D152" s="65">
        <v>31</v>
      </c>
      <c r="E152" s="65">
        <v>24</v>
      </c>
      <c r="F152" s="65">
        <v>744</v>
      </c>
      <c r="G152" s="65">
        <v>728</v>
      </c>
      <c r="H152" s="66">
        <v>0.978494623655914</v>
      </c>
      <c r="I152" s="66">
        <v>1</v>
      </c>
      <c r="J152" s="65"/>
    </row>
    <row r="153" customHeight="1" spans="1:10">
      <c r="A153" s="65"/>
      <c r="B153" s="65"/>
      <c r="C153" s="65" t="s">
        <v>176</v>
      </c>
      <c r="D153" s="65">
        <v>31</v>
      </c>
      <c r="E153" s="65">
        <v>24</v>
      </c>
      <c r="F153" s="65">
        <v>744</v>
      </c>
      <c r="G153" s="65">
        <v>744</v>
      </c>
      <c r="H153" s="66">
        <v>1</v>
      </c>
      <c r="I153" s="66">
        <v>1</v>
      </c>
      <c r="J153" s="65"/>
    </row>
    <row r="154" customHeight="1" spans="1:10">
      <c r="A154" s="65"/>
      <c r="B154" s="65"/>
      <c r="C154" s="65" t="s">
        <v>181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9" t="s">
        <v>237</v>
      </c>
      <c r="C155" s="90" t="s">
        <v>175</v>
      </c>
      <c r="D155" s="90">
        <v>31</v>
      </c>
      <c r="E155" s="90">
        <v>24</v>
      </c>
      <c r="F155" s="90">
        <v>744</v>
      </c>
      <c r="G155" s="90">
        <v>744</v>
      </c>
      <c r="H155" s="91">
        <v>1</v>
      </c>
      <c r="I155" s="91">
        <v>1</v>
      </c>
      <c r="J155" s="65"/>
    </row>
    <row r="156" customHeight="1" spans="1:10">
      <c r="A156" s="65"/>
      <c r="B156" s="90"/>
      <c r="C156" s="90" t="s">
        <v>176</v>
      </c>
      <c r="D156" s="90">
        <v>31</v>
      </c>
      <c r="E156" s="90">
        <v>24</v>
      </c>
      <c r="F156" s="90">
        <v>744</v>
      </c>
      <c r="G156" s="90">
        <v>744</v>
      </c>
      <c r="H156" s="91">
        <v>1</v>
      </c>
      <c r="I156" s="91">
        <v>1</v>
      </c>
      <c r="J156" s="65"/>
    </row>
    <row r="157" customHeight="1" spans="1:10">
      <c r="A157" s="65"/>
      <c r="B157" s="90"/>
      <c r="C157" s="90" t="s">
        <v>181</v>
      </c>
      <c r="D157" s="90">
        <v>31</v>
      </c>
      <c r="E157" s="90">
        <v>24</v>
      </c>
      <c r="F157" s="90">
        <v>744</v>
      </c>
      <c r="G157" s="90">
        <v>744</v>
      </c>
      <c r="H157" s="91">
        <v>1</v>
      </c>
      <c r="I157" s="91">
        <v>1</v>
      </c>
      <c r="J157" s="65"/>
    </row>
    <row r="158" customHeight="1" spans="1:10">
      <c r="A158" s="65"/>
      <c r="B158" s="90"/>
      <c r="C158" s="90" t="s">
        <v>182</v>
      </c>
      <c r="D158" s="90">
        <v>31</v>
      </c>
      <c r="E158" s="90">
        <v>24</v>
      </c>
      <c r="F158" s="90">
        <v>744</v>
      </c>
      <c r="G158" s="90">
        <v>744</v>
      </c>
      <c r="H158" s="91">
        <v>1</v>
      </c>
      <c r="I158" s="91">
        <v>1</v>
      </c>
      <c r="J158" s="65"/>
    </row>
    <row r="159" customHeight="1" spans="1:10">
      <c r="A159" s="65"/>
      <c r="B159" s="90"/>
      <c r="C159" s="90" t="s">
        <v>183</v>
      </c>
      <c r="D159" s="90">
        <v>31</v>
      </c>
      <c r="E159" s="90">
        <v>24</v>
      </c>
      <c r="F159" s="90">
        <v>744</v>
      </c>
      <c r="G159" s="90">
        <v>744</v>
      </c>
      <c r="H159" s="91">
        <v>1</v>
      </c>
      <c r="I159" s="91">
        <v>1</v>
      </c>
      <c r="J159" s="65"/>
    </row>
    <row r="160" customHeight="1" spans="1:10">
      <c r="A160" s="65"/>
      <c r="B160" s="90"/>
      <c r="C160" s="90" t="s">
        <v>186</v>
      </c>
      <c r="D160" s="90">
        <v>31</v>
      </c>
      <c r="E160" s="90">
        <v>24</v>
      </c>
      <c r="F160" s="90">
        <v>744</v>
      </c>
      <c r="G160" s="90">
        <v>744</v>
      </c>
      <c r="H160" s="91">
        <v>1</v>
      </c>
      <c r="I160" s="91">
        <v>1</v>
      </c>
      <c r="J160" s="65"/>
    </row>
    <row r="161" customHeight="1" spans="1:10">
      <c r="A161" s="64" t="s">
        <v>238</v>
      </c>
      <c r="B161" s="64" t="s">
        <v>239</v>
      </c>
      <c r="C161" s="65" t="s">
        <v>175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176</v>
      </c>
      <c r="D162" s="65">
        <v>31</v>
      </c>
      <c r="E162" s="65">
        <v>24</v>
      </c>
      <c r="F162" s="65">
        <v>744</v>
      </c>
      <c r="G162" s="65">
        <v>744</v>
      </c>
      <c r="H162" s="66">
        <v>1</v>
      </c>
      <c r="I162" s="66">
        <v>1</v>
      </c>
      <c r="J162" s="65"/>
    </row>
    <row r="163" customHeight="1" spans="1:10">
      <c r="A163" s="65"/>
      <c r="B163" s="65"/>
      <c r="C163" s="65" t="s">
        <v>181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182</v>
      </c>
      <c r="D164" s="65">
        <v>31</v>
      </c>
      <c r="E164" s="65">
        <v>24</v>
      </c>
      <c r="F164" s="65">
        <v>744</v>
      </c>
      <c r="G164" s="65">
        <v>744</v>
      </c>
      <c r="H164" s="66">
        <v>1</v>
      </c>
      <c r="I164" s="66">
        <v>1</v>
      </c>
      <c r="J164" s="65"/>
    </row>
    <row r="165" customHeight="1" spans="1:10">
      <c r="A165" s="65"/>
      <c r="B165" s="65"/>
      <c r="C165" s="65" t="s">
        <v>183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186</v>
      </c>
      <c r="D166" s="65">
        <v>31</v>
      </c>
      <c r="E166" s="65">
        <v>24</v>
      </c>
      <c r="F166" s="65">
        <v>744</v>
      </c>
      <c r="G166" s="65">
        <v>0</v>
      </c>
      <c r="H166" s="66">
        <v>0</v>
      </c>
      <c r="I166" s="66">
        <v>0</v>
      </c>
      <c r="J166" s="65"/>
    </row>
    <row r="167" customHeight="1" spans="1:10">
      <c r="A167" s="65"/>
      <c r="B167" s="65"/>
      <c r="C167" s="65" t="s">
        <v>194</v>
      </c>
      <c r="D167" s="65">
        <v>31</v>
      </c>
      <c r="E167" s="65">
        <v>24</v>
      </c>
      <c r="F167" s="65">
        <v>744</v>
      </c>
      <c r="G167" s="65">
        <v>744</v>
      </c>
      <c r="H167" s="66">
        <v>1</v>
      </c>
      <c r="I167" s="66">
        <v>1</v>
      </c>
      <c r="J167" s="65"/>
    </row>
    <row r="168" customHeight="1" spans="1:10">
      <c r="A168" s="65"/>
      <c r="B168" s="65"/>
      <c r="C168" s="65" t="s">
        <v>195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196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197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198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199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200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201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202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203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ht="14.25" spans="1:10">
      <c r="A177" s="65"/>
      <c r="B177" s="65"/>
      <c r="C177" s="65" t="s">
        <v>204</v>
      </c>
      <c r="D177" s="65">
        <v>31</v>
      </c>
      <c r="E177" s="65">
        <v>24</v>
      </c>
      <c r="F177" s="65">
        <v>744</v>
      </c>
      <c r="G177" s="65">
        <v>744</v>
      </c>
      <c r="H177" s="66">
        <v>1</v>
      </c>
      <c r="I177" s="66">
        <v>1</v>
      </c>
      <c r="J177" s="65"/>
    </row>
    <row r="178" ht="14.25" spans="1:10">
      <c r="A178" s="65"/>
      <c r="B178" s="65"/>
      <c r="C178" s="65" t="s">
        <v>205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66</v>
      </c>
      <c r="B179" s="67"/>
      <c r="C179" s="68"/>
      <c r="D179" s="68"/>
      <c r="E179" s="69" t="s">
        <v>67</v>
      </c>
      <c r="F179" s="69"/>
      <c r="G179" s="70"/>
      <c r="H179" s="71" t="s">
        <v>191</v>
      </c>
      <c r="I179" s="71"/>
      <c r="J179" s="71"/>
    </row>
    <row r="180" ht="23" customHeight="1"/>
    <row r="181" ht="28" customHeight="1" spans="1:10">
      <c r="A181" s="57" t="s">
        <v>158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v>43952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159</v>
      </c>
      <c r="B183" s="6" t="s">
        <v>160</v>
      </c>
      <c r="C183" s="6" t="s">
        <v>161</v>
      </c>
      <c r="D183" s="6" t="s">
        <v>162</v>
      </c>
      <c r="E183" s="60" t="s">
        <v>163</v>
      </c>
      <c r="F183" s="60" t="s">
        <v>164</v>
      </c>
      <c r="G183" s="61" t="s">
        <v>165</v>
      </c>
      <c r="H183" s="62" t="s">
        <v>166</v>
      </c>
      <c r="I183" s="60" t="s">
        <v>167</v>
      </c>
      <c r="J183" s="6" t="s">
        <v>168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169</v>
      </c>
      <c r="E185" s="60" t="s">
        <v>170</v>
      </c>
      <c r="F185" s="60" t="s">
        <v>171</v>
      </c>
      <c r="G185" s="61" t="s">
        <v>171</v>
      </c>
      <c r="H185" s="62" t="s">
        <v>172</v>
      </c>
      <c r="I185" s="60" t="s">
        <v>172</v>
      </c>
      <c r="J185" s="6"/>
    </row>
    <row r="186" customHeight="1" spans="1:10">
      <c r="A186" s="64" t="s">
        <v>238</v>
      </c>
      <c r="B186" s="64" t="s">
        <v>239</v>
      </c>
      <c r="C186" s="65" t="s">
        <v>207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208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209</v>
      </c>
      <c r="D188" s="65">
        <v>31</v>
      </c>
      <c r="E188" s="65">
        <v>24</v>
      </c>
      <c r="F188" s="65">
        <v>744</v>
      </c>
      <c r="G188" s="65">
        <v>720</v>
      </c>
      <c r="H188" s="66">
        <v>0.97</v>
      </c>
      <c r="I188" s="66">
        <v>1</v>
      </c>
      <c r="J188" s="65" t="s">
        <v>240</v>
      </c>
    </row>
    <row r="189" customHeight="1" spans="1:10">
      <c r="A189" s="65"/>
      <c r="B189" s="65"/>
      <c r="C189" s="65" t="s">
        <v>210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211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212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213</v>
      </c>
      <c r="D192" s="65">
        <v>31</v>
      </c>
      <c r="E192" s="65">
        <v>24</v>
      </c>
      <c r="F192" s="65">
        <v>744</v>
      </c>
      <c r="G192" s="65">
        <v>744</v>
      </c>
      <c r="H192" s="66">
        <v>1</v>
      </c>
      <c r="I192" s="66">
        <v>1</v>
      </c>
      <c r="J192" s="65"/>
    </row>
    <row r="193" customHeight="1" spans="1:10">
      <c r="A193" s="65"/>
      <c r="B193" s="65"/>
      <c r="C193" s="65" t="s">
        <v>214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215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216</v>
      </c>
      <c r="D195" s="65">
        <v>31</v>
      </c>
      <c r="E195" s="65">
        <v>24</v>
      </c>
      <c r="F195" s="65">
        <v>744</v>
      </c>
      <c r="G195" s="65">
        <v>744</v>
      </c>
      <c r="H195" s="66">
        <v>1</v>
      </c>
      <c r="I195" s="66">
        <v>1</v>
      </c>
      <c r="J195" s="65"/>
    </row>
    <row r="196" customHeight="1" spans="1:10">
      <c r="A196" s="65"/>
      <c r="B196" s="65"/>
      <c r="C196" s="65" t="s">
        <v>217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218</v>
      </c>
      <c r="D197" s="65">
        <v>31</v>
      </c>
      <c r="E197" s="65">
        <v>24</v>
      </c>
      <c r="F197" s="65">
        <v>744</v>
      </c>
      <c r="G197" s="65">
        <v>720</v>
      </c>
      <c r="H197" s="66">
        <v>0.97</v>
      </c>
      <c r="I197" s="66">
        <v>1</v>
      </c>
      <c r="J197" s="65" t="s">
        <v>240</v>
      </c>
    </row>
    <row r="198" customHeight="1" spans="1:10">
      <c r="A198" s="65"/>
      <c r="B198" s="65"/>
      <c r="C198" s="65" t="s">
        <v>219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220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221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222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223</v>
      </c>
      <c r="D202" s="65">
        <v>31</v>
      </c>
      <c r="E202" s="65">
        <v>24</v>
      </c>
      <c r="F202" s="65">
        <v>744</v>
      </c>
      <c r="G202" s="65">
        <v>744</v>
      </c>
      <c r="H202" s="66">
        <v>1</v>
      </c>
      <c r="I202" s="66">
        <v>1</v>
      </c>
      <c r="J202" s="65"/>
    </row>
    <row r="203" customHeight="1" spans="1:10">
      <c r="A203" s="65"/>
      <c r="B203" s="65"/>
      <c r="C203" s="65" t="s">
        <v>224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/>
    </row>
    <row r="204" customHeight="1" spans="1:10">
      <c r="A204" s="65"/>
      <c r="B204" s="64" t="s">
        <v>233</v>
      </c>
      <c r="C204" s="65" t="s">
        <v>181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182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236</v>
      </c>
      <c r="C206" s="65" t="s">
        <v>182</v>
      </c>
      <c r="D206" s="65">
        <v>31</v>
      </c>
      <c r="E206" s="65">
        <v>24</v>
      </c>
      <c r="F206" s="65">
        <v>744</v>
      </c>
      <c r="G206" s="65">
        <v>672</v>
      </c>
      <c r="H206" s="66">
        <v>0.903225806451613</v>
      </c>
      <c r="I206" s="66">
        <v>1</v>
      </c>
      <c r="J206" s="65" t="s">
        <v>241</v>
      </c>
    </row>
    <row r="207" customHeight="1" spans="1:10">
      <c r="A207" s="65"/>
      <c r="B207" s="65"/>
      <c r="C207" s="65" t="s">
        <v>183</v>
      </c>
      <c r="D207" s="65">
        <v>31</v>
      </c>
      <c r="E207" s="65">
        <v>24</v>
      </c>
      <c r="F207" s="65">
        <v>744</v>
      </c>
      <c r="G207" s="65">
        <v>720</v>
      </c>
      <c r="H207" s="66">
        <v>0.967741935483871</v>
      </c>
      <c r="I207" s="66">
        <v>1</v>
      </c>
      <c r="J207" s="65" t="s">
        <v>241</v>
      </c>
    </row>
    <row r="208" customHeight="1" spans="1:10">
      <c r="A208" s="65"/>
      <c r="B208" s="65"/>
      <c r="C208" s="65" t="s">
        <v>186</v>
      </c>
      <c r="D208" s="65">
        <v>31</v>
      </c>
      <c r="E208" s="65">
        <v>24</v>
      </c>
      <c r="F208" s="65">
        <v>744</v>
      </c>
      <c r="G208" s="65">
        <v>720</v>
      </c>
      <c r="H208" s="66">
        <v>0.967741935483871</v>
      </c>
      <c r="I208" s="66">
        <v>1</v>
      </c>
      <c r="J208" s="65" t="s">
        <v>241</v>
      </c>
    </row>
    <row r="209" customHeight="1" spans="1:10">
      <c r="A209" s="65"/>
      <c r="B209" s="64" t="s">
        <v>237</v>
      </c>
      <c r="C209" s="65" t="s">
        <v>175</v>
      </c>
      <c r="D209" s="65">
        <v>31</v>
      </c>
      <c r="E209" s="65">
        <v>24</v>
      </c>
      <c r="F209" s="65">
        <v>744</v>
      </c>
      <c r="G209" s="65">
        <v>720</v>
      </c>
      <c r="H209" s="66">
        <v>0.967741935483871</v>
      </c>
      <c r="I209" s="66">
        <v>1</v>
      </c>
      <c r="J209" s="65"/>
    </row>
    <row r="210" customHeight="1" spans="1:10">
      <c r="A210" s="65"/>
      <c r="B210" s="65"/>
      <c r="C210" s="65" t="s">
        <v>176</v>
      </c>
      <c r="D210" s="65">
        <v>31</v>
      </c>
      <c r="E210" s="65">
        <v>24</v>
      </c>
      <c r="F210" s="65">
        <v>744</v>
      </c>
      <c r="G210" s="65">
        <v>720</v>
      </c>
      <c r="H210" s="66">
        <v>0.967741935483871</v>
      </c>
      <c r="I210" s="66">
        <v>1</v>
      </c>
      <c r="J210" s="65"/>
    </row>
    <row r="211" customHeight="1" spans="1:10">
      <c r="A211" s="65"/>
      <c r="B211" s="65"/>
      <c r="C211" s="65" t="s">
        <v>181</v>
      </c>
      <c r="D211" s="65">
        <v>31</v>
      </c>
      <c r="E211" s="65">
        <v>24</v>
      </c>
      <c r="F211" s="65">
        <v>744</v>
      </c>
      <c r="G211" s="65">
        <v>720</v>
      </c>
      <c r="H211" s="66">
        <v>0.967741935483871</v>
      </c>
      <c r="I211" s="66">
        <v>1</v>
      </c>
      <c r="J211" s="65"/>
    </row>
    <row r="212" customHeight="1" spans="1:10">
      <c r="A212" s="65"/>
      <c r="B212" s="65"/>
      <c r="C212" s="65" t="s">
        <v>182</v>
      </c>
      <c r="D212" s="65">
        <v>31</v>
      </c>
      <c r="E212" s="65">
        <v>24</v>
      </c>
      <c r="F212" s="65">
        <v>744</v>
      </c>
      <c r="G212" s="65">
        <v>0</v>
      </c>
      <c r="H212" s="66">
        <v>0</v>
      </c>
      <c r="I212" s="66">
        <v>1</v>
      </c>
      <c r="J212" s="65"/>
    </row>
    <row r="213" customHeight="1" spans="1:10">
      <c r="A213" s="65"/>
      <c r="B213" s="65"/>
      <c r="C213" s="65" t="s">
        <v>183</v>
      </c>
      <c r="D213" s="65">
        <v>31</v>
      </c>
      <c r="E213" s="65">
        <v>24</v>
      </c>
      <c r="F213" s="65">
        <v>744</v>
      </c>
      <c r="G213" s="65">
        <v>720</v>
      </c>
      <c r="H213" s="66">
        <v>0.967741935483871</v>
      </c>
      <c r="I213" s="66">
        <v>1</v>
      </c>
      <c r="J213" s="65"/>
    </row>
    <row r="214" customHeight="1" spans="1:10">
      <c r="A214" s="65"/>
      <c r="B214" s="65"/>
      <c r="C214" s="65" t="s">
        <v>186</v>
      </c>
      <c r="D214" s="65">
        <v>31</v>
      </c>
      <c r="E214" s="65">
        <v>24</v>
      </c>
      <c r="F214" s="65">
        <v>744</v>
      </c>
      <c r="G214" s="65">
        <v>720</v>
      </c>
      <c r="H214" s="66">
        <v>0.967741935483871</v>
      </c>
      <c r="I214" s="66">
        <v>1</v>
      </c>
      <c r="J214" s="65"/>
    </row>
    <row r="215" customHeight="1" spans="1:10">
      <c r="A215" s="82" t="s">
        <v>242</v>
      </c>
      <c r="B215" s="64" t="s">
        <v>243</v>
      </c>
      <c r="C215" s="92" t="s">
        <v>175</v>
      </c>
      <c r="D215" s="65">
        <v>31</v>
      </c>
      <c r="E215" s="65">
        <v>24</v>
      </c>
      <c r="F215" s="65">
        <v>744</v>
      </c>
      <c r="G215" s="65">
        <v>744</v>
      </c>
      <c r="H215" s="66">
        <v>1</v>
      </c>
      <c r="I215" s="66">
        <v>1</v>
      </c>
      <c r="J215" s="65"/>
    </row>
    <row r="216" customHeight="1" spans="1:10">
      <c r="A216" s="83"/>
      <c r="B216" s="65"/>
      <c r="C216" s="65" t="s">
        <v>176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/>
    </row>
    <row r="217" customHeight="1" spans="1:10">
      <c r="A217" s="83"/>
      <c r="B217" s="65"/>
      <c r="C217" s="65" t="s">
        <v>181</v>
      </c>
      <c r="D217" s="65">
        <v>31</v>
      </c>
      <c r="E217" s="65">
        <v>24</v>
      </c>
      <c r="F217" s="65">
        <v>744</v>
      </c>
      <c r="G217" s="65">
        <v>730</v>
      </c>
      <c r="H217" s="66">
        <v>0.981182795698925</v>
      </c>
      <c r="I217" s="66">
        <v>1</v>
      </c>
      <c r="J217" s="65"/>
    </row>
    <row r="218" customHeight="1" spans="1:10">
      <c r="A218" s="83"/>
      <c r="B218" s="65"/>
      <c r="C218" s="65" t="s">
        <v>182</v>
      </c>
      <c r="D218" s="65">
        <v>31</v>
      </c>
      <c r="E218" s="65">
        <v>24</v>
      </c>
      <c r="F218" s="65">
        <v>744</v>
      </c>
      <c r="G218" s="65">
        <v>744</v>
      </c>
      <c r="H218" s="66">
        <v>1</v>
      </c>
      <c r="I218" s="66">
        <v>1</v>
      </c>
      <c r="J218" s="65"/>
    </row>
    <row r="219" customHeight="1" spans="1:10">
      <c r="A219" s="83"/>
      <c r="B219" s="64" t="s">
        <v>244</v>
      </c>
      <c r="C219" s="65" t="s">
        <v>175</v>
      </c>
      <c r="D219" s="65">
        <v>31</v>
      </c>
      <c r="E219" s="65">
        <v>24</v>
      </c>
      <c r="F219" s="65">
        <v>744</v>
      </c>
      <c r="G219" s="65">
        <v>742</v>
      </c>
      <c r="H219" s="81">
        <v>0.99</v>
      </c>
      <c r="I219" s="81">
        <v>1</v>
      </c>
      <c r="J219" s="5" t="s">
        <v>185</v>
      </c>
    </row>
    <row r="220" customHeight="1" spans="1:10">
      <c r="A220" s="83"/>
      <c r="B220" s="65"/>
      <c r="C220" s="65" t="s">
        <v>176</v>
      </c>
      <c r="D220" s="65">
        <v>31</v>
      </c>
      <c r="E220" s="65">
        <v>24</v>
      </c>
      <c r="F220" s="65">
        <v>744</v>
      </c>
      <c r="G220" s="65">
        <v>742</v>
      </c>
      <c r="H220" s="81">
        <v>0.99</v>
      </c>
      <c r="I220" s="81">
        <v>1</v>
      </c>
      <c r="J220" s="5" t="s">
        <v>185</v>
      </c>
    </row>
    <row r="221" customHeight="1" spans="1:10">
      <c r="A221" s="83"/>
      <c r="B221" s="65"/>
      <c r="C221" s="65" t="s">
        <v>181</v>
      </c>
      <c r="D221" s="65">
        <v>31</v>
      </c>
      <c r="E221" s="65">
        <v>24</v>
      </c>
      <c r="F221" s="65">
        <v>744</v>
      </c>
      <c r="G221" s="65">
        <v>742</v>
      </c>
      <c r="H221" s="81">
        <v>0.99</v>
      </c>
      <c r="I221" s="81">
        <v>1</v>
      </c>
      <c r="J221" s="5" t="s">
        <v>185</v>
      </c>
    </row>
    <row r="222" ht="14.25" spans="1:10">
      <c r="A222" s="85"/>
      <c r="B222" s="65"/>
      <c r="C222" s="65" t="s">
        <v>182</v>
      </c>
      <c r="D222" s="65">
        <v>31</v>
      </c>
      <c r="E222" s="65">
        <v>24</v>
      </c>
      <c r="F222" s="65">
        <v>744</v>
      </c>
      <c r="G222" s="65">
        <v>742</v>
      </c>
      <c r="H222" s="81">
        <v>0.99</v>
      </c>
      <c r="I222" s="81">
        <v>1</v>
      </c>
      <c r="J222" s="5" t="s">
        <v>185</v>
      </c>
    </row>
    <row r="223" customHeight="1" spans="1:10">
      <c r="A223" s="67" t="s">
        <v>66</v>
      </c>
      <c r="B223" s="67"/>
      <c r="C223" s="68"/>
      <c r="D223" s="68"/>
      <c r="E223" s="69" t="s">
        <v>67</v>
      </c>
      <c r="F223" s="69"/>
      <c r="G223" s="70"/>
      <c r="H223" s="71" t="s">
        <v>191</v>
      </c>
      <c r="I223" s="71"/>
      <c r="J223" s="71"/>
    </row>
    <row r="224" ht="17" customHeight="1"/>
    <row r="225" ht="16" customHeight="1"/>
    <row r="226" ht="27" customHeight="1" spans="1:10">
      <c r="A226" s="57" t="s">
        <v>158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2">
        <v>43952</v>
      </c>
      <c r="B227" s="72"/>
      <c r="C227" s="72"/>
      <c r="D227" s="72"/>
      <c r="E227" s="72"/>
      <c r="F227" s="72"/>
      <c r="G227" s="72"/>
      <c r="H227" s="72"/>
      <c r="I227" s="72"/>
      <c r="J227" s="72"/>
    </row>
    <row r="228" customHeight="1" spans="1:10">
      <c r="A228" s="6" t="s">
        <v>159</v>
      </c>
      <c r="B228" s="6" t="s">
        <v>160</v>
      </c>
      <c r="C228" s="6" t="s">
        <v>161</v>
      </c>
      <c r="D228" s="6" t="s">
        <v>162</v>
      </c>
      <c r="E228" s="60" t="s">
        <v>163</v>
      </c>
      <c r="F228" s="60" t="s">
        <v>164</v>
      </c>
      <c r="G228" s="61" t="s">
        <v>165</v>
      </c>
      <c r="H228" s="62" t="s">
        <v>166</v>
      </c>
      <c r="I228" s="60" t="s">
        <v>167</v>
      </c>
      <c r="J228" s="6" t="s">
        <v>168</v>
      </c>
    </row>
    <row r="229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customHeight="1" spans="1:10">
      <c r="A230" s="63"/>
      <c r="B230" s="6"/>
      <c r="C230" s="63"/>
      <c r="D230" s="6" t="s">
        <v>169</v>
      </c>
      <c r="E230" s="60" t="s">
        <v>170</v>
      </c>
      <c r="F230" s="60" t="s">
        <v>171</v>
      </c>
      <c r="G230" s="61" t="s">
        <v>171</v>
      </c>
      <c r="H230" s="62" t="s">
        <v>172</v>
      </c>
      <c r="I230" s="60" t="s">
        <v>172</v>
      </c>
      <c r="J230" s="6"/>
    </row>
    <row r="231" customHeight="1" spans="1:10">
      <c r="A231" s="64" t="s">
        <v>242</v>
      </c>
      <c r="B231" s="64" t="s">
        <v>245</v>
      </c>
      <c r="C231" s="65" t="s">
        <v>175</v>
      </c>
      <c r="D231" s="65">
        <v>31</v>
      </c>
      <c r="E231" s="65">
        <v>24</v>
      </c>
      <c r="F231" s="65">
        <v>744</v>
      </c>
      <c r="G231" s="65">
        <v>214</v>
      </c>
      <c r="H231" s="66">
        <v>0.287634408602151</v>
      </c>
      <c r="I231" s="66">
        <v>1</v>
      </c>
      <c r="J231" s="65" t="s">
        <v>185</v>
      </c>
    </row>
    <row r="232" customHeight="1" spans="1:10">
      <c r="A232" s="64"/>
      <c r="B232" s="65"/>
      <c r="C232" s="65" t="s">
        <v>176</v>
      </c>
      <c r="D232" s="65">
        <v>31</v>
      </c>
      <c r="E232" s="65">
        <v>24</v>
      </c>
      <c r="F232" s="65">
        <v>744</v>
      </c>
      <c r="G232" s="65">
        <v>214</v>
      </c>
      <c r="H232" s="66">
        <v>0.287634408602151</v>
      </c>
      <c r="I232" s="66">
        <v>1</v>
      </c>
      <c r="J232" s="65" t="s">
        <v>185</v>
      </c>
    </row>
    <row r="233" customHeight="1" spans="1:10">
      <c r="A233" s="64"/>
      <c r="B233" s="65"/>
      <c r="C233" s="65" t="s">
        <v>181</v>
      </c>
      <c r="D233" s="65">
        <v>31</v>
      </c>
      <c r="E233" s="65">
        <v>24</v>
      </c>
      <c r="F233" s="65">
        <v>744</v>
      </c>
      <c r="G233" s="65">
        <v>214</v>
      </c>
      <c r="H233" s="66">
        <v>0.287634408602151</v>
      </c>
      <c r="I233" s="66">
        <v>1</v>
      </c>
      <c r="J233" s="65" t="s">
        <v>185</v>
      </c>
    </row>
    <row r="234" customHeight="1" spans="1:10">
      <c r="A234" s="64"/>
      <c r="B234" s="65"/>
      <c r="C234" s="65" t="s">
        <v>182</v>
      </c>
      <c r="D234" s="65">
        <v>31</v>
      </c>
      <c r="E234" s="65">
        <v>24</v>
      </c>
      <c r="F234" s="65">
        <v>744</v>
      </c>
      <c r="G234" s="65">
        <v>214</v>
      </c>
      <c r="H234" s="66">
        <v>0.287634408602151</v>
      </c>
      <c r="I234" s="66">
        <v>1</v>
      </c>
      <c r="J234" s="65" t="s">
        <v>185</v>
      </c>
    </row>
    <row r="235" customHeight="1" spans="1:10">
      <c r="A235" s="64"/>
      <c r="B235" s="64" t="s">
        <v>246</v>
      </c>
      <c r="C235" s="65" t="s">
        <v>175</v>
      </c>
      <c r="D235" s="65">
        <v>31</v>
      </c>
      <c r="E235" s="65">
        <v>24</v>
      </c>
      <c r="F235" s="65">
        <v>744</v>
      </c>
      <c r="G235" s="65">
        <v>214</v>
      </c>
      <c r="H235" s="66">
        <v>0.287634408602151</v>
      </c>
      <c r="I235" s="66">
        <v>1</v>
      </c>
      <c r="J235" s="65" t="s">
        <v>185</v>
      </c>
    </row>
    <row r="236" customHeight="1" spans="1:10">
      <c r="A236" s="64"/>
      <c r="B236" s="65"/>
      <c r="C236" s="65" t="s">
        <v>176</v>
      </c>
      <c r="D236" s="65">
        <v>31</v>
      </c>
      <c r="E236" s="65">
        <v>24</v>
      </c>
      <c r="F236" s="65">
        <v>744</v>
      </c>
      <c r="G236" s="65">
        <v>214</v>
      </c>
      <c r="H236" s="66">
        <v>0.287634408602151</v>
      </c>
      <c r="I236" s="66">
        <v>1</v>
      </c>
      <c r="J236" s="65" t="s">
        <v>185</v>
      </c>
    </row>
    <row r="237" customHeight="1" spans="1:10">
      <c r="A237" s="64"/>
      <c r="B237" s="65"/>
      <c r="C237" s="65" t="s">
        <v>181</v>
      </c>
      <c r="D237" s="65">
        <v>31</v>
      </c>
      <c r="E237" s="65">
        <v>24</v>
      </c>
      <c r="F237" s="65">
        <v>744</v>
      </c>
      <c r="G237" s="65">
        <v>214</v>
      </c>
      <c r="H237" s="66">
        <v>0.287634408602151</v>
      </c>
      <c r="I237" s="66">
        <v>1</v>
      </c>
      <c r="J237" s="65" t="s">
        <v>185</v>
      </c>
    </row>
    <row r="238" customHeight="1" spans="1:10">
      <c r="A238" s="64"/>
      <c r="B238" s="65"/>
      <c r="C238" s="65" t="s">
        <v>182</v>
      </c>
      <c r="D238" s="65">
        <v>31</v>
      </c>
      <c r="E238" s="65">
        <v>24</v>
      </c>
      <c r="F238" s="65">
        <v>744</v>
      </c>
      <c r="G238" s="65">
        <v>214</v>
      </c>
      <c r="H238" s="66">
        <v>0.287634408602151</v>
      </c>
      <c r="I238" s="66">
        <v>1</v>
      </c>
      <c r="J238" s="65" t="s">
        <v>185</v>
      </c>
    </row>
    <row r="239" customHeight="1" spans="1:10">
      <c r="A239" s="64"/>
      <c r="B239" s="65"/>
      <c r="C239" s="65" t="s">
        <v>183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 t="s">
        <v>185</v>
      </c>
    </row>
    <row r="240" customHeight="1" spans="1:10">
      <c r="A240" s="64"/>
      <c r="B240" s="65"/>
      <c r="C240" s="65" t="s">
        <v>186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 t="s">
        <v>185</v>
      </c>
    </row>
    <row r="241" customHeight="1" spans="1:10">
      <c r="A241" s="64"/>
      <c r="B241" s="64" t="s">
        <v>247</v>
      </c>
      <c r="C241" s="65" t="s">
        <v>175</v>
      </c>
      <c r="D241" s="65">
        <v>31</v>
      </c>
      <c r="E241" s="65">
        <v>24</v>
      </c>
      <c r="F241" s="65">
        <v>744</v>
      </c>
      <c r="G241" s="65">
        <v>62</v>
      </c>
      <c r="H241" s="66">
        <v>0.0833333333333333</v>
      </c>
      <c r="I241" s="66">
        <v>1</v>
      </c>
      <c r="J241" s="65" t="s">
        <v>185</v>
      </c>
    </row>
    <row r="242" customHeight="1" spans="1:10">
      <c r="A242" s="64"/>
      <c r="B242" s="65"/>
      <c r="C242" s="65" t="s">
        <v>176</v>
      </c>
      <c r="D242" s="65">
        <v>31</v>
      </c>
      <c r="E242" s="65">
        <v>24</v>
      </c>
      <c r="F242" s="65">
        <v>744</v>
      </c>
      <c r="G242" s="65">
        <v>62</v>
      </c>
      <c r="H242" s="66">
        <v>0.0833333333333333</v>
      </c>
      <c r="I242" s="66">
        <v>1</v>
      </c>
      <c r="J242" s="65" t="s">
        <v>185</v>
      </c>
    </row>
    <row r="243" customHeight="1" spans="1:10">
      <c r="A243" s="64"/>
      <c r="B243" s="65"/>
      <c r="C243" s="65" t="s">
        <v>181</v>
      </c>
      <c r="D243" s="65">
        <v>31</v>
      </c>
      <c r="E243" s="65">
        <v>24</v>
      </c>
      <c r="F243" s="65">
        <v>744</v>
      </c>
      <c r="G243" s="65">
        <v>62</v>
      </c>
      <c r="H243" s="66">
        <v>0.0833333333333333</v>
      </c>
      <c r="I243" s="66">
        <v>1</v>
      </c>
      <c r="J243" s="65" t="s">
        <v>185</v>
      </c>
    </row>
    <row r="244" customHeight="1" spans="1:10">
      <c r="A244" s="64"/>
      <c r="B244" s="65"/>
      <c r="C244" s="65" t="s">
        <v>182</v>
      </c>
      <c r="D244" s="65">
        <v>31</v>
      </c>
      <c r="E244" s="65">
        <v>24</v>
      </c>
      <c r="F244" s="65">
        <v>744</v>
      </c>
      <c r="G244" s="65">
        <v>62</v>
      </c>
      <c r="H244" s="66">
        <v>0.0833333333333333</v>
      </c>
      <c r="I244" s="66">
        <v>1</v>
      </c>
      <c r="J244" s="65" t="s">
        <v>185</v>
      </c>
    </row>
    <row r="245" customHeight="1" spans="1:10">
      <c r="A245" s="64"/>
      <c r="B245" s="64" t="s">
        <v>248</v>
      </c>
      <c r="C245" s="65" t="s">
        <v>175</v>
      </c>
      <c r="D245" s="65">
        <v>31</v>
      </c>
      <c r="E245" s="65">
        <v>24</v>
      </c>
      <c r="F245" s="65">
        <v>744</v>
      </c>
      <c r="G245" s="65">
        <v>48</v>
      </c>
      <c r="H245" s="66">
        <v>0.0645161290322581</v>
      </c>
      <c r="I245" s="66">
        <v>1</v>
      </c>
      <c r="J245" s="65"/>
    </row>
    <row r="246" customHeight="1" spans="1:10">
      <c r="A246" s="64"/>
      <c r="B246" s="65"/>
      <c r="C246" s="65" t="s">
        <v>176</v>
      </c>
      <c r="D246" s="65">
        <v>31</v>
      </c>
      <c r="E246" s="65">
        <v>24</v>
      </c>
      <c r="F246" s="65">
        <v>744</v>
      </c>
      <c r="G246" s="65">
        <v>0</v>
      </c>
      <c r="H246" s="66">
        <v>0</v>
      </c>
      <c r="I246" s="66">
        <v>1</v>
      </c>
      <c r="J246" s="65"/>
    </row>
    <row r="247" customHeight="1" spans="1:10">
      <c r="A247" s="64"/>
      <c r="B247" s="65"/>
      <c r="C247" s="65" t="s">
        <v>181</v>
      </c>
      <c r="D247" s="65">
        <v>31</v>
      </c>
      <c r="E247" s="65">
        <v>24</v>
      </c>
      <c r="F247" s="65">
        <v>744</v>
      </c>
      <c r="G247" s="65">
        <v>48</v>
      </c>
      <c r="H247" s="66">
        <v>0.0645161290322581</v>
      </c>
      <c r="I247" s="66">
        <v>1</v>
      </c>
      <c r="J247" s="65"/>
    </row>
    <row r="248" customHeight="1" spans="1:10">
      <c r="A248" s="64"/>
      <c r="B248" s="65"/>
      <c r="C248" s="65" t="s">
        <v>182</v>
      </c>
      <c r="D248" s="65">
        <v>31</v>
      </c>
      <c r="E248" s="65">
        <v>24</v>
      </c>
      <c r="F248" s="65">
        <v>744</v>
      </c>
      <c r="G248" s="65">
        <v>0</v>
      </c>
      <c r="H248" s="66">
        <v>0</v>
      </c>
      <c r="I248" s="66">
        <v>1</v>
      </c>
      <c r="J248" s="65"/>
    </row>
    <row r="249" customHeight="1" spans="1:10">
      <c r="A249" s="64"/>
      <c r="B249" s="65"/>
      <c r="C249" s="65" t="s">
        <v>183</v>
      </c>
      <c r="D249" s="65">
        <v>31</v>
      </c>
      <c r="E249" s="65">
        <v>24</v>
      </c>
      <c r="F249" s="65">
        <v>744</v>
      </c>
      <c r="G249" s="65">
        <v>48</v>
      </c>
      <c r="H249" s="66">
        <v>0.0645161290322581</v>
      </c>
      <c r="I249" s="66">
        <v>1</v>
      </c>
      <c r="J249" s="65"/>
    </row>
    <row r="250" customHeight="1" spans="1:10">
      <c r="A250" s="64"/>
      <c r="B250" s="65"/>
      <c r="C250" s="65" t="s">
        <v>186</v>
      </c>
      <c r="D250" s="65">
        <v>31</v>
      </c>
      <c r="E250" s="65">
        <v>24</v>
      </c>
      <c r="F250" s="65">
        <v>744</v>
      </c>
      <c r="G250" s="65">
        <v>48</v>
      </c>
      <c r="H250" s="66">
        <v>0.0645161290322581</v>
      </c>
      <c r="I250" s="66">
        <v>1</v>
      </c>
      <c r="J250" s="65"/>
    </row>
    <row r="251" customHeight="1" spans="1:10">
      <c r="A251" s="64"/>
      <c r="B251" s="65"/>
      <c r="C251" s="65" t="s">
        <v>194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195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196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4" t="s">
        <v>249</v>
      </c>
      <c r="C254" s="65" t="s">
        <v>175</v>
      </c>
      <c r="D254" s="65">
        <v>31</v>
      </c>
      <c r="E254" s="65">
        <v>24</v>
      </c>
      <c r="F254" s="65">
        <v>744</v>
      </c>
      <c r="G254" s="65">
        <v>48</v>
      </c>
      <c r="H254" s="66">
        <v>0.0645161290322581</v>
      </c>
      <c r="I254" s="66">
        <v>1</v>
      </c>
      <c r="J254" s="65"/>
    </row>
    <row r="255" customHeight="1" spans="1:10">
      <c r="A255" s="64"/>
      <c r="B255" s="65"/>
      <c r="C255" s="65" t="s">
        <v>176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181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182</v>
      </c>
      <c r="D257" s="65">
        <v>31</v>
      </c>
      <c r="E257" s="65">
        <v>24</v>
      </c>
      <c r="F257" s="65">
        <v>744</v>
      </c>
      <c r="G257" s="65">
        <v>48</v>
      </c>
      <c r="H257" s="66">
        <v>0.0645161290322581</v>
      </c>
      <c r="I257" s="66">
        <v>1</v>
      </c>
      <c r="J257" s="65"/>
    </row>
    <row r="258" customHeight="1" spans="1:10">
      <c r="A258" s="64"/>
      <c r="B258" s="65"/>
      <c r="C258" s="65" t="s">
        <v>183</v>
      </c>
      <c r="D258" s="65">
        <v>31</v>
      </c>
      <c r="E258" s="65">
        <v>24</v>
      </c>
      <c r="F258" s="65">
        <v>744</v>
      </c>
      <c r="G258" s="65">
        <v>48</v>
      </c>
      <c r="H258" s="66">
        <v>0.0645161290322581</v>
      </c>
      <c r="I258" s="66">
        <v>1</v>
      </c>
      <c r="J258" s="65"/>
    </row>
    <row r="259" customHeight="1" spans="1:10">
      <c r="A259" s="64"/>
      <c r="B259" s="65"/>
      <c r="C259" s="65" t="s">
        <v>186</v>
      </c>
      <c r="D259" s="65">
        <v>31</v>
      </c>
      <c r="E259" s="65">
        <v>24</v>
      </c>
      <c r="F259" s="65">
        <v>744</v>
      </c>
      <c r="G259" s="65">
        <v>0</v>
      </c>
      <c r="H259" s="66">
        <v>0</v>
      </c>
      <c r="I259" s="66">
        <v>1</v>
      </c>
      <c r="J259" s="65"/>
    </row>
    <row r="260" customHeight="1" spans="1:10">
      <c r="A260" s="64"/>
      <c r="B260" s="65"/>
      <c r="C260" s="65" t="s">
        <v>194</v>
      </c>
      <c r="D260" s="65">
        <v>31</v>
      </c>
      <c r="E260" s="65">
        <v>24</v>
      </c>
      <c r="F260" s="65">
        <v>744</v>
      </c>
      <c r="G260" s="65">
        <v>0</v>
      </c>
      <c r="H260" s="66">
        <v>0</v>
      </c>
      <c r="I260" s="66">
        <v>1</v>
      </c>
      <c r="J260" s="65"/>
    </row>
    <row r="261" customHeight="1" spans="1:10">
      <c r="A261" s="64"/>
      <c r="B261" s="65"/>
      <c r="C261" s="65" t="s">
        <v>195</v>
      </c>
      <c r="D261" s="65">
        <v>31</v>
      </c>
      <c r="E261" s="65">
        <v>24</v>
      </c>
      <c r="F261" s="65">
        <v>744</v>
      </c>
      <c r="G261" s="65">
        <v>48</v>
      </c>
      <c r="H261" s="66">
        <v>0.0645161290322581</v>
      </c>
      <c r="I261" s="66">
        <v>1</v>
      </c>
      <c r="J261" s="65"/>
    </row>
    <row r="262" customHeight="1" spans="1:10">
      <c r="A262" s="64"/>
      <c r="B262" s="6" t="s">
        <v>250</v>
      </c>
      <c r="C262" s="65" t="s">
        <v>175</v>
      </c>
      <c r="D262" s="65">
        <v>31</v>
      </c>
      <c r="E262" s="65">
        <v>24</v>
      </c>
      <c r="F262" s="65">
        <v>744</v>
      </c>
      <c r="G262" s="65">
        <v>742</v>
      </c>
      <c r="H262" s="66">
        <v>0.99</v>
      </c>
      <c r="I262" s="66">
        <v>1</v>
      </c>
      <c r="J262" s="65" t="s">
        <v>251</v>
      </c>
    </row>
    <row r="263" customHeight="1" spans="1:10">
      <c r="A263" s="64"/>
      <c r="B263" s="5"/>
      <c r="C263" s="65" t="s">
        <v>176</v>
      </c>
      <c r="D263" s="65">
        <v>31</v>
      </c>
      <c r="E263" s="65">
        <v>24</v>
      </c>
      <c r="F263" s="65">
        <v>744</v>
      </c>
      <c r="G263" s="65">
        <v>720</v>
      </c>
      <c r="H263" s="66">
        <v>0.97</v>
      </c>
      <c r="I263" s="66">
        <v>1</v>
      </c>
      <c r="J263" s="65" t="s">
        <v>251</v>
      </c>
    </row>
    <row r="264" customHeight="1" spans="1:10">
      <c r="A264" s="64"/>
      <c r="B264" s="5"/>
      <c r="C264" s="65" t="s">
        <v>181</v>
      </c>
      <c r="D264" s="65">
        <v>31</v>
      </c>
      <c r="E264" s="65">
        <v>24</v>
      </c>
      <c r="F264" s="65">
        <v>744</v>
      </c>
      <c r="G264" s="65">
        <v>0</v>
      </c>
      <c r="H264" s="66">
        <v>0</v>
      </c>
      <c r="I264" s="66">
        <v>1</v>
      </c>
      <c r="J264" s="65" t="s">
        <v>251</v>
      </c>
    </row>
    <row r="265" customHeight="1" spans="1:10">
      <c r="A265" s="64"/>
      <c r="B265" s="6" t="s">
        <v>252</v>
      </c>
      <c r="C265" s="65" t="s">
        <v>175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176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/>
    </row>
    <row r="267" customHeight="1" spans="1:10">
      <c r="A267" s="64"/>
      <c r="B267" s="5"/>
      <c r="C267" s="65" t="s">
        <v>181</v>
      </c>
      <c r="D267" s="65">
        <v>31</v>
      </c>
      <c r="E267" s="65">
        <v>24</v>
      </c>
      <c r="F267" s="65">
        <v>744</v>
      </c>
      <c r="G267" s="65">
        <v>744</v>
      </c>
      <c r="H267" s="66">
        <v>1</v>
      </c>
      <c r="I267" s="66">
        <v>1</v>
      </c>
      <c r="J267" s="65"/>
    </row>
    <row r="268" customHeight="1" spans="1:10">
      <c r="A268" s="64"/>
      <c r="B268" s="5"/>
      <c r="C268" s="65" t="s">
        <v>182</v>
      </c>
      <c r="D268" s="65">
        <v>31</v>
      </c>
      <c r="E268" s="65">
        <v>24</v>
      </c>
      <c r="F268" s="65">
        <v>744</v>
      </c>
      <c r="G268" s="65">
        <v>744</v>
      </c>
      <c r="H268" s="66">
        <v>1</v>
      </c>
      <c r="I268" s="66">
        <v>1</v>
      </c>
      <c r="J268" s="65"/>
    </row>
    <row r="269" customHeight="1" spans="1:10">
      <c r="A269" s="64"/>
      <c r="B269" s="5"/>
      <c r="C269" s="65" t="s">
        <v>183</v>
      </c>
      <c r="D269" s="65">
        <v>31</v>
      </c>
      <c r="E269" s="65">
        <v>24</v>
      </c>
      <c r="F269" s="65">
        <v>744</v>
      </c>
      <c r="G269" s="65">
        <v>744</v>
      </c>
      <c r="H269" s="66">
        <v>1</v>
      </c>
      <c r="I269" s="66">
        <v>1</v>
      </c>
      <c r="J269" s="65" t="s">
        <v>253</v>
      </c>
    </row>
    <row r="270" ht="19" customHeight="1" spans="1:10">
      <c r="A270" s="67" t="s">
        <v>66</v>
      </c>
      <c r="B270" s="67"/>
      <c r="C270" s="68"/>
      <c r="D270" s="68"/>
      <c r="E270" s="69" t="s">
        <v>67</v>
      </c>
      <c r="F270" s="69"/>
      <c r="G270" s="70"/>
      <c r="H270" s="71" t="s">
        <v>191</v>
      </c>
      <c r="I270" s="71"/>
      <c r="J270" s="71"/>
    </row>
    <row r="271" ht="17" customHeight="1" spans="1:10">
      <c r="A271" s="57" t="s">
        <v>158</v>
      </c>
      <c r="B271" s="57"/>
      <c r="C271" s="57"/>
      <c r="D271" s="57"/>
      <c r="E271" s="57"/>
      <c r="F271" s="57"/>
      <c r="G271" s="57"/>
      <c r="H271" s="58"/>
      <c r="I271" s="57"/>
      <c r="J271" s="57"/>
    </row>
    <row r="272" customHeight="1" spans="1:10">
      <c r="A272" s="59">
        <v>43952</v>
      </c>
      <c r="B272" s="59"/>
      <c r="C272" s="59"/>
      <c r="D272" s="59"/>
      <c r="E272" s="59"/>
      <c r="F272" s="59"/>
      <c r="G272" s="59"/>
      <c r="H272" s="59"/>
      <c r="I272" s="59"/>
      <c r="J272" s="59"/>
    </row>
    <row r="273" customHeight="1" spans="1:10">
      <c r="A273" s="6" t="s">
        <v>159</v>
      </c>
      <c r="B273" s="6" t="s">
        <v>160</v>
      </c>
      <c r="C273" s="6" t="s">
        <v>161</v>
      </c>
      <c r="D273" s="6" t="s">
        <v>162</v>
      </c>
      <c r="E273" s="60" t="s">
        <v>163</v>
      </c>
      <c r="F273" s="60" t="s">
        <v>164</v>
      </c>
      <c r="G273" s="61" t="s">
        <v>165</v>
      </c>
      <c r="H273" s="62" t="s">
        <v>166</v>
      </c>
      <c r="I273" s="60" t="s">
        <v>167</v>
      </c>
      <c r="J273" s="6" t="s">
        <v>168</v>
      </c>
    </row>
    <row r="274" customHeight="1" spans="1:10">
      <c r="A274" s="6"/>
      <c r="B274" s="6"/>
      <c r="C274" s="6"/>
      <c r="D274" s="6"/>
      <c r="E274" s="60"/>
      <c r="F274" s="60"/>
      <c r="G274" s="61"/>
      <c r="H274" s="62"/>
      <c r="I274" s="60"/>
      <c r="J274" s="6"/>
    </row>
    <row r="275" customHeight="1" spans="1:10">
      <c r="A275" s="63"/>
      <c r="B275" s="6"/>
      <c r="C275" s="63"/>
      <c r="D275" s="6" t="s">
        <v>169</v>
      </c>
      <c r="E275" s="60" t="s">
        <v>170</v>
      </c>
      <c r="F275" s="60" t="s">
        <v>171</v>
      </c>
      <c r="G275" s="61" t="s">
        <v>171</v>
      </c>
      <c r="H275" s="62" t="s">
        <v>172</v>
      </c>
      <c r="I275" s="60" t="s">
        <v>172</v>
      </c>
      <c r="J275" s="6"/>
    </row>
    <row r="276" customHeight="1" spans="1:10">
      <c r="A276" s="64" t="s">
        <v>242</v>
      </c>
      <c r="B276" s="64" t="s">
        <v>252</v>
      </c>
      <c r="C276" s="65" t="s">
        <v>186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/>
    </row>
    <row r="277" customHeight="1" spans="1:10">
      <c r="A277" s="65"/>
      <c r="B277" s="64"/>
      <c r="C277" s="65" t="s">
        <v>194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4"/>
      <c r="C278" s="65" t="s">
        <v>195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customHeight="1" spans="1:10">
      <c r="A279" s="65"/>
      <c r="B279" s="64" t="s">
        <v>254</v>
      </c>
      <c r="C279" s="65" t="s">
        <v>196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5"/>
    </row>
    <row r="280" customHeight="1" spans="1:10">
      <c r="A280" s="65"/>
      <c r="B280" s="65"/>
      <c r="C280" s="65" t="s">
        <v>197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198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199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200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201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/>
    </row>
    <row r="285" customHeight="1" spans="1:10">
      <c r="A285" s="65"/>
      <c r="B285" s="65"/>
      <c r="C285" s="65" t="s">
        <v>202</v>
      </c>
      <c r="D285" s="65">
        <v>31</v>
      </c>
      <c r="E285" s="65">
        <v>24</v>
      </c>
      <c r="F285" s="65">
        <v>744</v>
      </c>
      <c r="G285" s="65">
        <v>744</v>
      </c>
      <c r="H285" s="66">
        <v>1</v>
      </c>
      <c r="I285" s="66">
        <v>1</v>
      </c>
      <c r="J285" s="65"/>
    </row>
    <row r="286" customHeight="1" spans="1:10">
      <c r="A286" s="65"/>
      <c r="B286" s="65"/>
      <c r="C286" s="65" t="s">
        <v>203</v>
      </c>
      <c r="D286" s="65">
        <v>31</v>
      </c>
      <c r="E286" s="65">
        <v>24</v>
      </c>
      <c r="F286" s="65">
        <v>744</v>
      </c>
      <c r="G286" s="65">
        <v>744</v>
      </c>
      <c r="H286" s="66">
        <v>1</v>
      </c>
      <c r="I286" s="66">
        <v>1</v>
      </c>
      <c r="J286" s="65" t="s">
        <v>253</v>
      </c>
    </row>
    <row r="287" customHeight="1" spans="1:10">
      <c r="A287" s="65"/>
      <c r="B287" s="65" t="s">
        <v>255</v>
      </c>
      <c r="C287" s="65" t="s">
        <v>175</v>
      </c>
      <c r="D287" s="65">
        <v>31</v>
      </c>
      <c r="E287" s="65">
        <v>24</v>
      </c>
      <c r="F287" s="65">
        <v>744</v>
      </c>
      <c r="G287" s="65">
        <v>52</v>
      </c>
      <c r="H287" s="66">
        <v>0.0698924731182796</v>
      </c>
      <c r="I287" s="66">
        <v>1</v>
      </c>
      <c r="J287" s="65"/>
    </row>
    <row r="288" customHeight="1" spans="1:10">
      <c r="A288" s="65"/>
      <c r="B288" s="65"/>
      <c r="C288" s="65" t="s">
        <v>176</v>
      </c>
      <c r="D288" s="65">
        <v>31</v>
      </c>
      <c r="E288" s="65">
        <v>24</v>
      </c>
      <c r="F288" s="65">
        <v>744</v>
      </c>
      <c r="G288" s="65">
        <v>0</v>
      </c>
      <c r="H288" s="66">
        <v>0</v>
      </c>
      <c r="I288" s="66">
        <v>1</v>
      </c>
      <c r="J288" s="65"/>
    </row>
    <row r="289" customHeight="1" spans="1:10">
      <c r="A289" s="65"/>
      <c r="B289" s="65"/>
      <c r="C289" s="65" t="s">
        <v>181</v>
      </c>
      <c r="D289" s="65">
        <v>31</v>
      </c>
      <c r="E289" s="65">
        <v>24</v>
      </c>
      <c r="F289" s="65">
        <v>744</v>
      </c>
      <c r="G289" s="65">
        <v>48.4</v>
      </c>
      <c r="H289" s="66">
        <v>0.0650537634408602</v>
      </c>
      <c r="I289" s="66">
        <v>1</v>
      </c>
      <c r="J289" s="65"/>
    </row>
    <row r="290" customHeight="1" spans="1:10">
      <c r="A290" s="65"/>
      <c r="B290" s="65" t="s">
        <v>256</v>
      </c>
      <c r="C290" s="65" t="s">
        <v>175</v>
      </c>
      <c r="D290" s="65">
        <v>31</v>
      </c>
      <c r="E290" s="65">
        <v>24</v>
      </c>
      <c r="F290" s="65">
        <v>744</v>
      </c>
      <c r="G290" s="65">
        <v>42.3</v>
      </c>
      <c r="H290" s="66">
        <v>0.0568548387096774</v>
      </c>
      <c r="I290" s="66">
        <v>1</v>
      </c>
      <c r="J290" s="65"/>
    </row>
    <row r="291" customHeight="1" spans="1:10">
      <c r="A291" s="65"/>
      <c r="B291" s="65"/>
      <c r="C291" s="65" t="s">
        <v>176</v>
      </c>
      <c r="D291" s="65">
        <v>31</v>
      </c>
      <c r="E291" s="65">
        <v>24</v>
      </c>
      <c r="F291" s="65">
        <v>744</v>
      </c>
      <c r="G291" s="65">
        <v>39.6</v>
      </c>
      <c r="H291" s="66">
        <v>0.0532258064516129</v>
      </c>
      <c r="I291" s="66">
        <v>1</v>
      </c>
      <c r="J291" s="65"/>
    </row>
    <row r="292" customHeight="1" spans="1:10">
      <c r="A292" s="65"/>
      <c r="B292" s="65"/>
      <c r="C292" s="65" t="s">
        <v>181</v>
      </c>
      <c r="D292" s="65">
        <v>31</v>
      </c>
      <c r="E292" s="65">
        <v>24</v>
      </c>
      <c r="F292" s="65">
        <v>744</v>
      </c>
      <c r="G292" s="65">
        <v>39.5</v>
      </c>
      <c r="H292" s="66">
        <v>0.0530913978494624</v>
      </c>
      <c r="I292" s="66">
        <v>1</v>
      </c>
      <c r="J292" s="65"/>
    </row>
    <row r="293" ht="17" customHeight="1" spans="1:10">
      <c r="A293" s="64" t="s">
        <v>257</v>
      </c>
      <c r="B293" s="82" t="s">
        <v>258</v>
      </c>
      <c r="C293" s="65" t="s">
        <v>175</v>
      </c>
      <c r="D293" s="65">
        <v>31</v>
      </c>
      <c r="E293" s="65">
        <v>24</v>
      </c>
      <c r="F293" s="65">
        <v>744</v>
      </c>
      <c r="G293" s="65">
        <v>744</v>
      </c>
      <c r="H293" s="66">
        <v>1</v>
      </c>
      <c r="I293" s="66">
        <v>1</v>
      </c>
      <c r="J293" s="65"/>
    </row>
    <row r="294" customHeight="1" spans="1:10">
      <c r="A294" s="65"/>
      <c r="B294" s="84"/>
      <c r="C294" s="65" t="s">
        <v>176</v>
      </c>
      <c r="D294" s="65">
        <v>31</v>
      </c>
      <c r="E294" s="65">
        <v>24</v>
      </c>
      <c r="F294" s="65">
        <v>744</v>
      </c>
      <c r="G294" s="65">
        <v>720</v>
      </c>
      <c r="H294" s="66">
        <v>0.97</v>
      </c>
      <c r="I294" s="66">
        <v>1</v>
      </c>
      <c r="J294" s="65" t="s">
        <v>259</v>
      </c>
    </row>
    <row r="295" customHeight="1" spans="1:10">
      <c r="A295" s="65"/>
      <c r="B295" s="84"/>
      <c r="C295" s="65" t="s">
        <v>181</v>
      </c>
      <c r="D295" s="65">
        <v>31</v>
      </c>
      <c r="E295" s="65">
        <v>24</v>
      </c>
      <c r="F295" s="65">
        <v>744</v>
      </c>
      <c r="G295" s="65">
        <v>744</v>
      </c>
      <c r="H295" s="66">
        <v>1</v>
      </c>
      <c r="I295" s="66">
        <v>1</v>
      </c>
      <c r="J295" s="65"/>
    </row>
    <row r="296" customHeight="1" spans="1:10">
      <c r="A296" s="65"/>
      <c r="B296" s="84"/>
      <c r="C296" s="65" t="s">
        <v>182</v>
      </c>
      <c r="D296" s="65">
        <v>31</v>
      </c>
      <c r="E296" s="65">
        <v>24</v>
      </c>
      <c r="F296" s="65">
        <v>744</v>
      </c>
      <c r="G296" s="65">
        <v>720</v>
      </c>
      <c r="H296" s="66">
        <v>0.97</v>
      </c>
      <c r="I296" s="66">
        <v>1</v>
      </c>
      <c r="J296" s="65" t="s">
        <v>260</v>
      </c>
    </row>
    <row r="297" customHeight="1" spans="1:10">
      <c r="A297" s="65"/>
      <c r="B297" s="84"/>
      <c r="C297" s="65" t="s">
        <v>183</v>
      </c>
      <c r="D297" s="65">
        <v>31</v>
      </c>
      <c r="E297" s="65">
        <v>24</v>
      </c>
      <c r="F297" s="65">
        <v>744</v>
      </c>
      <c r="G297" s="65">
        <v>0</v>
      </c>
      <c r="H297" s="66">
        <v>0</v>
      </c>
      <c r="I297" s="66">
        <v>1</v>
      </c>
      <c r="J297" s="65"/>
    </row>
    <row r="298" customHeight="1" spans="1:10">
      <c r="A298" s="65"/>
      <c r="B298" s="84"/>
      <c r="C298" s="65" t="s">
        <v>186</v>
      </c>
      <c r="D298" s="65">
        <v>31</v>
      </c>
      <c r="E298" s="65">
        <v>24</v>
      </c>
      <c r="F298" s="65">
        <v>744</v>
      </c>
      <c r="G298" s="65">
        <v>744</v>
      </c>
      <c r="H298" s="66">
        <v>1</v>
      </c>
      <c r="I298" s="66">
        <v>1</v>
      </c>
      <c r="J298" s="65"/>
    </row>
    <row r="299" customHeight="1" spans="1:10">
      <c r="A299" s="65"/>
      <c r="B299" s="84"/>
      <c r="C299" s="65" t="s">
        <v>194</v>
      </c>
      <c r="D299" s="65">
        <v>31</v>
      </c>
      <c r="E299" s="65">
        <v>24</v>
      </c>
      <c r="F299" s="65">
        <v>744</v>
      </c>
      <c r="G299" s="65">
        <v>0</v>
      </c>
      <c r="H299" s="66">
        <v>0</v>
      </c>
      <c r="I299" s="66">
        <v>1</v>
      </c>
      <c r="J299" s="65"/>
    </row>
    <row r="300" customHeight="1" spans="1:10">
      <c r="A300" s="65"/>
      <c r="B300" s="86"/>
      <c r="C300" s="65" t="s">
        <v>195</v>
      </c>
      <c r="D300" s="65">
        <v>31</v>
      </c>
      <c r="E300" s="65">
        <v>24</v>
      </c>
      <c r="F300" s="65">
        <v>744</v>
      </c>
      <c r="G300" s="65">
        <v>0</v>
      </c>
      <c r="H300" s="66">
        <v>0</v>
      </c>
      <c r="I300" s="66">
        <v>1</v>
      </c>
      <c r="J300" s="65" t="s">
        <v>261</v>
      </c>
    </row>
    <row r="301" customHeight="1" spans="1:10">
      <c r="A301" s="65"/>
      <c r="B301" s="82" t="s">
        <v>262</v>
      </c>
      <c r="C301" s="65" t="s">
        <v>196</v>
      </c>
      <c r="D301" s="65">
        <v>31</v>
      </c>
      <c r="E301" s="65">
        <v>24</v>
      </c>
      <c r="F301" s="65">
        <v>744</v>
      </c>
      <c r="G301" s="65">
        <v>310</v>
      </c>
      <c r="H301" s="66">
        <v>0.416666666666667</v>
      </c>
      <c r="I301" s="66">
        <v>1</v>
      </c>
      <c r="J301" s="65"/>
    </row>
    <row r="302" customHeight="1" spans="1:10">
      <c r="A302" s="65"/>
      <c r="B302" s="84"/>
      <c r="C302" s="65" t="s">
        <v>197</v>
      </c>
      <c r="D302" s="65">
        <v>31</v>
      </c>
      <c r="E302" s="65">
        <v>24</v>
      </c>
      <c r="F302" s="65">
        <v>744</v>
      </c>
      <c r="G302" s="65">
        <v>0</v>
      </c>
      <c r="H302" s="66">
        <v>0</v>
      </c>
      <c r="I302" s="66">
        <v>1</v>
      </c>
      <c r="J302" s="65"/>
    </row>
    <row r="303" customHeight="1" spans="1:10">
      <c r="A303" s="65"/>
      <c r="B303" s="84"/>
      <c r="C303" s="65" t="s">
        <v>198</v>
      </c>
      <c r="D303" s="65">
        <v>31</v>
      </c>
      <c r="E303" s="65">
        <v>24</v>
      </c>
      <c r="F303" s="65">
        <v>744</v>
      </c>
      <c r="G303" s="65">
        <v>744</v>
      </c>
      <c r="H303" s="66">
        <v>1</v>
      </c>
      <c r="I303" s="66">
        <v>1</v>
      </c>
      <c r="J303" s="65"/>
    </row>
    <row r="304" customHeight="1" spans="1:10">
      <c r="A304" s="65"/>
      <c r="B304" s="84"/>
      <c r="C304" s="65" t="s">
        <v>199</v>
      </c>
      <c r="D304" s="65">
        <v>31</v>
      </c>
      <c r="E304" s="65">
        <v>24</v>
      </c>
      <c r="F304" s="65">
        <v>744</v>
      </c>
      <c r="G304" s="65">
        <v>720</v>
      </c>
      <c r="H304" s="66">
        <v>0.97</v>
      </c>
      <c r="I304" s="66">
        <v>1</v>
      </c>
      <c r="J304" s="65" t="s">
        <v>263</v>
      </c>
    </row>
    <row r="305" customHeight="1" spans="1:10">
      <c r="A305" s="65"/>
      <c r="B305" s="65" t="s">
        <v>264</v>
      </c>
      <c r="C305" s="65" t="s">
        <v>175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5"/>
      <c r="B306" s="65"/>
      <c r="C306" s="65" t="s">
        <v>176</v>
      </c>
      <c r="D306" s="65">
        <v>31</v>
      </c>
      <c r="E306" s="65">
        <v>24</v>
      </c>
      <c r="F306" s="65">
        <v>744</v>
      </c>
      <c r="G306" s="65">
        <v>742</v>
      </c>
      <c r="H306" s="66">
        <v>0.99</v>
      </c>
      <c r="I306" s="66">
        <v>1</v>
      </c>
      <c r="J306" s="65"/>
    </row>
    <row r="307" customHeight="1" spans="1:10">
      <c r="A307" s="65"/>
      <c r="B307" s="65"/>
      <c r="C307" s="65" t="s">
        <v>181</v>
      </c>
      <c r="D307" s="65">
        <v>31</v>
      </c>
      <c r="E307" s="65">
        <v>24</v>
      </c>
      <c r="F307" s="65">
        <v>744</v>
      </c>
      <c r="G307" s="65">
        <v>0</v>
      </c>
      <c r="H307" s="66">
        <v>0</v>
      </c>
      <c r="I307" s="66">
        <v>1</v>
      </c>
      <c r="J307" s="65"/>
    </row>
    <row r="308" customHeight="1" spans="1:10">
      <c r="A308" s="64" t="s">
        <v>265</v>
      </c>
      <c r="B308" s="65" t="s">
        <v>266</v>
      </c>
      <c r="C308" s="65" t="s">
        <v>175</v>
      </c>
      <c r="D308" s="65">
        <v>31</v>
      </c>
      <c r="E308" s="65">
        <v>24</v>
      </c>
      <c r="F308" s="65">
        <v>744</v>
      </c>
      <c r="G308" s="65">
        <v>742</v>
      </c>
      <c r="H308" s="66">
        <v>0.99</v>
      </c>
      <c r="I308" s="66">
        <v>1</v>
      </c>
      <c r="J308" s="65" t="s">
        <v>227</v>
      </c>
    </row>
    <row r="309" customHeight="1" spans="1:10">
      <c r="A309" s="65"/>
      <c r="B309" s="65"/>
      <c r="C309" s="65" t="s">
        <v>176</v>
      </c>
      <c r="D309" s="65">
        <v>31</v>
      </c>
      <c r="E309" s="65">
        <v>24</v>
      </c>
      <c r="F309" s="65">
        <v>744</v>
      </c>
      <c r="G309" s="65">
        <v>742</v>
      </c>
      <c r="H309" s="66">
        <v>0.99</v>
      </c>
      <c r="I309" s="66">
        <v>1</v>
      </c>
      <c r="J309" s="65" t="s">
        <v>227</v>
      </c>
    </row>
    <row r="310" customHeight="1" spans="1:10">
      <c r="A310" s="65"/>
      <c r="B310" s="65" t="s">
        <v>267</v>
      </c>
      <c r="C310" s="65" t="s">
        <v>175</v>
      </c>
      <c r="D310" s="65">
        <v>31</v>
      </c>
      <c r="E310" s="65">
        <v>24</v>
      </c>
      <c r="F310" s="65">
        <v>744</v>
      </c>
      <c r="G310" s="65">
        <v>744</v>
      </c>
      <c r="H310" s="66">
        <v>1</v>
      </c>
      <c r="I310" s="66">
        <v>1</v>
      </c>
      <c r="J310" s="65"/>
    </row>
    <row r="311" customHeight="1" spans="1:10">
      <c r="A311" s="65"/>
      <c r="B311" s="65"/>
      <c r="C311" s="65" t="s">
        <v>176</v>
      </c>
      <c r="D311" s="65">
        <v>31</v>
      </c>
      <c r="E311" s="65">
        <v>24</v>
      </c>
      <c r="F311" s="65">
        <v>744</v>
      </c>
      <c r="G311" s="65">
        <v>0</v>
      </c>
      <c r="H311" s="66">
        <v>0</v>
      </c>
      <c r="I311" s="66">
        <v>1</v>
      </c>
      <c r="J311" s="65"/>
    </row>
    <row r="312" customHeight="1" spans="1:10">
      <c r="A312" s="65"/>
      <c r="B312" s="65"/>
      <c r="C312" s="65" t="s">
        <v>181</v>
      </c>
      <c r="D312" s="65">
        <v>31</v>
      </c>
      <c r="E312" s="65">
        <v>24</v>
      </c>
      <c r="F312" s="65">
        <v>744</v>
      </c>
      <c r="G312" s="65">
        <v>744</v>
      </c>
      <c r="H312" s="66">
        <v>1</v>
      </c>
      <c r="I312" s="66">
        <v>1</v>
      </c>
      <c r="J312" s="65"/>
    </row>
    <row r="313" ht="18" customHeight="1" spans="1:10">
      <c r="A313" s="65"/>
      <c r="B313" s="65" t="s">
        <v>268</v>
      </c>
      <c r="C313" s="65" t="s">
        <v>175</v>
      </c>
      <c r="D313" s="65">
        <v>31</v>
      </c>
      <c r="E313" s="65">
        <v>24</v>
      </c>
      <c r="F313" s="65">
        <v>744</v>
      </c>
      <c r="G313" s="65">
        <v>720</v>
      </c>
      <c r="H313" s="66">
        <v>0.97</v>
      </c>
      <c r="I313" s="66">
        <v>1</v>
      </c>
      <c r="J313" s="64" t="s">
        <v>269</v>
      </c>
    </row>
    <row r="314" ht="27" customHeight="1" spans="1:10">
      <c r="A314" s="65"/>
      <c r="B314" s="65"/>
      <c r="C314" s="65" t="s">
        <v>176</v>
      </c>
      <c r="D314" s="65">
        <v>31</v>
      </c>
      <c r="E314" s="65">
        <v>24</v>
      </c>
      <c r="F314" s="65">
        <v>744</v>
      </c>
      <c r="G314" s="65">
        <v>720</v>
      </c>
      <c r="H314" s="66">
        <v>0.97</v>
      </c>
      <c r="I314" s="66">
        <v>1</v>
      </c>
      <c r="J314" s="64" t="s">
        <v>270</v>
      </c>
    </row>
    <row r="315" ht="24" customHeight="1" spans="1:10">
      <c r="A315" s="67" t="s">
        <v>66</v>
      </c>
      <c r="B315" s="67"/>
      <c r="C315" s="68"/>
      <c r="D315" s="68"/>
      <c r="E315" s="69" t="s">
        <v>67</v>
      </c>
      <c r="F315" s="69"/>
      <c r="G315" s="70"/>
      <c r="H315" s="71" t="s">
        <v>191</v>
      </c>
      <c r="I315" s="71"/>
      <c r="J315" s="71"/>
    </row>
    <row r="316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70:J270"/>
    <mergeCell ref="A271:J271"/>
    <mergeCell ref="A272:J272"/>
    <mergeCell ref="H315:J315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9"/>
    <mergeCell ref="A273:A275"/>
    <mergeCell ref="A276:A292"/>
    <mergeCell ref="A293:A307"/>
    <mergeCell ref="A308:A314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3"/>
    <mergeCell ref="B254:B261"/>
    <mergeCell ref="B262:B264"/>
    <mergeCell ref="B265:B269"/>
    <mergeCell ref="B273:B275"/>
    <mergeCell ref="B276:B278"/>
    <mergeCell ref="B279:B286"/>
    <mergeCell ref="B287:B289"/>
    <mergeCell ref="B290:B292"/>
    <mergeCell ref="B293:B300"/>
    <mergeCell ref="B301:B304"/>
    <mergeCell ref="B305:B307"/>
    <mergeCell ref="B308:B309"/>
    <mergeCell ref="B310:B312"/>
    <mergeCell ref="B313:B314"/>
    <mergeCell ref="C3:C5"/>
    <mergeCell ref="C48:C50"/>
    <mergeCell ref="C93:C95"/>
    <mergeCell ref="C138:C140"/>
    <mergeCell ref="C183:C185"/>
    <mergeCell ref="C228:C230"/>
    <mergeCell ref="C273:C275"/>
    <mergeCell ref="D3:D4"/>
    <mergeCell ref="D48:D49"/>
    <mergeCell ref="D93:D94"/>
    <mergeCell ref="D138:D139"/>
    <mergeCell ref="D183:D184"/>
    <mergeCell ref="D228:D229"/>
    <mergeCell ref="D273:D274"/>
    <mergeCell ref="E3:E4"/>
    <mergeCell ref="E48:E49"/>
    <mergeCell ref="E93:E94"/>
    <mergeCell ref="E138:E139"/>
    <mergeCell ref="E183:E184"/>
    <mergeCell ref="E228:E229"/>
    <mergeCell ref="E273:E274"/>
    <mergeCell ref="F3:F4"/>
    <mergeCell ref="F48:F49"/>
    <mergeCell ref="F93:F94"/>
    <mergeCell ref="F138:F139"/>
    <mergeCell ref="F183:F184"/>
    <mergeCell ref="F228:F229"/>
    <mergeCell ref="F273:F274"/>
    <mergeCell ref="G3:G4"/>
    <mergeCell ref="G48:G49"/>
    <mergeCell ref="G93:G94"/>
    <mergeCell ref="G138:G139"/>
    <mergeCell ref="G183:G184"/>
    <mergeCell ref="G228:G229"/>
    <mergeCell ref="G273:G274"/>
    <mergeCell ref="H3:H4"/>
    <mergeCell ref="H48:H49"/>
    <mergeCell ref="H93:H94"/>
    <mergeCell ref="H138:H139"/>
    <mergeCell ref="H183:H184"/>
    <mergeCell ref="H228:H229"/>
    <mergeCell ref="H273:H274"/>
    <mergeCell ref="I3:I4"/>
    <mergeCell ref="I48:I49"/>
    <mergeCell ref="I93:I94"/>
    <mergeCell ref="I138:I139"/>
    <mergeCell ref="I183:I184"/>
    <mergeCell ref="I228:I229"/>
    <mergeCell ref="I273:I274"/>
    <mergeCell ref="J3:J5"/>
    <mergeCell ref="J48:J50"/>
    <mergeCell ref="J93:J95"/>
    <mergeCell ref="J138:J140"/>
    <mergeCell ref="J183:J185"/>
    <mergeCell ref="J228:J230"/>
    <mergeCell ref="J273:J275"/>
  </mergeCells>
  <printOptions horizontalCentered="1" verticalCentered="1"/>
  <pageMargins left="0.39" right="0.39" top="0.39" bottom="0.39" header="0.51" footer="0.16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3" workbookViewId="0">
      <selection activeCell="G29" sqref="G29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71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44317</v>
      </c>
      <c r="E2" s="33"/>
      <c r="F2" s="31"/>
    </row>
    <row r="3" ht="20.25" customHeight="1" spans="1:7">
      <c r="A3" s="34" t="s">
        <v>271</v>
      </c>
      <c r="B3" s="34" t="s">
        <v>161</v>
      </c>
      <c r="C3" s="34" t="s">
        <v>272</v>
      </c>
      <c r="D3" s="34" t="s">
        <v>273</v>
      </c>
      <c r="E3" s="34" t="s">
        <v>274</v>
      </c>
      <c r="F3" s="34" t="s">
        <v>275</v>
      </c>
      <c r="G3" s="35" t="s">
        <v>126</v>
      </c>
    </row>
    <row r="4" ht="22.5" spans="1:8">
      <c r="A4" s="36" t="s">
        <v>276</v>
      </c>
      <c r="B4" s="37" t="s">
        <v>277</v>
      </c>
      <c r="C4" s="37" t="s">
        <v>278</v>
      </c>
      <c r="D4" s="34" t="s">
        <v>279</v>
      </c>
      <c r="E4" s="34" t="s">
        <v>280</v>
      </c>
      <c r="F4" s="38" t="s">
        <v>281</v>
      </c>
      <c r="G4" s="39" t="s">
        <v>282</v>
      </c>
      <c r="H4" s="40"/>
    </row>
    <row r="5" ht="22.5" spans="1:7">
      <c r="A5" s="41"/>
      <c r="B5" s="37" t="s">
        <v>283</v>
      </c>
      <c r="C5" s="37" t="s">
        <v>278</v>
      </c>
      <c r="D5" s="34" t="s">
        <v>279</v>
      </c>
      <c r="E5" s="34" t="s">
        <v>280</v>
      </c>
      <c r="F5" s="34" t="s">
        <v>281</v>
      </c>
      <c r="G5" s="39" t="str">
        <f>G4</f>
        <v>2021-05-10 2021-05-17 2021-05-24 2021-05-31</v>
      </c>
    </row>
    <row r="6" ht="22.5" spans="1:7">
      <c r="A6" s="41"/>
      <c r="B6" s="37" t="s">
        <v>284</v>
      </c>
      <c r="C6" s="37" t="s">
        <v>278</v>
      </c>
      <c r="D6" s="34" t="s">
        <v>279</v>
      </c>
      <c r="E6" s="34" t="s">
        <v>280</v>
      </c>
      <c r="F6" s="34" t="s">
        <v>281</v>
      </c>
      <c r="G6" s="39" t="str">
        <f t="shared" ref="G6:G20" si="0">G5</f>
        <v>2021-05-10 2021-05-17 2021-05-24 2021-05-31</v>
      </c>
    </row>
    <row r="7" ht="22.5" spans="1:7">
      <c r="A7" s="42"/>
      <c r="B7" s="37" t="s">
        <v>285</v>
      </c>
      <c r="C7" s="37" t="s">
        <v>278</v>
      </c>
      <c r="D7" s="34" t="s">
        <v>279</v>
      </c>
      <c r="E7" s="34" t="s">
        <v>280</v>
      </c>
      <c r="F7" s="34" t="s">
        <v>281</v>
      </c>
      <c r="G7" s="39" t="str">
        <f t="shared" si="0"/>
        <v>2021-05-10 2021-05-17 2021-05-24 2021-05-31</v>
      </c>
    </row>
    <row r="8" ht="22.5" spans="1:7">
      <c r="A8" s="36" t="s">
        <v>286</v>
      </c>
      <c r="B8" s="37" t="s">
        <v>277</v>
      </c>
      <c r="C8" s="37" t="s">
        <v>287</v>
      </c>
      <c r="D8" s="34" t="s">
        <v>279</v>
      </c>
      <c r="E8" s="34" t="s">
        <v>280</v>
      </c>
      <c r="F8" s="34" t="s">
        <v>281</v>
      </c>
      <c r="G8" s="39" t="str">
        <f t="shared" si="0"/>
        <v>2021-05-10 2021-05-17 2021-05-24 2021-05-31</v>
      </c>
    </row>
    <row r="9" ht="22.5" spans="1:7">
      <c r="A9" s="41"/>
      <c r="B9" s="37" t="s">
        <v>283</v>
      </c>
      <c r="C9" s="37" t="s">
        <v>287</v>
      </c>
      <c r="D9" s="34" t="s">
        <v>279</v>
      </c>
      <c r="E9" s="34" t="s">
        <v>280</v>
      </c>
      <c r="F9" s="34" t="s">
        <v>281</v>
      </c>
      <c r="G9" s="39" t="str">
        <f t="shared" si="0"/>
        <v>2021-05-10 2021-05-17 2021-05-24 2021-05-31</v>
      </c>
    </row>
    <row r="10" ht="22.5" spans="1:7">
      <c r="A10" s="41"/>
      <c r="B10" s="37" t="s">
        <v>284</v>
      </c>
      <c r="C10" s="37" t="s">
        <v>287</v>
      </c>
      <c r="D10" s="34" t="s">
        <v>279</v>
      </c>
      <c r="E10" s="34" t="s">
        <v>280</v>
      </c>
      <c r="F10" s="34" t="s">
        <v>281</v>
      </c>
      <c r="G10" s="39" t="str">
        <f t="shared" si="0"/>
        <v>2021-05-10 2021-05-17 2021-05-24 2021-05-31</v>
      </c>
    </row>
    <row r="11" ht="22.5" spans="1:7">
      <c r="A11" s="42"/>
      <c r="B11" s="37" t="s">
        <v>285</v>
      </c>
      <c r="C11" s="37" t="s">
        <v>287</v>
      </c>
      <c r="D11" s="34" t="s">
        <v>279</v>
      </c>
      <c r="E11" s="34" t="s">
        <v>280</v>
      </c>
      <c r="F11" s="34" t="s">
        <v>281</v>
      </c>
      <c r="G11" s="39" t="str">
        <f t="shared" si="0"/>
        <v>2021-05-10 2021-05-17 2021-05-24 2021-05-31</v>
      </c>
    </row>
    <row r="12" ht="24" customHeight="1" spans="1:7">
      <c r="A12" s="37" t="s">
        <v>288</v>
      </c>
      <c r="B12" s="37" t="s">
        <v>175</v>
      </c>
      <c r="C12" s="34" t="s">
        <v>289</v>
      </c>
      <c r="D12" s="34" t="s">
        <v>290</v>
      </c>
      <c r="E12" s="34" t="s">
        <v>280</v>
      </c>
      <c r="F12" s="34" t="s">
        <v>291</v>
      </c>
      <c r="G12" s="39" t="str">
        <f t="shared" si="0"/>
        <v>2021-05-10 2021-05-17 2021-05-24 2021-05-31</v>
      </c>
    </row>
    <row r="13" ht="22.5" spans="1:7">
      <c r="A13" s="36" t="s">
        <v>292</v>
      </c>
      <c r="B13" s="37" t="s">
        <v>277</v>
      </c>
      <c r="C13" s="34" t="s">
        <v>293</v>
      </c>
      <c r="D13" s="34" t="s">
        <v>294</v>
      </c>
      <c r="E13" s="34" t="s">
        <v>280</v>
      </c>
      <c r="F13" s="34" t="s">
        <v>281</v>
      </c>
      <c r="G13" s="39" t="str">
        <f t="shared" si="0"/>
        <v>2021-05-10 2021-05-17 2021-05-24 2021-05-31</v>
      </c>
    </row>
    <row r="14" ht="22.5" spans="1:7">
      <c r="A14" s="41"/>
      <c r="B14" s="37" t="s">
        <v>283</v>
      </c>
      <c r="C14" s="34" t="s">
        <v>293</v>
      </c>
      <c r="D14" s="34" t="s">
        <v>294</v>
      </c>
      <c r="E14" s="34" t="s">
        <v>280</v>
      </c>
      <c r="F14" s="34" t="s">
        <v>281</v>
      </c>
      <c r="G14" s="39" t="str">
        <f t="shared" si="0"/>
        <v>2021-05-10 2021-05-17 2021-05-24 2021-05-31</v>
      </c>
    </row>
    <row r="15" ht="22.5" spans="1:7">
      <c r="A15" s="41"/>
      <c r="B15" s="37" t="s">
        <v>284</v>
      </c>
      <c r="C15" s="34" t="s">
        <v>293</v>
      </c>
      <c r="D15" s="34" t="s">
        <v>294</v>
      </c>
      <c r="E15" s="34" t="s">
        <v>280</v>
      </c>
      <c r="F15" s="34" t="s">
        <v>281</v>
      </c>
      <c r="G15" s="39" t="str">
        <f t="shared" si="0"/>
        <v>2021-05-10 2021-05-17 2021-05-24 2021-05-31</v>
      </c>
    </row>
    <row r="16" ht="22.5" spans="1:7">
      <c r="A16" s="42"/>
      <c r="B16" s="37" t="s">
        <v>285</v>
      </c>
      <c r="C16" s="34" t="s">
        <v>293</v>
      </c>
      <c r="D16" s="34" t="s">
        <v>294</v>
      </c>
      <c r="E16" s="34" t="s">
        <v>280</v>
      </c>
      <c r="F16" s="34" t="s">
        <v>281</v>
      </c>
      <c r="G16" s="39" t="str">
        <f t="shared" si="0"/>
        <v>2021-05-10 2021-05-17 2021-05-24 2021-05-31</v>
      </c>
    </row>
    <row r="17" ht="22.5" spans="1:7">
      <c r="A17" s="34" t="s">
        <v>295</v>
      </c>
      <c r="B17" s="37" t="s">
        <v>277</v>
      </c>
      <c r="C17" s="34" t="s">
        <v>296</v>
      </c>
      <c r="D17" s="34" t="s">
        <v>294</v>
      </c>
      <c r="E17" s="34" t="s">
        <v>280</v>
      </c>
      <c r="F17" s="34" t="s">
        <v>281</v>
      </c>
      <c r="G17" s="39" t="str">
        <f t="shared" si="0"/>
        <v>2021-05-10 2021-05-17 2021-05-24 2021-05-31</v>
      </c>
    </row>
    <row r="18" ht="22.5" spans="1:7">
      <c r="A18" s="34"/>
      <c r="B18" s="37" t="s">
        <v>283</v>
      </c>
      <c r="C18" s="37" t="s">
        <v>287</v>
      </c>
      <c r="D18" s="34" t="s">
        <v>294</v>
      </c>
      <c r="E18" s="34" t="s">
        <v>280</v>
      </c>
      <c r="F18" s="34" t="s">
        <v>281</v>
      </c>
      <c r="G18" s="39" t="str">
        <f t="shared" si="0"/>
        <v>2021-05-10 2021-05-17 2021-05-24 2021-05-31</v>
      </c>
    </row>
    <row r="19" ht="22.5" spans="1:7">
      <c r="A19" s="34"/>
      <c r="B19" s="37" t="s">
        <v>284</v>
      </c>
      <c r="C19" s="34" t="s">
        <v>296</v>
      </c>
      <c r="D19" s="34" t="s">
        <v>294</v>
      </c>
      <c r="E19" s="34" t="s">
        <v>280</v>
      </c>
      <c r="F19" s="34" t="s">
        <v>281</v>
      </c>
      <c r="G19" s="39" t="str">
        <f t="shared" si="0"/>
        <v>2021-05-10 2021-05-17 2021-05-24 2021-05-31</v>
      </c>
    </row>
    <row r="20" ht="22.5" spans="1:7">
      <c r="A20" s="34"/>
      <c r="B20" s="37" t="s">
        <v>285</v>
      </c>
      <c r="C20" s="37" t="s">
        <v>287</v>
      </c>
      <c r="D20" s="34" t="s">
        <v>294</v>
      </c>
      <c r="E20" s="34" t="s">
        <v>280</v>
      </c>
      <c r="F20" s="34" t="s">
        <v>281</v>
      </c>
      <c r="G20" s="39" t="str">
        <f t="shared" si="0"/>
        <v>2021-05-10 2021-05-17 2021-05-24 2021-05-31</v>
      </c>
    </row>
    <row r="21" ht="20.25" customHeight="1" spans="1:7">
      <c r="A21" s="43" t="s">
        <v>66</v>
      </c>
      <c r="B21" s="43"/>
      <c r="C21" s="43"/>
      <c r="D21" s="43" t="s">
        <v>67</v>
      </c>
      <c r="E21" s="43"/>
      <c r="F21" s="43" t="s">
        <v>297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71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44317</v>
      </c>
      <c r="E26" s="50"/>
      <c r="F26" s="31"/>
    </row>
    <row r="27" ht="18.75" customHeight="1" spans="1:7">
      <c r="A27" s="34" t="s">
        <v>271</v>
      </c>
      <c r="B27" s="34" t="s">
        <v>161</v>
      </c>
      <c r="C27" s="34" t="s">
        <v>272</v>
      </c>
      <c r="D27" s="34" t="s">
        <v>273</v>
      </c>
      <c r="E27" s="34" t="s">
        <v>274</v>
      </c>
      <c r="F27" s="34" t="s">
        <v>275</v>
      </c>
      <c r="G27" s="34" t="s">
        <v>126</v>
      </c>
    </row>
    <row r="28" ht="19.5" customHeight="1" spans="1:7">
      <c r="A28" s="34" t="s">
        <v>298</v>
      </c>
      <c r="B28" s="51" t="s">
        <v>277</v>
      </c>
      <c r="C28" s="51" t="s">
        <v>287</v>
      </c>
      <c r="D28" s="34" t="s">
        <v>279</v>
      </c>
      <c r="E28" s="37" t="s">
        <v>280</v>
      </c>
      <c r="F28" s="34" t="s">
        <v>291</v>
      </c>
      <c r="G28" s="52">
        <v>44326</v>
      </c>
    </row>
    <row r="29" ht="19.5" customHeight="1" spans="1:7">
      <c r="A29" s="34"/>
      <c r="B29" s="51" t="s">
        <v>285</v>
      </c>
      <c r="C29" s="51" t="s">
        <v>287</v>
      </c>
      <c r="D29" s="34" t="s">
        <v>279</v>
      </c>
      <c r="E29" s="37" t="s">
        <v>280</v>
      </c>
      <c r="F29" s="34" t="s">
        <v>291</v>
      </c>
      <c r="G29" s="52">
        <f>G28</f>
        <v>44326</v>
      </c>
    </row>
    <row r="30" ht="19.5" customHeight="1" spans="1:7">
      <c r="A30" s="34" t="s">
        <v>299</v>
      </c>
      <c r="B30" s="51" t="s">
        <v>277</v>
      </c>
      <c r="C30" s="37" t="s">
        <v>289</v>
      </c>
      <c r="D30" s="34" t="s">
        <v>294</v>
      </c>
      <c r="E30" s="37" t="s">
        <v>280</v>
      </c>
      <c r="F30" s="34" t="s">
        <v>291</v>
      </c>
      <c r="G30" s="52">
        <f>G29</f>
        <v>44326</v>
      </c>
    </row>
    <row r="31" ht="19.5" customHeight="1" spans="1:7">
      <c r="A31" s="34"/>
      <c r="B31" s="51" t="s">
        <v>285</v>
      </c>
      <c r="C31" s="37" t="s">
        <v>289</v>
      </c>
      <c r="D31" s="34" t="s">
        <v>294</v>
      </c>
      <c r="E31" s="37" t="s">
        <v>280</v>
      </c>
      <c r="F31" s="34" t="s">
        <v>291</v>
      </c>
      <c r="G31" s="52">
        <f>G30</f>
        <v>44326</v>
      </c>
    </row>
    <row r="32" ht="20.25" customHeight="1" spans="1:7">
      <c r="A32" s="43" t="s">
        <v>66</v>
      </c>
      <c r="B32" s="43"/>
      <c r="C32" s="43"/>
      <c r="D32" s="43" t="s">
        <v>67</v>
      </c>
      <c r="E32" s="43"/>
      <c r="F32" s="43" t="str">
        <f>F21</f>
        <v>制表日期：2021/6/3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N26" sqref="N26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300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301</v>
      </c>
      <c r="B3" s="5"/>
      <c r="C3" s="5"/>
      <c r="D3" s="5"/>
      <c r="E3" s="5" t="s">
        <v>302</v>
      </c>
      <c r="F3" s="5"/>
      <c r="G3" s="5"/>
      <c r="H3" s="5"/>
      <c r="I3" s="3"/>
    </row>
    <row r="4" customHeight="1" spans="1:9">
      <c r="A4" s="5" t="s">
        <v>303</v>
      </c>
      <c r="B4" s="5"/>
      <c r="C4" s="5"/>
      <c r="D4" s="5"/>
      <c r="E4" s="5" t="s">
        <v>304</v>
      </c>
      <c r="F4" s="5"/>
      <c r="G4" s="5" t="s">
        <v>305</v>
      </c>
      <c r="H4" s="5"/>
      <c r="I4" s="26"/>
    </row>
    <row r="5" customHeight="1" spans="1:8">
      <c r="A5" s="5" t="s">
        <v>306</v>
      </c>
      <c r="B5" s="5" t="s">
        <v>307</v>
      </c>
      <c r="C5" s="5" t="s">
        <v>308</v>
      </c>
      <c r="D5" s="5" t="s">
        <v>309</v>
      </c>
      <c r="E5" s="5" t="s">
        <v>306</v>
      </c>
      <c r="F5" s="5" t="s">
        <v>307</v>
      </c>
      <c r="G5" s="5" t="s">
        <v>306</v>
      </c>
      <c r="H5" s="5" t="s">
        <v>309</v>
      </c>
    </row>
    <row r="6" customHeight="1" spans="1:8">
      <c r="A6" s="6" t="s">
        <v>310</v>
      </c>
      <c r="B6" s="7">
        <v>1.3773671875</v>
      </c>
      <c r="C6" s="7">
        <v>6.4303710938</v>
      </c>
      <c r="D6" s="7">
        <v>2.63160546875</v>
      </c>
      <c r="E6" s="6" t="s">
        <v>310</v>
      </c>
      <c r="F6" s="7">
        <v>6.61511796875</v>
      </c>
      <c r="G6" s="6" t="s">
        <v>310</v>
      </c>
      <c r="H6" s="7">
        <v>1.795625</v>
      </c>
    </row>
    <row r="7" customHeight="1" spans="1:8">
      <c r="A7" s="6" t="s">
        <v>311</v>
      </c>
      <c r="B7" s="7">
        <v>2.96953125</v>
      </c>
      <c r="C7" s="7">
        <v>4.61305029296875</v>
      </c>
      <c r="D7" s="7">
        <v>2.0534296875</v>
      </c>
      <c r="E7" s="6" t="s">
        <v>311</v>
      </c>
      <c r="F7" s="7">
        <v>4.81048508984375</v>
      </c>
      <c r="G7" s="6" t="s">
        <v>312</v>
      </c>
      <c r="H7" s="7">
        <v>2.1605625</v>
      </c>
    </row>
    <row r="8" customHeight="1" spans="1:8">
      <c r="A8" s="6" t="s">
        <v>312</v>
      </c>
      <c r="B8" s="7">
        <v>4.2671484375</v>
      </c>
      <c r="C8" s="7">
        <v>3.07144796875</v>
      </c>
      <c r="D8" s="7">
        <v>1.57534296875</v>
      </c>
      <c r="E8" s="6" t="s">
        <v>312</v>
      </c>
      <c r="F8" s="7">
        <v>3.3890625</v>
      </c>
      <c r="G8" s="6" t="s">
        <v>313</v>
      </c>
      <c r="H8" s="7">
        <v>2.6359375</v>
      </c>
    </row>
    <row r="9" customHeight="1" spans="1:8">
      <c r="A9" s="6" t="s">
        <v>313</v>
      </c>
      <c r="B9" s="7">
        <v>6.5441125976563</v>
      </c>
      <c r="C9" s="7">
        <v>1.1814853515625</v>
      </c>
      <c r="D9" s="7">
        <v>0.89765625</v>
      </c>
      <c r="E9" s="6" t="s">
        <v>314</v>
      </c>
      <c r="F9" s="7">
        <v>2.358255859375</v>
      </c>
      <c r="G9" s="6" t="s">
        <v>315</v>
      </c>
      <c r="H9" s="7">
        <v>3.059375</v>
      </c>
    </row>
    <row r="10" customHeight="1" spans="1:8">
      <c r="A10" s="8" t="s">
        <v>316</v>
      </c>
      <c r="B10" s="9">
        <v>4564</v>
      </c>
      <c r="C10" s="10"/>
      <c r="D10" s="11"/>
      <c r="E10" s="6" t="s">
        <v>313</v>
      </c>
      <c r="F10" s="7">
        <v>1.39676025390625</v>
      </c>
      <c r="G10" s="12" t="s">
        <v>316</v>
      </c>
      <c r="H10" s="13">
        <v>4348</v>
      </c>
    </row>
    <row r="11" customHeight="1" spans="1:8">
      <c r="A11" s="14"/>
      <c r="B11" s="15"/>
      <c r="C11" s="16"/>
      <c r="D11" s="17"/>
      <c r="E11" s="6" t="s">
        <v>315</v>
      </c>
      <c r="F11" s="7">
        <v>0.7513046875</v>
      </c>
      <c r="G11" s="12"/>
      <c r="H11" s="18"/>
    </row>
    <row r="12" customHeight="1" spans="1:8">
      <c r="A12" s="19"/>
      <c r="B12" s="20"/>
      <c r="C12" s="21"/>
      <c r="D12" s="22"/>
      <c r="E12" s="6" t="s">
        <v>316</v>
      </c>
      <c r="F12" s="12">
        <v>4244</v>
      </c>
      <c r="G12" s="12"/>
      <c r="H12" s="23"/>
    </row>
    <row r="13" s="1" customFormat="1" customHeight="1" spans="1:14">
      <c r="A13" s="24" t="s">
        <v>66</v>
      </c>
      <c r="B13" s="24"/>
      <c r="C13" s="24"/>
      <c r="D13" s="24" t="s">
        <v>67</v>
      </c>
      <c r="E13" s="25"/>
      <c r="F13" s="25"/>
      <c r="G13" s="24" t="s">
        <v>297</v>
      </c>
      <c r="H13" s="25"/>
      <c r="I13" s="24"/>
      <c r="J13" s="24"/>
      <c r="K13" s="24"/>
      <c r="L13" s="24"/>
      <c r="M13" s="24"/>
      <c r="N13" s="24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2021-07-09T06:56:37Z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2052-10.8.2.6666</vt:lpwstr>
  </property>
  <property fmtid="{D5CDD505-2E9C-101B-9397-08002B2CF9AE}" pid="3" name="ICV">
    <vt:lpwstr>1A880C8F1C1046CD89F3DB078A15BB48</vt:lpwstr>
  </property>
</Properties>
</file>