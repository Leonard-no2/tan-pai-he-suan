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848" windowHeight="8832" activeTab="2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<sst xmlns="http://schemas.openxmlformats.org/spreadsheetml/2006/main" count="1002" uniqueCount="316">
  <si>
    <t>常州市深水江边污水处理有限公司污水处理运行月报表</t>
  </si>
  <si>
    <t>2021年 6月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</si>
  <si>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</si>
  <si>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</si>
  <si>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</si>
  <si>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</si>
  <si>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</si>
  <si>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</si>
  <si>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</si>
  <si>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</si>
  <si>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</si>
  <si>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</si>
  <si>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</si>
  <si>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</si>
  <si>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</si>
  <si>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</si>
  <si>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</si>
  <si>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</si>
  <si>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</si>
  <si>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</si>
  <si>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</si>
  <si>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</si>
  <si>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</si>
  <si>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</si>
  <si>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</si>
  <si>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</si>
  <si>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</si>
  <si>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</si>
  <si>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</si>
  <si>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</si>
  <si>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</si>
  <si>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</si>
  <si>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</si>
  <si>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</si>
  <si>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</si>
  <si>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</si>
  <si>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</si>
  <si>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</si>
  <si>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</si>
  <si>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</si>
  <si>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</si>
  <si>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</si>
  <si>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</si>
  <si>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</si>
  <si>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</si>
  <si>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</si>
  <si>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</si>
  <si>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</si>
  <si>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</si>
  <si>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</si>
  <si>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</si>
  <si>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</si>
  <si>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</si>
  <si>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</si>
  <si>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</si>
  <si>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</si>
  <si>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</si>
  <si>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</si>
  <si>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</si>
  <si>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</si>
  <si>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</si>
  <si>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</si>
  <si>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</si>
  <si>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</si>
  <si>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</si>
  <si>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</si>
  <si>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</si>
  <si>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</si>
  <si>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</si>
  <si>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</si>
  <si>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</si>
  <si>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</si>
  <si>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</si>
  <si>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</si>
  <si>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</si>
  <si>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</si>
  <si>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</si>
  <si>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</si>
  <si>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</si>
  <si>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</si>
  <si>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</si>
  <si>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</si>
  <si>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</si>
  <si>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</si>
  <si>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</si>
  <si>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</si>
  <si>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</si>
  <si>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</si>
  <si>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</si>
  <si>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</si>
  <si>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</si>
  <si>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</si>
  <si>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</si>
  <si>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</si>
  <si>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</si>
  <si>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</si>
  <si>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</si>
  <si>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</si>
  <si>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</si>
  <si>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</si>
  <si>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</si>
  <si>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</si>
  <si>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</si>
  <si>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</si>
  <si>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</si>
  <si>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</si>
  <si>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</si>
  <si>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</si>
  <si>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</si>
  <si>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</si>
  <si>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</si>
  <si>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</si>
  <si>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</si>
  <si>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</si>
  <si>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</si>
  <si>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</si>
  <si>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</si>
  <si>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</si>
  <si>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</si>
  <si>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</si>
  <si>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</si>
  <si>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</si>
  <si>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</si>
  <si>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</si>
  <si>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</si>
  <si>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</si>
  <si>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</si>
  <si>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本月产生泥饼4790.61吨，其中运往常州市英科环境科技有限公司3132.70吨，国电常州发电有限公司1612.91吨，外运接种45.00吨：常州郑陆污水处理有限公司30吨，天合光能股份有限公司硅片分公司15吨。</t>
  </si>
  <si>
    <t>审核：                                               制表：                               制表日期：2021/7/5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</si>
  <si>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</si>
  <si>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</si>
  <si>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</si>
  <si>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</si>
  <si>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</si>
  <si>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</si>
  <si>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</si>
  <si>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</si>
  <si>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</si>
  <si>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</si>
  <si>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</si>
  <si>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</si>
  <si>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</si>
  <si>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</si>
  <si>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</si>
  <si>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制表时间：2021/7/2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</si>
  <si>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</si>
  <si>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</si>
  <si>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</si>
  <si>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</si>
  <si>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</si>
  <si>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</si>
  <si>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</si>
  <si>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</si>
  <si>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</si>
  <si>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</si>
  <si>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</si>
  <si>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</si>
  <si>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</si>
  <si>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</si>
  <si>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</si>
  <si>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</si>
  <si>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</si>
  <si>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</si>
  <si>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</si>
  <si>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</si>
  <si>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</si>
  <si>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</si>
  <si>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</si>
  <si>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</si>
  <si>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</si>
  <si>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</si>
  <si>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</si>
  <si>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</si>
  <si>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</si>
  <si>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</si>
  <si>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</si>
  <si>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</si>
  <si>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</si>
  <si>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</si>
  <si>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</si>
  <si>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22日电源线整理</t>
  </si>
  <si>
    <t>3#</t>
  </si>
  <si>
    <t>4#</t>
  </si>
  <si>
    <t>5#</t>
  </si>
  <si>
    <t>细格栅机</t>
  </si>
  <si>
    <t>17日电源线、接线柱更换</t>
  </si>
  <si>
    <t>6#</t>
  </si>
  <si>
    <t>搅拌机</t>
  </si>
  <si>
    <t>砂水分离机</t>
  </si>
  <si>
    <t>高压鼓风机</t>
  </si>
  <si>
    <t>2日进风滤网更换、17日加油保养</t>
  </si>
  <si>
    <t>17日加油保养</t>
  </si>
  <si>
    <t>15日更换进风滤网、17日加油保养</t>
  </si>
  <si>
    <t>制表时间：2021/7/1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</si>
  <si>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</si>
  <si>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</si>
  <si>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</si>
  <si>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</si>
  <si>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</si>
  <si>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</si>
  <si>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</si>
  <si>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</si>
  <si>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</si>
  <si>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</si>
  <si>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</si>
  <si>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</si>
  <si>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</si>
  <si>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</si>
  <si>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</si>
  <si>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</si>
  <si>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</si>
  <si>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</si>
  <si>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</si>
  <si>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</si>
  <si>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</si>
  <si>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</si>
  <si>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</si>
  <si>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</si>
  <si>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</si>
  <si>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</si>
  <si>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</si>
  <si>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</si>
  <si>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</si>
  <si>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</si>
  <si>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</si>
  <si>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</si>
  <si>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</si>
  <si>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</si>
  <si>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</si>
  <si>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</si>
  <si>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</si>
  <si>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</si>
  <si>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</si>
  <si>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</si>
  <si>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</si>
  <si>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</si>
  <si>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</si>
  <si>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</si>
  <si>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3日电柜内线路更换</t>
  </si>
  <si>
    <t>二
期
二
级
处
理</t>
  </si>
  <si>
    <t>二
期
厌
、
缺
、
好
氧
区
搅
拌
器</t>
  </si>
  <si>
    <t>16日检查：导轨脱落</t>
  </si>
  <si>
    <t>28日支架加固</t>
  </si>
  <si>
    <t>深
度
处
理</t>
  </si>
  <si>
    <t>三次
提升泵</t>
  </si>
  <si>
    <t>11日更换备用泵</t>
  </si>
  <si>
    <t>30日更换备用泵（130KW）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</si>
  <si>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</si>
  <si>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</si>
  <si>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</si>
  <si>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</si>
  <si>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</si>
  <si>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</si>
  <si>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</si>
  <si>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</si>
  <si>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16日阀门检查保养</t>
  </si>
  <si>
    <t>V型滤池
（北）</t>
  </si>
  <si>
    <t>反冲洗泵</t>
  </si>
  <si>
    <t>反冲洗风机</t>
  </si>
  <si>
    <t>二
氧
化
氯
发
生
器
房</t>
  </si>
  <si>
    <t>欧泰华
二氧化氯
发生器</t>
  </si>
  <si>
    <t>28日更换热电偶</t>
  </si>
  <si>
    <t>山大华特
二氧化氯
发生器</t>
  </si>
  <si>
    <t>增压水泵</t>
  </si>
  <si>
    <t>脱
水
机
房</t>
  </si>
  <si>
    <t>浓缩池刮泥机</t>
  </si>
  <si>
    <t>进泥泵</t>
  </si>
  <si>
    <t>脱水离心机</t>
  </si>
  <si>
    <t>2日干泥泵安装、29日加油保养</t>
  </si>
  <si>
    <t>28日加油保养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</si>
  <si>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</si>
  <si>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</si>
  <si>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</si>
  <si>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</si>
  <si>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</si>
  <si>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</si>
  <si>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</si>
  <si>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</si>
  <si>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</si>
  <si>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</si>
  <si>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</si>
  <si>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2021-06-03 2021-06-10 2021-06-17 2021-06-24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</si>
  <si>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</si>
  <si>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</si>
  <si>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</si>
  <si>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</si>
  <si>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</si>
  <si>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</si>
  <si>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</si>
  <si>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</si>
  <si>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</si>
  <si>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</si>
  <si>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</si>
  <si>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</si>
  <si>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</si>
  <si>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</si>
  <si>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制表日期：2021/7/2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</si>
  <si>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</si>
  <si>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</si>
  <si>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</si>
  <si>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</si>
  <si>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采样时间：2021-6-29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</si>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</sst>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176" formatCode="0.00;[Red]0.00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;[Red]0.0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0.00_);[Red]\(0.00\)"/>
    <numFmt numFmtId="179" formatCode="0_);[Red]\(0\)"/>
    <numFmt numFmtId="180" formatCode="0_ "/>
    <numFmt numFmtId="181" formatCode="yyyy&quot;年&quot;m&quot;月&quot;;@"/>
    <numFmt numFmtId="182" formatCode="0.000;_鰀"/>
    <numFmt numFmtId="183" formatCode="0.0_);[Red]\(0.0\)"/>
    <numFmt numFmtId="184" formatCode="0.000_ "/>
    <numFmt numFmtId="185" formatCode="0;[Red]0"/>
    <numFmt numFmtId="186" formatCode="0.0_ "/>
    <numFmt numFmtId="187" formatCode="0.0_);\(0.0\)"/>
    <numFmt numFmtId="188" formatCode="0;_ﰀ"/>
    <numFmt numFmtId="189" formatCode="0.00_ "/>
    <numFmt numFmtId="190" formatCode="0.0%"/>
    <numFmt numFmtId="191" formatCode="0;_䠀"/>
    <numFmt numFmtId="192" formatCode="0;_鰀"/>
    <numFmt numFmtId="193" formatCode="#,##0.00_ "/>
    <numFmt numFmtId="194" formatCode="0.00;_鰀"/>
    <numFmt numFmtId="195" formatCode="0.000_);[Red]\(0.000\)"/>
    <numFmt numFmtId="196" formatCode="0.0000_);[Red]\(0.0000\)"/>
    <numFmt numFmtId="197" formatCode="yyyy/m/d;@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vertAlign val="superscript"/>
      <sz val="10"/>
      <color theme="1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b/>
      <sz val="13"/>
      <color indexed="56"/>
      <name val="宋体"/>
      <charset val="134"/>
    </font>
    <font>
      <sz val="11"/>
      <color indexed="17"/>
      <name val="宋体"/>
      <charset val="134"/>
    </font>
    <font>
      <u/>
      <sz val="12"/>
      <color indexed="36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7" fillId="17" borderId="0" applyNumberFormat="0" applyBorder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5" fillId="10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37" fillId="23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1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36" fillId="7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1" borderId="0" applyNumberFormat="0" applyBorder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6" fillId="0" borderId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/>
    <xf numFmtId="0" fontId="36" fillId="1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>
      <alignment vertical="top"/>
      <protection locked="0"/>
    </xf>
    <xf numFmtId="0" fontId="36" fillId="1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0" fillId="0" borderId="0"/>
    <xf numFmtId="0" fontId="37" fillId="2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>
      <alignment vertical="top"/>
      <protection locked="0"/>
    </xf>
    <xf numFmtId="0" fontId="37" fillId="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6" fillId="0" borderId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6" fillId="0" borderId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5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9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9" borderId="19" applyNumberFormat="0" applyFont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53" fillId="0" borderId="27" applyNumberFormat="0" applyFill="0" applyAlignment="0" applyProtection="0">
      <alignment vertical="center"/>
    </xf>
    <xf numFmtId="0" fontId="0" fillId="0" borderId="0"/>
    <xf numFmtId="0" fontId="3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5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15" borderId="22" applyNumberFormat="0" applyAlignment="0" applyProtection="0">
      <alignment vertical="center"/>
    </xf>
    <xf numFmtId="0" fontId="0" fillId="0" borderId="0"/>
    <xf numFmtId="0" fontId="41" fillId="15" borderId="22" applyNumberFormat="0" applyAlignment="0" applyProtection="0">
      <alignment vertical="center"/>
    </xf>
    <xf numFmtId="0" fontId="0" fillId="0" borderId="0"/>
    <xf numFmtId="0" fontId="0" fillId="0" borderId="0"/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4" fillId="14" borderId="22" applyNumberFormat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51" fillId="24" borderId="2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0" fillId="9" borderId="19" applyNumberFormat="0" applyFont="0" applyAlignment="0" applyProtection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0" fontId="0" fillId="0" borderId="0" xfId="0" applyFont="1"/>
    <xf numFmtId="0" fontId="6" fillId="0" borderId="0" xfId="490" applyFont="1" applyAlignment="1">
      <alignment horizontal="center" vertical="center"/>
    </xf>
    <xf numFmtId="0" fontId="7" fillId="0" borderId="0" xfId="490" applyFont="1" applyAlignment="1">
      <alignment horizontal="center" vertical="center"/>
    </xf>
    <xf numFmtId="0" fontId="8" fillId="0" borderId="0" xfId="490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3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5" fontId="18" fillId="0" borderId="4" xfId="0" applyNumberFormat="1" applyFont="1" applyBorder="1" applyAlignment="1">
      <alignment vertical="center"/>
    </xf>
    <xf numFmtId="179" fontId="18" fillId="0" borderId="4" xfId="0" applyNumberFormat="1" applyFont="1" applyBorder="1" applyAlignment="1">
      <alignment vertical="center"/>
    </xf>
    <xf numFmtId="189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5" fontId="18" fillId="0" borderId="0" xfId="0" applyNumberFormat="1" applyFont="1" applyBorder="1" applyAlignment="1">
      <alignment vertical="center"/>
    </xf>
    <xf numFmtId="185" fontId="18" fillId="0" borderId="0" xfId="0" applyNumberFormat="1" applyFont="1" applyAlignment="1">
      <alignment vertical="center"/>
    </xf>
    <xf numFmtId="179" fontId="18" fillId="0" borderId="0" xfId="0" applyNumberFormat="1" applyFont="1" applyAlignment="1">
      <alignment vertical="center"/>
    </xf>
    <xf numFmtId="189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6" fontId="20" fillId="0" borderId="4" xfId="0" applyNumberFormat="1" applyFont="1" applyFill="1" applyBorder="1" applyAlignment="1">
      <alignment horizontal="center" vertical="center"/>
    </xf>
    <xf numFmtId="186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80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186" fontId="21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189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6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9" fontId="20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6" fontId="26" fillId="3" borderId="1" xfId="0" applyNumberFormat="1" applyFont="1" applyFill="1" applyBorder="1" applyAlignment="1">
      <alignment horizontal="center" vertical="center"/>
    </xf>
    <xf numFmtId="176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0" fontId="21" fillId="0" borderId="5" xfId="20" applyNumberFormat="1" applyFont="1" applyFill="1" applyBorder="1" applyAlignment="1">
      <alignment horizontal="center" vertical="center"/>
    </xf>
    <xf numFmtId="184" fontId="21" fillId="0" borderId="5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center" vertical="top" wrapText="1"/>
    </xf>
    <xf numFmtId="190" fontId="21" fillId="0" borderId="8" xfId="20" applyNumberFormat="1" applyFont="1" applyFill="1" applyBorder="1" applyAlignment="1">
      <alignment horizontal="center" vertical="center"/>
    </xf>
    <xf numFmtId="189" fontId="21" fillId="0" borderId="8" xfId="0" applyNumberFormat="1" applyFont="1" applyFill="1" applyBorder="1" applyAlignment="1">
      <alignment horizontal="center" vertical="center"/>
    </xf>
    <xf numFmtId="186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0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5" fontId="0" fillId="0" borderId="0" xfId="0" applyNumberFormat="1"/>
    <xf numFmtId="190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6" fontId="0" fillId="0" borderId="0" xfId="0" applyNumberFormat="1"/>
    <xf numFmtId="0" fontId="1" fillId="0" borderId="0" xfId="0" applyFont="1" applyAlignment="1">
      <alignment horizontal="center" vertical="center" wrapText="1"/>
    </xf>
    <xf numFmtId="0" fontId="28" fillId="0" borderId="0" xfId="490" applyFont="1" applyAlignment="1">
      <alignment horizontal="center" vertical="center"/>
    </xf>
    <xf numFmtId="57" fontId="9" fillId="0" borderId="11" xfId="490" applyNumberFormat="1" applyFont="1" applyBorder="1" applyAlignment="1">
      <alignment horizontal="center" vertical="center"/>
    </xf>
    <xf numFmtId="0" fontId="9" fillId="0" borderId="1" xfId="490" applyFont="1" applyBorder="1" applyAlignment="1">
      <alignment horizontal="center" vertical="center" wrapText="1"/>
    </xf>
    <xf numFmtId="0" fontId="9" fillId="0" borderId="1" xfId="490" applyFont="1" applyBorder="1" applyAlignment="1">
      <alignment horizontal="center" vertical="center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0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6" fontId="9" fillId="0" borderId="9" xfId="0" applyNumberFormat="1" applyFont="1" applyBorder="1" applyAlignment="1">
      <alignment horizontal="center" vertical="center" wrapText="1"/>
    </xf>
    <xf numFmtId="192" fontId="9" fillId="0" borderId="1" xfId="507" applyNumberFormat="1" applyFont="1" applyBorder="1" applyAlignment="1">
      <alignment horizontal="center" vertical="center" wrapText="1"/>
    </xf>
    <xf numFmtId="0" fontId="9" fillId="0" borderId="9" xfId="490" applyFont="1" applyBorder="1" applyAlignment="1">
      <alignment horizontal="center" vertical="center" wrapText="1"/>
    </xf>
    <xf numFmtId="180" fontId="9" fillId="0" borderId="1" xfId="490" applyNumberFormat="1" applyFont="1" applyBorder="1" applyAlignment="1">
      <alignment horizontal="center" vertical="center" wrapText="1"/>
    </xf>
    <xf numFmtId="189" fontId="9" fillId="0" borderId="1" xfId="490" applyNumberFormat="1" applyFont="1" applyBorder="1" applyAlignment="1">
      <alignment horizontal="center" vertical="center" wrapText="1"/>
    </xf>
    <xf numFmtId="0" fontId="9" fillId="0" borderId="1" xfId="490" applyFont="1" applyFill="1" applyBorder="1" applyAlignment="1">
      <alignment horizontal="center" vertical="center" wrapText="1"/>
    </xf>
    <xf numFmtId="186" fontId="9" fillId="0" borderId="1" xfId="490" applyNumberFormat="1" applyFont="1" applyBorder="1" applyAlignment="1">
      <alignment horizontal="center" vertical="center" wrapText="1"/>
    </xf>
    <xf numFmtId="0" fontId="9" fillId="0" borderId="2" xfId="49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0" applyFont="1" applyFill="1" applyBorder="1" applyAlignment="1">
      <alignment horizontal="center" vertical="center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84" fontId="9" fillId="0" borderId="1" xfId="490" applyNumberFormat="1" applyFont="1" applyBorder="1" applyAlignment="1">
      <alignment horizontal="center" vertical="center" wrapText="1"/>
    </xf>
    <xf numFmtId="189" fontId="9" fillId="0" borderId="2" xfId="49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9" xfId="49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/>
    </xf>
    <xf numFmtId="0" fontId="9" fillId="0" borderId="2" xfId="490" applyFont="1" applyFill="1" applyBorder="1" applyAlignment="1">
      <alignment horizontal="center" vertical="center" wrapText="1"/>
    </xf>
    <xf numFmtId="178" fontId="9" fillId="0" borderId="1" xfId="490" applyNumberFormat="1" applyFont="1" applyFill="1" applyBorder="1" applyAlignment="1">
      <alignment horizontal="center" vertical="center" wrapText="1"/>
    </xf>
    <xf numFmtId="193" fontId="9" fillId="0" borderId="0" xfId="0" applyNumberFormat="1" applyFont="1"/>
    <xf numFmtId="189" fontId="9" fillId="0" borderId="1" xfId="0" applyNumberFormat="1" applyFont="1" applyBorder="1" applyAlignment="1">
      <alignment horizontal="center" vertical="center"/>
    </xf>
    <xf numFmtId="180" fontId="29" fillId="0" borderId="0" xfId="0" applyNumberFormat="1" applyFont="1"/>
    <xf numFmtId="0" fontId="9" fillId="0" borderId="0" xfId="490" applyFont="1" applyFill="1" applyBorder="1" applyAlignment="1">
      <alignment horizontal="center" vertical="center"/>
    </xf>
    <xf numFmtId="0" fontId="9" fillId="0" borderId="13" xfId="49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1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2" fontId="1" fillId="0" borderId="1" xfId="340" applyNumberFormat="1" applyFont="1" applyFill="1" applyBorder="1" applyAlignment="1">
      <alignment horizontal="center" vertical="center" wrapText="1"/>
    </xf>
    <xf numFmtId="194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92" fontId="1" fillId="0" borderId="1" xfId="480" applyNumberFormat="1" applyFont="1" applyFill="1" applyBorder="1" applyAlignment="1">
      <alignment horizontal="center" vertical="center" wrapText="1"/>
    </xf>
    <xf numFmtId="194" fontId="1" fillId="0" borderId="1" xfId="480" applyNumberFormat="1" applyFont="1" applyFill="1" applyBorder="1" applyAlignment="1">
      <alignment horizontal="center" vertical="center" wrapText="1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80" fontId="12" fillId="0" borderId="1" xfId="340" applyNumberFormat="1" applyFont="1" applyFill="1" applyBorder="1" applyAlignment="1">
      <alignment horizontal="center" vertical="center" wrapText="1"/>
    </xf>
    <xf numFmtId="178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8" fontId="12" fillId="0" borderId="1" xfId="340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2" fontId="12" fillId="0" borderId="1" xfId="340" applyNumberFormat="1" applyFont="1" applyFill="1" applyBorder="1" applyAlignment="1">
      <alignment horizontal="center" vertical="center" wrapText="1"/>
    </xf>
    <xf numFmtId="192" fontId="12" fillId="0" borderId="1" xfId="507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78" fontId="2" fillId="0" borderId="0" xfId="484" applyNumberFormat="1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192" fontId="33" fillId="0" borderId="0" xfId="0" applyNumberFormat="1" applyFont="1" applyAlignment="1">
      <alignment horizontal="center" vertical="center"/>
    </xf>
    <xf numFmtId="0" fontId="33" fillId="0" borderId="0" xfId="484" applyFont="1" applyBorder="1" applyAlignment="1">
      <alignment horizontal="center" vertical="center"/>
    </xf>
    <xf numFmtId="196" fontId="2" fillId="0" borderId="0" xfId="484" applyNumberFormat="1" applyFont="1" applyBorder="1" applyAlignment="1">
      <alignment horizontal="center" vertical="center"/>
    </xf>
    <xf numFmtId="192" fontId="2" fillId="0" borderId="1" xfId="0" applyNumberFormat="1" applyFont="1" applyBorder="1" applyAlignment="1">
      <alignment horizontal="center" vertical="center"/>
    </xf>
    <xf numFmtId="189" fontId="34" fillId="0" borderId="1" xfId="484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9" fontId="2" fillId="0" borderId="1" xfId="0" applyNumberFormat="1" applyFont="1" applyFill="1" applyBorder="1" applyAlignment="1">
      <alignment horizontal="center" vertical="center"/>
    </xf>
    <xf numFmtId="0" fontId="34" fillId="4" borderId="1" xfId="484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86" fontId="2" fillId="4" borderId="1" xfId="0" applyNumberFormat="1" applyFont="1" applyFill="1" applyBorder="1" applyAlignment="1">
      <alignment horizontal="center" vertical="center"/>
    </xf>
    <xf numFmtId="189" fontId="2" fillId="4" borderId="1" xfId="0" applyNumberFormat="1" applyFont="1" applyFill="1" applyBorder="1" applyAlignment="1">
      <alignment horizontal="center" vertical="center"/>
    </xf>
    <xf numFmtId="0" fontId="34" fillId="0" borderId="0" xfId="484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0" fontId="35" fillId="0" borderId="0" xfId="484" applyFont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192" fontId="1" fillId="0" borderId="1" xfId="507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4" fontId="31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2" fontId="31" fillId="0" borderId="0" xfId="20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97" fontId="2" fillId="0" borderId="0" xfId="0" applyNumberFormat="1" applyFont="1" applyFill="1" applyAlignment="1">
      <alignment horizontal="center" vertical="center"/>
    </xf>
    <xf numFmtId="189" fontId="2" fillId="0" borderId="0" xfId="0" applyNumberFormat="1" applyFont="1"/>
    <xf numFmtId="0" fontId="33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适中 2 5" xfId="61"/>
    <cellStyle name="强调文字颜色 3 2 4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适中 2" xfId="96"/>
    <cellStyle name="计算 5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2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好_处理量" xfId="414"/>
    <cellStyle name="标题 2 4 2" xfId="415"/>
    <cellStyle name="好_处理量 2" xfId="416"/>
    <cellStyle name="标题 2 5" xfId="417"/>
    <cellStyle name="标题 2 5 2" xfId="418"/>
    <cellStyle name="标题 3 2" xfId="419"/>
    <cellStyle name="标题 3 2 2" xfId="420"/>
    <cellStyle name="好 5" xfId="421"/>
    <cellStyle name="标题 3 2 3" xfId="422"/>
    <cellStyle name="标题 3 2 4" xfId="423"/>
    <cellStyle name="标题 3 2 5" xfId="424"/>
    <cellStyle name="标题 3 3" xfId="425"/>
    <cellStyle name="标题 3 3 2" xfId="426"/>
    <cellStyle name="标题 3 4" xfId="427"/>
    <cellStyle name="标题 3 4 2" xfId="428"/>
    <cellStyle name="警告文本 2 3" xfId="429"/>
    <cellStyle name="标题 3 5" xfId="430"/>
    <cellStyle name="常规 9" xfId="431"/>
    <cellStyle name="标题 3 5 2" xfId="432"/>
    <cellStyle name="标题 4 2 2" xfId="433"/>
    <cellStyle name="标题 4 2 4" xfId="434"/>
    <cellStyle name="标题 4 2 5" xfId="435"/>
    <cellStyle name="标题 4 3 2" xfId="436"/>
    <cellStyle name="标题 4 4 2" xfId="437"/>
    <cellStyle name="检查单元格 2 2" xfId="438"/>
    <cellStyle name="解释性文本 2 3" xfId="439"/>
    <cellStyle name="标题 5" xfId="440"/>
    <cellStyle name="标题 5 2" xfId="441"/>
    <cellStyle name="强调文字颜色 1 4" xfId="442"/>
    <cellStyle name="标题 5 3" xfId="443"/>
    <cellStyle name="强调文字颜色 1 5" xfId="444"/>
    <cellStyle name="汇总 3 2" xfId="445"/>
    <cellStyle name="解释性文本 2 4" xfId="446"/>
    <cellStyle name="标题 6" xfId="447"/>
    <cellStyle name="标题 6 2" xfId="448"/>
    <cellStyle name="解释性文本 2 5" xfId="449"/>
    <cellStyle name="标题 7" xfId="450"/>
    <cellStyle name="输入 2 6" xfId="451"/>
    <cellStyle name="标题 7 2" xfId="452"/>
    <cellStyle name="强调文字颜色 3 4" xfId="453"/>
    <cellStyle name="常规 2 11" xfId="454"/>
    <cellStyle name="解释性文本 2 6" xfId="455"/>
    <cellStyle name="标题 8" xfId="456"/>
    <cellStyle name="标题 8 2" xfId="457"/>
    <cellStyle name="常规 2 7" xfId="458"/>
    <cellStyle name="差 2" xfId="459"/>
    <cellStyle name="解释性文本 5" xfId="460"/>
    <cellStyle name="差 2 2" xfId="461"/>
    <cellStyle name="解释性文本 5 2" xfId="462"/>
    <cellStyle name="差 2 4" xfId="463"/>
    <cellStyle name="差 2 5" xfId="464"/>
    <cellStyle name="差 2 6" xfId="465"/>
    <cellStyle name="差 3" xfId="466"/>
    <cellStyle name="差 3 2" xfId="467"/>
    <cellStyle name="差 4 2" xfId="468"/>
    <cellStyle name="差 5 2" xfId="469"/>
    <cellStyle name="差_汇总二 2" xfId="470"/>
    <cellStyle name="差_处理量" xfId="471"/>
    <cellStyle name="差_汇总二 3" xfId="472"/>
    <cellStyle name="常规 10" xfId="473"/>
    <cellStyle name="常规 12" xfId="474"/>
    <cellStyle name="好 4 2" xfId="475"/>
    <cellStyle name="常规 13" xfId="476"/>
    <cellStyle name="适中 3 2" xfId="477"/>
    <cellStyle name="计算 6 2" xfId="478"/>
    <cellStyle name="常规 14" xfId="479"/>
    <cellStyle name="常规 16" xfId="480"/>
    <cellStyle name="常规 21" xfId="481"/>
    <cellStyle name="注释 4 2" xfId="482"/>
    <cellStyle name="常规 17" xfId="483"/>
    <cellStyle name="常规 22" xfId="484"/>
    <cellStyle name="常规 18" xfId="485"/>
    <cellStyle name="常规 19" xfId="486"/>
    <cellStyle name="强调文字颜色 3 3" xfId="487"/>
    <cellStyle name="常规 2 10" xfId="488"/>
    <cellStyle name="汇总 5 2" xfId="489"/>
    <cellStyle name="常规_Sheet1" xfId="490"/>
    <cellStyle name="强调文字颜色 3 5" xfId="491"/>
    <cellStyle name="常规 2 12" xfId="492"/>
    <cellStyle name="常规 2 14" xfId="493"/>
    <cellStyle name="常规 2 15" xfId="494"/>
    <cellStyle name="常规 2 16" xfId="495"/>
    <cellStyle name="强调文字颜色 5 3 2" xfId="496"/>
    <cellStyle name="常规 2 19 3" xfId="497"/>
    <cellStyle name="常规 2 2" xfId="498"/>
    <cellStyle name="输入 3 2" xfId="499"/>
    <cellStyle name="常规 2 3" xfId="500"/>
    <cellStyle name="常规 2 4" xfId="501"/>
    <cellStyle name="常规 2 5" xfId="502"/>
    <cellStyle name="常规 2 6" xfId="503"/>
    <cellStyle name="输入 2" xfId="504"/>
    <cellStyle name="常规 2 8" xfId="505"/>
    <cellStyle name="输入 3" xfId="506"/>
    <cellStyle name="常规 2 9" xfId="507"/>
    <cellStyle name="常规 2_处理量" xfId="508"/>
    <cellStyle name="好 3" xfId="509"/>
    <cellStyle name="好 4" xfId="510"/>
    <cellStyle name="好 5 2" xfId="511"/>
    <cellStyle name="好_汇总二 2" xfId="512"/>
    <cellStyle name="汇总 4" xfId="513"/>
    <cellStyle name="强调文字颜色 2 5" xfId="514"/>
    <cellStyle name="汇总 4 2" xfId="515"/>
    <cellStyle name="汇总 5" xfId="516"/>
    <cellStyle name="计算 2 6" xfId="517"/>
    <cellStyle name="计算 2 7" xfId="518"/>
    <cellStyle name="计算 2_处理量" xfId="519"/>
    <cellStyle name="适中 3" xfId="520"/>
    <cellStyle name="计算 6" xfId="521"/>
    <cellStyle name="检查单元格 2 3" xfId="522"/>
    <cellStyle name="检查单元格 2 4" xfId="523"/>
    <cellStyle name="强调文字颜色 5 4 2" xfId="524"/>
    <cellStyle name="检查单元格 2 5" xfId="525"/>
    <cellStyle name="检查单元格 4 2" xfId="526"/>
    <cellStyle name="解释性文本 2" xfId="527"/>
    <cellStyle name="解释性文本 4" xfId="528"/>
    <cellStyle name="解释性文本 4 2" xfId="529"/>
    <cellStyle name="注释 5 2" xfId="530"/>
    <cellStyle name="警告文本 2" xfId="531"/>
    <cellStyle name="警告文本 2 4" xfId="532"/>
    <cellStyle name="警告文本 2 5" xfId="533"/>
    <cellStyle name="警告文本 3" xfId="534"/>
    <cellStyle name="警告文本 4" xfId="535"/>
    <cellStyle name="链接单元格 2" xfId="536"/>
    <cellStyle name="链接单元格 2 2" xfId="537"/>
    <cellStyle name="链接单元格 2 3" xfId="538"/>
    <cellStyle name="链接单元格 2 6" xfId="539"/>
    <cellStyle name="强调文字颜色 1 2" xfId="540"/>
    <cellStyle name="强调文字颜色 1 2 2" xfId="541"/>
    <cellStyle name="强调文字颜色 1 3" xfId="542"/>
    <cellStyle name="强调文字颜色 1 3 2" xfId="543"/>
    <cellStyle name="强调文字颜色 1 4 2" xfId="544"/>
    <cellStyle name="强调文字颜色 2 2" xfId="545"/>
    <cellStyle name="强调文字颜色 2 3" xfId="546"/>
    <cellStyle name="强调文字颜色 2 4" xfId="547"/>
    <cellStyle name="强调文字颜色 2 4 2" xfId="548"/>
    <cellStyle name="强调文字颜色 2 5 2" xfId="549"/>
    <cellStyle name="强调文字颜色 3 2" xfId="550"/>
    <cellStyle name="适中 2 3" xfId="551"/>
    <cellStyle name="强调文字颜色 3 2 2" xfId="552"/>
    <cellStyle name="适中 2 6" xfId="553"/>
    <cellStyle name="强调文字颜色 3 2 5" xfId="554"/>
    <cellStyle name="强调文字颜色 3 2 6" xfId="555"/>
    <cellStyle name="强调文字颜色 3 3 2" xfId="556"/>
    <cellStyle name="强调文字颜色 3 4 2" xfId="557"/>
    <cellStyle name="强调文字颜色 3 5 2" xfId="558"/>
    <cellStyle name="强调文字颜色 4 2" xfId="559"/>
    <cellStyle name="强调文字颜色 4 2 2" xfId="560"/>
    <cellStyle name="强调文字颜色 4 2 3" xfId="561"/>
    <cellStyle name="强调文字颜色 4 2 4" xfId="562"/>
    <cellStyle name="强调文字颜色 4 2 6" xfId="563"/>
    <cellStyle name="强调文字颜色 4 3" xfId="564"/>
    <cellStyle name="强调文字颜色 4 3 2" xfId="565"/>
    <cellStyle name="强调文字颜色 4 4" xfId="566"/>
    <cellStyle name="强调文字颜色 4 5" xfId="567"/>
    <cellStyle name="强调文字颜色 4 5 2" xfId="568"/>
    <cellStyle name="强调文字颜色 5 2 2" xfId="569"/>
    <cellStyle name="强调文字颜色 5 2 3" xfId="570"/>
    <cellStyle name="强调文字颜色 5 2 4" xfId="571"/>
    <cellStyle name="强调文字颜色 5 2 5" xfId="572"/>
    <cellStyle name="强调文字颜色 5 2 6" xfId="573"/>
    <cellStyle name="强调文字颜色 5 4" xfId="574"/>
    <cellStyle name="强调文字颜色 5 5" xfId="575"/>
    <cellStyle name="强调文字颜色 5 5 2" xfId="576"/>
    <cellStyle name="强调文字颜色 6 2" xfId="577"/>
    <cellStyle name="强调文字颜色 6 2 2" xfId="578"/>
    <cellStyle name="强调文字颜色 6 2 3" xfId="579"/>
    <cellStyle name="强调文字颜色 6 2 4" xfId="580"/>
    <cellStyle name="强调文字颜色 6 2 5" xfId="581"/>
    <cellStyle name="强调文字颜色 6 2 6" xfId="582"/>
    <cellStyle name="强调文字颜色 6 3" xfId="583"/>
    <cellStyle name="强调文字颜色 6 3 2" xfId="584"/>
    <cellStyle name="强调文字颜色 6 4" xfId="585"/>
    <cellStyle name="强调文字颜色 6 4 2" xfId="586"/>
    <cellStyle name="强调文字颜色 6 5" xfId="587"/>
    <cellStyle name="适中 4" xfId="588"/>
    <cellStyle name="适中 4 2" xfId="589"/>
    <cellStyle name="适中 5" xfId="590"/>
    <cellStyle name="适中 5 2" xfId="591"/>
    <cellStyle name="输出 2" xfId="592"/>
    <cellStyle name="输出 2 2" xfId="593"/>
    <cellStyle name="输出 2 3" xfId="594"/>
    <cellStyle name="输出 2 4" xfId="595"/>
    <cellStyle name="输出 2 5" xfId="596"/>
    <cellStyle name="输出 2 6" xfId="597"/>
    <cellStyle name="输出 3" xfId="598"/>
    <cellStyle name="输出 3 2" xfId="599"/>
    <cellStyle name="输出 5" xfId="600"/>
    <cellStyle name="输出 5 2" xfId="601"/>
    <cellStyle name="输入 2 2" xfId="602"/>
    <cellStyle name="输入 2 4" xfId="603"/>
    <cellStyle name="输入 2 5" xfId="604"/>
    <cellStyle name="输入 4" xfId="605"/>
    <cellStyle name="输入 4 2" xfId="606"/>
    <cellStyle name="输入 5" xfId="607"/>
    <cellStyle name="输入 5 2" xfId="608"/>
    <cellStyle name="注释 2 2" xfId="609"/>
    <cellStyle name="注释 2 3" xfId="610"/>
    <cellStyle name="注释 2 4" xfId="611"/>
    <cellStyle name="注释 2 5" xfId="612"/>
    <cellStyle name="注释 2 6" xfId="613"/>
    <cellStyle name="注释 3" xfId="614"/>
    <cellStyle name="注释 4" xfId="615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0"/>
  <sheetViews>
    <sheetView zoomScale="85" zoomScaleNormal="85" topLeftCell="E1" workbookViewId="0">
      <selection activeCell="A1" sqref="A1:R1"/>
    </sheetView>
  </sheetViews>
  <sheetFormatPr defaultColWidth="8.75" defaultRowHeight="15.6"/>
  <cols>
    <col min="1" max="1" width="3.75" style="3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5" width="6.125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26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</row>
    <row r="4" ht="21" customHeight="1" spans="1:28">
      <c r="A4" s="261"/>
      <c r="B4" s="262" t="s">
        <v>23</v>
      </c>
      <c r="C4" s="262" t="s">
        <v>24</v>
      </c>
      <c r="D4" s="262"/>
      <c r="E4" s="262" t="s">
        <v>25</v>
      </c>
      <c r="F4" s="262" t="s">
        <v>26</v>
      </c>
      <c r="G4" s="262" t="s">
        <v>27</v>
      </c>
      <c r="H4" s="262" t="s">
        <v>28</v>
      </c>
      <c r="I4" s="262" t="s">
        <v>29</v>
      </c>
      <c r="J4" s="262" t="s">
        <v>30</v>
      </c>
      <c r="K4" s="262" t="s">
        <v>28</v>
      </c>
      <c r="L4" s="262"/>
      <c r="M4" s="262" t="s">
        <v>28</v>
      </c>
      <c r="N4" s="262" t="s">
        <v>28</v>
      </c>
      <c r="O4" s="262" t="s">
        <v>31</v>
      </c>
      <c r="P4" s="262" t="s">
        <v>32</v>
      </c>
      <c r="Q4" s="262"/>
      <c r="R4" s="262"/>
      <c r="T4" s="56" t="s">
        <v>33</v>
      </c>
      <c r="U4" s="281">
        <f>ROUND(J36*W4,2)</f>
        <v>916091</v>
      </c>
      <c r="V4" s="281"/>
      <c r="W4" s="282">
        <v>0.565</v>
      </c>
      <c r="X4" s="283">
        <f>J35/R35</f>
        <v>0.263273650503338</v>
      </c>
      <c r="Y4" s="280">
        <v>0.608</v>
      </c>
      <c r="Z4" s="315">
        <v>44197</v>
      </c>
      <c r="AA4" s="316"/>
      <c r="AB4" s="3" t="s">
        <v>34</v>
      </c>
    </row>
    <row r="5" ht="18.6" customHeight="1" spans="1:28">
      <c r="A5" s="6">
        <v>1</v>
      </c>
      <c r="B5" s="263">
        <v>26</v>
      </c>
      <c r="C5" s="264" t="s">
        <v>35</v>
      </c>
      <c r="D5" s="265">
        <v>212239</v>
      </c>
      <c r="E5" s="266">
        <v>0</v>
      </c>
      <c r="F5" s="266">
        <v>123.04</v>
      </c>
      <c r="G5" s="266">
        <v>0</v>
      </c>
      <c r="H5" s="267">
        <v>100</v>
      </c>
      <c r="I5" s="6">
        <v>4560</v>
      </c>
      <c r="J5" s="273">
        <v>53299.9999999993</v>
      </c>
      <c r="K5" s="274">
        <v>2520</v>
      </c>
      <c r="L5" s="274">
        <v>10</v>
      </c>
      <c r="M5" s="274">
        <v>4118</v>
      </c>
      <c r="N5" s="274">
        <v>1440</v>
      </c>
      <c r="O5" s="275">
        <v>2.04</v>
      </c>
      <c r="P5" s="275">
        <v>0</v>
      </c>
      <c r="Q5" s="284">
        <v>5528</v>
      </c>
      <c r="R5" s="285">
        <f>D5-Q5</f>
        <v>206711</v>
      </c>
      <c r="S5" s="286"/>
      <c r="T5" s="287" t="s">
        <v>36</v>
      </c>
      <c r="U5" s="288">
        <f>H36*W5/1000</f>
        <v>147210</v>
      </c>
      <c r="V5" s="281"/>
      <c r="W5" s="289">
        <v>28040</v>
      </c>
      <c r="X5" s="281">
        <f>H35/R35*1000</f>
        <v>0.852464947047315</v>
      </c>
      <c r="Y5" s="280">
        <v>28150</v>
      </c>
      <c r="Z5" s="317">
        <v>44287</v>
      </c>
      <c r="AB5" s="318">
        <f>E5+F5+G5</f>
        <v>123.04</v>
      </c>
    </row>
    <row r="6" ht="18.6" customHeight="1" spans="1:28">
      <c r="A6" s="6">
        <v>2</v>
      </c>
      <c r="B6" s="263">
        <v>25</v>
      </c>
      <c r="C6" s="264" t="s">
        <v>37</v>
      </c>
      <c r="D6" s="265">
        <v>213048</v>
      </c>
      <c r="E6" s="266">
        <v>0</v>
      </c>
      <c r="F6" s="266">
        <v>90.7</v>
      </c>
      <c r="G6" s="266">
        <v>0</v>
      </c>
      <c r="H6" s="267">
        <v>175</v>
      </c>
      <c r="I6" s="6">
        <v>4840</v>
      </c>
      <c r="J6" s="273">
        <v>52600.0000000022</v>
      </c>
      <c r="K6" s="274">
        <v>1560</v>
      </c>
      <c r="L6" s="274">
        <v>3</v>
      </c>
      <c r="M6" s="274">
        <v>3337</v>
      </c>
      <c r="N6" s="274">
        <v>1200</v>
      </c>
      <c r="O6" s="275">
        <v>2.18</v>
      </c>
      <c r="P6" s="275">
        <v>0</v>
      </c>
      <c r="Q6" s="284">
        <v>5544</v>
      </c>
      <c r="R6" s="285">
        <f t="shared" ref="R6:R36" si="0">D6-Q6</f>
        <v>207504</v>
      </c>
      <c r="S6" s="286"/>
      <c r="T6" s="287" t="s">
        <v>38</v>
      </c>
      <c r="U6" s="288">
        <f>L36*W6/1000</f>
        <v>644.8</v>
      </c>
      <c r="V6" s="281">
        <f>U5+U6</f>
        <v>147854.8</v>
      </c>
      <c r="W6" s="56">
        <v>10400</v>
      </c>
      <c r="X6" s="281">
        <f>L35/R35*1000</f>
        <v>0.0100672050889397</v>
      </c>
      <c r="Y6" s="280">
        <v>5784.76</v>
      </c>
      <c r="Z6" s="317">
        <v>44256</v>
      </c>
      <c r="AB6" s="318">
        <f t="shared" ref="AB6:AB34" si="1">E6+F6+G6</f>
        <v>90.7</v>
      </c>
    </row>
    <row r="7" ht="18.6" customHeight="1" spans="1:28">
      <c r="A7" s="6">
        <v>3</v>
      </c>
      <c r="B7" s="263">
        <v>26</v>
      </c>
      <c r="C7" s="264" t="s">
        <v>37</v>
      </c>
      <c r="D7" s="265">
        <v>215201</v>
      </c>
      <c r="E7" s="266">
        <v>0</v>
      </c>
      <c r="F7" s="266">
        <v>128.18</v>
      </c>
      <c r="G7" s="266">
        <v>0</v>
      </c>
      <c r="H7" s="267">
        <v>200</v>
      </c>
      <c r="I7" s="6">
        <v>4728</v>
      </c>
      <c r="J7" s="273">
        <v>52099.9999999913</v>
      </c>
      <c r="K7" s="274">
        <v>0</v>
      </c>
      <c r="L7" s="274">
        <v>0</v>
      </c>
      <c r="M7" s="274">
        <v>2485</v>
      </c>
      <c r="N7" s="274">
        <v>960</v>
      </c>
      <c r="O7" s="275">
        <v>1.97</v>
      </c>
      <c r="P7" s="275">
        <v>0</v>
      </c>
      <c r="Q7" s="284">
        <v>5536</v>
      </c>
      <c r="R7" s="285">
        <f t="shared" si="0"/>
        <v>209665</v>
      </c>
      <c r="S7" s="286"/>
      <c r="T7" s="287" t="s">
        <v>39</v>
      </c>
      <c r="U7" s="288">
        <f>M36*W7/1000</f>
        <v>43230.48</v>
      </c>
      <c r="V7" s="281"/>
      <c r="W7" s="56">
        <v>430</v>
      </c>
      <c r="X7" s="281">
        <f>M35/R35*1000</f>
        <v>16.3244601745426</v>
      </c>
      <c r="Y7" s="280">
        <v>182</v>
      </c>
      <c r="Z7" s="317">
        <v>44228</v>
      </c>
      <c r="AB7" s="318">
        <f t="shared" si="1"/>
        <v>128.18</v>
      </c>
    </row>
    <row r="8" ht="18.6" customHeight="1" spans="1:28">
      <c r="A8" s="6">
        <v>4</v>
      </c>
      <c r="B8" s="263">
        <v>24.7</v>
      </c>
      <c r="C8" s="264" t="s">
        <v>37</v>
      </c>
      <c r="D8" s="265">
        <v>214316</v>
      </c>
      <c r="E8" s="266">
        <v>124.22</v>
      </c>
      <c r="F8" s="266">
        <v>108.3</v>
      </c>
      <c r="G8" s="266">
        <v>0</v>
      </c>
      <c r="H8" s="267">
        <v>225</v>
      </c>
      <c r="I8" s="6">
        <v>4704</v>
      </c>
      <c r="J8" s="273">
        <v>52700.0000000044</v>
      </c>
      <c r="K8" s="274">
        <v>0</v>
      </c>
      <c r="L8" s="274">
        <v>0</v>
      </c>
      <c r="M8" s="274">
        <v>1917</v>
      </c>
      <c r="N8" s="274">
        <v>720</v>
      </c>
      <c r="O8" s="275">
        <v>1.91</v>
      </c>
      <c r="P8" s="275">
        <v>0</v>
      </c>
      <c r="Q8" s="284">
        <v>5536</v>
      </c>
      <c r="R8" s="285">
        <f t="shared" si="0"/>
        <v>208780</v>
      </c>
      <c r="S8" s="286"/>
      <c r="T8" s="287" t="s">
        <v>40</v>
      </c>
      <c r="U8" s="288">
        <f>N36*W8/1000</f>
        <v>223277.2032</v>
      </c>
      <c r="V8" s="281">
        <f>U7+U8</f>
        <v>266507.6832</v>
      </c>
      <c r="W8" s="56">
        <v>6235.4</v>
      </c>
      <c r="X8" s="281">
        <f>N35/R35*1000</f>
        <v>5.81429806168957</v>
      </c>
      <c r="Y8" s="56">
        <v>5826</v>
      </c>
      <c r="Z8" s="317">
        <v>44348</v>
      </c>
      <c r="AB8" s="318">
        <f t="shared" si="1"/>
        <v>232.52</v>
      </c>
    </row>
    <row r="9" ht="18.6" customHeight="1" spans="1:28">
      <c r="A9" s="6">
        <v>5</v>
      </c>
      <c r="B9" s="263">
        <v>24.9</v>
      </c>
      <c r="C9" s="264" t="s">
        <v>35</v>
      </c>
      <c r="D9" s="265">
        <v>214651</v>
      </c>
      <c r="E9" s="266">
        <v>71.32</v>
      </c>
      <c r="F9" s="266">
        <v>68.62</v>
      </c>
      <c r="G9" s="266">
        <v>0</v>
      </c>
      <c r="H9" s="267">
        <v>175</v>
      </c>
      <c r="I9" s="6">
        <v>4722</v>
      </c>
      <c r="J9" s="276">
        <v>51799.9999999847</v>
      </c>
      <c r="K9" s="274">
        <v>0</v>
      </c>
      <c r="L9" s="274">
        <v>0</v>
      </c>
      <c r="M9" s="274">
        <v>1988</v>
      </c>
      <c r="N9" s="274">
        <v>720</v>
      </c>
      <c r="O9" s="275">
        <v>1.9</v>
      </c>
      <c r="P9" s="275">
        <v>0</v>
      </c>
      <c r="Q9" s="284">
        <v>5536</v>
      </c>
      <c r="R9" s="285">
        <f t="shared" si="0"/>
        <v>209115</v>
      </c>
      <c r="S9" s="286"/>
      <c r="T9" s="287" t="s">
        <v>41</v>
      </c>
      <c r="U9" s="288">
        <f>K36*W9/1000</f>
        <v>12068.64</v>
      </c>
      <c r="V9" s="281"/>
      <c r="W9" s="56">
        <v>348</v>
      </c>
      <c r="X9" s="281">
        <f>K35/R35*1000</f>
        <v>5.63113987878112</v>
      </c>
      <c r="Y9" s="280">
        <v>370</v>
      </c>
      <c r="Z9" s="317">
        <v>44228</v>
      </c>
      <c r="AB9" s="318">
        <f t="shared" si="1"/>
        <v>139.94</v>
      </c>
    </row>
    <row r="10" ht="18.6" customHeight="1" spans="1:28">
      <c r="A10" s="6">
        <v>6</v>
      </c>
      <c r="B10" s="263">
        <v>26.2</v>
      </c>
      <c r="C10" s="264" t="s">
        <v>35</v>
      </c>
      <c r="D10" s="265">
        <v>213400</v>
      </c>
      <c r="E10" s="266">
        <v>0</v>
      </c>
      <c r="F10" s="266">
        <v>197.84</v>
      </c>
      <c r="G10" s="266">
        <v>0</v>
      </c>
      <c r="H10" s="267">
        <v>225</v>
      </c>
      <c r="I10" s="6">
        <v>4604</v>
      </c>
      <c r="J10" s="273">
        <v>55000</v>
      </c>
      <c r="K10" s="274">
        <v>240</v>
      </c>
      <c r="L10" s="274">
        <v>2</v>
      </c>
      <c r="M10" s="274">
        <v>2840</v>
      </c>
      <c r="N10" s="274">
        <v>1032</v>
      </c>
      <c r="O10" s="275">
        <v>1.85</v>
      </c>
      <c r="P10" s="275">
        <v>0</v>
      </c>
      <c r="Q10" s="284">
        <v>5568</v>
      </c>
      <c r="R10" s="285">
        <f t="shared" si="0"/>
        <v>207832</v>
      </c>
      <c r="S10" s="286"/>
      <c r="T10" s="287" t="s">
        <v>42</v>
      </c>
      <c r="U10" s="288">
        <f>T18</f>
        <v>108199.91</v>
      </c>
      <c r="V10" s="281" t="s">
        <v>43</v>
      </c>
      <c r="W10" s="290"/>
      <c r="X10" s="290"/>
      <c r="Y10" s="319"/>
      <c r="Z10" s="319"/>
      <c r="AB10" s="318">
        <f t="shared" si="1"/>
        <v>197.84</v>
      </c>
    </row>
    <row r="11" ht="18.6" customHeight="1" spans="1:28">
      <c r="A11" s="6">
        <v>7</v>
      </c>
      <c r="B11" s="263">
        <v>26</v>
      </c>
      <c r="C11" s="264" t="s">
        <v>35</v>
      </c>
      <c r="D11" s="265">
        <v>211667</v>
      </c>
      <c r="E11" s="266">
        <v>73.92</v>
      </c>
      <c r="F11" s="266">
        <v>110.02</v>
      </c>
      <c r="G11" s="266">
        <v>0</v>
      </c>
      <c r="H11" s="267">
        <v>200</v>
      </c>
      <c r="I11" s="13">
        <v>4782</v>
      </c>
      <c r="J11" s="276">
        <v>54099.9999999985</v>
      </c>
      <c r="K11" s="274">
        <v>480</v>
      </c>
      <c r="L11" s="274">
        <v>4</v>
      </c>
      <c r="M11" s="274">
        <v>4189</v>
      </c>
      <c r="N11" s="274">
        <v>1440</v>
      </c>
      <c r="O11" s="275">
        <v>1.88</v>
      </c>
      <c r="P11" s="275">
        <v>0</v>
      </c>
      <c r="Q11" s="284">
        <v>5568</v>
      </c>
      <c r="R11" s="285">
        <f t="shared" si="0"/>
        <v>206099</v>
      </c>
      <c r="S11" s="286"/>
      <c r="T11" s="287" t="s">
        <v>44</v>
      </c>
      <c r="U11" s="288">
        <f>汇总!J5*4.21</f>
        <v>21702.55</v>
      </c>
      <c r="V11" s="281"/>
      <c r="W11" s="56">
        <v>4.21</v>
      </c>
      <c r="X11" s="56"/>
      <c r="Y11" s="56"/>
      <c r="Z11" s="280"/>
      <c r="AB11" s="318">
        <f t="shared" si="1"/>
        <v>183.94</v>
      </c>
    </row>
    <row r="12" ht="18.6" customHeight="1" spans="1:28">
      <c r="A12" s="6">
        <v>8</v>
      </c>
      <c r="B12" s="263">
        <v>25.2</v>
      </c>
      <c r="C12" s="264" t="s">
        <v>37</v>
      </c>
      <c r="D12" s="267">
        <v>210130</v>
      </c>
      <c r="E12" s="266">
        <v>73.34</v>
      </c>
      <c r="F12" s="266">
        <v>71.56</v>
      </c>
      <c r="G12" s="266">
        <v>0</v>
      </c>
      <c r="H12" s="267">
        <v>225</v>
      </c>
      <c r="I12" s="6">
        <v>4758</v>
      </c>
      <c r="J12" s="273">
        <v>56900.0000000233</v>
      </c>
      <c r="K12" s="274">
        <v>840</v>
      </c>
      <c r="L12" s="274">
        <v>9</v>
      </c>
      <c r="M12" s="274">
        <v>4331</v>
      </c>
      <c r="N12" s="274">
        <v>1512</v>
      </c>
      <c r="O12" s="275">
        <v>2.58</v>
      </c>
      <c r="P12" s="275">
        <v>0</v>
      </c>
      <c r="Q12" s="284">
        <v>5560</v>
      </c>
      <c r="R12" s="285">
        <f t="shared" si="0"/>
        <v>204570</v>
      </c>
      <c r="S12" s="286"/>
      <c r="T12" s="291"/>
      <c r="U12" s="292"/>
      <c r="V12" s="290"/>
      <c r="W12" s="290"/>
      <c r="X12" s="290"/>
      <c r="AB12" s="318">
        <f t="shared" si="1"/>
        <v>144.9</v>
      </c>
    </row>
    <row r="13" ht="18.6" customHeight="1" spans="1:28">
      <c r="A13" s="6">
        <v>9</v>
      </c>
      <c r="B13" s="263">
        <v>25.6</v>
      </c>
      <c r="C13" s="264" t="s">
        <v>35</v>
      </c>
      <c r="D13" s="265">
        <v>212970</v>
      </c>
      <c r="E13" s="266">
        <v>73.16</v>
      </c>
      <c r="F13" s="266">
        <v>103.52</v>
      </c>
      <c r="G13" s="266">
        <v>0</v>
      </c>
      <c r="H13" s="267">
        <v>175</v>
      </c>
      <c r="I13" s="6">
        <v>4998</v>
      </c>
      <c r="J13" s="273">
        <v>54199.9999999825</v>
      </c>
      <c r="K13" s="274">
        <v>480</v>
      </c>
      <c r="L13" s="274">
        <v>1</v>
      </c>
      <c r="M13" s="274">
        <v>2485</v>
      </c>
      <c r="N13" s="274">
        <v>960</v>
      </c>
      <c r="O13" s="275">
        <v>2.99</v>
      </c>
      <c r="P13" s="275">
        <v>0</v>
      </c>
      <c r="Q13" s="284">
        <v>5568</v>
      </c>
      <c r="R13" s="285">
        <f t="shared" si="0"/>
        <v>207402</v>
      </c>
      <c r="S13" s="286"/>
      <c r="T13" s="287"/>
      <c r="U13" s="293">
        <f>U14/R36</f>
        <v>0.0692414447348599</v>
      </c>
      <c r="V13" s="56"/>
      <c r="W13" s="56"/>
      <c r="X13" s="290"/>
      <c r="AB13" s="318">
        <f t="shared" si="1"/>
        <v>176.68</v>
      </c>
    </row>
    <row r="14" ht="18.6" customHeight="1" spans="1:28">
      <c r="A14" s="6">
        <v>10</v>
      </c>
      <c r="B14" s="263">
        <v>25.4</v>
      </c>
      <c r="C14" s="264" t="s">
        <v>37</v>
      </c>
      <c r="D14" s="265">
        <v>209584</v>
      </c>
      <c r="E14" s="266">
        <v>145.58</v>
      </c>
      <c r="F14" s="266">
        <v>35.86</v>
      </c>
      <c r="G14" s="266">
        <v>0</v>
      </c>
      <c r="H14" s="267">
        <v>225</v>
      </c>
      <c r="I14" s="6">
        <v>4856</v>
      </c>
      <c r="J14" s="273">
        <v>55000</v>
      </c>
      <c r="K14" s="274">
        <v>0</v>
      </c>
      <c r="L14" s="274">
        <v>0</v>
      </c>
      <c r="M14" s="274">
        <v>2130</v>
      </c>
      <c r="N14" s="274">
        <v>792</v>
      </c>
      <c r="O14" s="275">
        <v>2.09</v>
      </c>
      <c r="P14" s="275">
        <v>0</v>
      </c>
      <c r="Q14" s="284">
        <v>5568</v>
      </c>
      <c r="R14" s="285">
        <f t="shared" si="0"/>
        <v>204016</v>
      </c>
      <c r="S14" s="286"/>
      <c r="T14" s="294" t="s">
        <v>45</v>
      </c>
      <c r="U14" s="295">
        <f>U5+U6+U7+U8+U9</f>
        <v>426431.1232</v>
      </c>
      <c r="V14" s="296" t="s">
        <v>46</v>
      </c>
      <c r="W14" s="297">
        <f>U6+U9</f>
        <v>12713.44</v>
      </c>
      <c r="X14" s="290"/>
      <c r="AB14" s="318">
        <f t="shared" si="1"/>
        <v>181.44</v>
      </c>
    </row>
    <row r="15" ht="18.6" customHeight="1" spans="1:28">
      <c r="A15" s="6">
        <v>11</v>
      </c>
      <c r="B15" s="263">
        <v>26.5</v>
      </c>
      <c r="C15" s="264" t="s">
        <v>35</v>
      </c>
      <c r="D15" s="265">
        <v>206999</v>
      </c>
      <c r="E15" s="266">
        <v>54.3</v>
      </c>
      <c r="F15" s="266">
        <v>125</v>
      </c>
      <c r="G15" s="266">
        <v>0</v>
      </c>
      <c r="H15" s="267">
        <v>150</v>
      </c>
      <c r="I15" s="6">
        <v>4288</v>
      </c>
      <c r="J15" s="276">
        <v>51700.0000000189</v>
      </c>
      <c r="K15" s="274">
        <v>0</v>
      </c>
      <c r="L15" s="274">
        <v>0</v>
      </c>
      <c r="M15" s="274">
        <v>1562</v>
      </c>
      <c r="N15" s="274">
        <v>600</v>
      </c>
      <c r="O15" s="275">
        <v>2.15</v>
      </c>
      <c r="P15" s="275">
        <v>0</v>
      </c>
      <c r="Q15" s="284">
        <v>5560</v>
      </c>
      <c r="R15" s="285">
        <f t="shared" si="0"/>
        <v>201439</v>
      </c>
      <c r="S15" s="286"/>
      <c r="T15" s="294" t="s">
        <v>47</v>
      </c>
      <c r="U15" s="298" t="s">
        <v>48</v>
      </c>
      <c r="V15" s="298" t="s">
        <v>49</v>
      </c>
      <c r="W15" s="299" t="s">
        <v>50</v>
      </c>
      <c r="X15" s="290"/>
      <c r="AB15" s="318">
        <f t="shared" si="1"/>
        <v>179.3</v>
      </c>
    </row>
    <row r="16" ht="18.6" customHeight="1" spans="1:28">
      <c r="A16" s="6">
        <v>12</v>
      </c>
      <c r="B16" s="263">
        <v>26.2</v>
      </c>
      <c r="C16" s="264" t="s">
        <v>35</v>
      </c>
      <c r="D16" s="265">
        <v>216695</v>
      </c>
      <c r="E16" s="266">
        <v>0</v>
      </c>
      <c r="F16" s="266">
        <v>253.08</v>
      </c>
      <c r="G16" s="266">
        <v>0</v>
      </c>
      <c r="H16" s="267">
        <v>175</v>
      </c>
      <c r="I16" s="6">
        <v>3864</v>
      </c>
      <c r="J16" s="277">
        <v>54300.0000000029</v>
      </c>
      <c r="K16" s="274">
        <v>0</v>
      </c>
      <c r="L16" s="274">
        <v>0</v>
      </c>
      <c r="M16" s="274">
        <v>1846</v>
      </c>
      <c r="N16" s="274">
        <v>696</v>
      </c>
      <c r="O16" s="275">
        <v>2.14</v>
      </c>
      <c r="P16" s="275">
        <v>0</v>
      </c>
      <c r="Q16" s="284">
        <v>5568</v>
      </c>
      <c r="R16" s="285">
        <f t="shared" si="0"/>
        <v>211127</v>
      </c>
      <c r="S16" s="286"/>
      <c r="T16" s="300">
        <f>U16+V16+W16</f>
        <v>4790.61</v>
      </c>
      <c r="U16" s="297">
        <f>F36</f>
        <v>3132.7</v>
      </c>
      <c r="V16" s="297">
        <f>E36</f>
        <v>1612.91</v>
      </c>
      <c r="W16" s="297">
        <f>G36</f>
        <v>45</v>
      </c>
      <c r="X16" s="290"/>
      <c r="AB16" s="318">
        <f t="shared" si="1"/>
        <v>253.08</v>
      </c>
    </row>
    <row r="17" ht="18.6" customHeight="1" spans="1:28">
      <c r="A17" s="6">
        <v>13</v>
      </c>
      <c r="B17" s="263">
        <v>25.9</v>
      </c>
      <c r="C17" s="264" t="s">
        <v>37</v>
      </c>
      <c r="D17" s="265">
        <v>216568</v>
      </c>
      <c r="E17" s="266">
        <v>0</v>
      </c>
      <c r="F17" s="266">
        <v>184.48</v>
      </c>
      <c r="G17" s="266">
        <v>0</v>
      </c>
      <c r="H17" s="267">
        <v>175</v>
      </c>
      <c r="I17" s="6">
        <v>4398</v>
      </c>
      <c r="J17" s="277">
        <v>56399.9999999942</v>
      </c>
      <c r="K17" s="274">
        <v>0</v>
      </c>
      <c r="L17" s="274">
        <v>0</v>
      </c>
      <c r="M17" s="274">
        <v>1704</v>
      </c>
      <c r="N17" s="274">
        <v>648</v>
      </c>
      <c r="O17" s="275">
        <v>2.06</v>
      </c>
      <c r="P17" s="275">
        <v>0</v>
      </c>
      <c r="Q17" s="284">
        <v>5568</v>
      </c>
      <c r="R17" s="285">
        <f t="shared" si="0"/>
        <v>211000</v>
      </c>
      <c r="S17" s="286"/>
      <c r="T17" s="294" t="s">
        <v>51</v>
      </c>
      <c r="U17" s="301">
        <v>22.8</v>
      </c>
      <c r="V17" s="301">
        <v>22.8</v>
      </c>
      <c r="W17" s="296"/>
      <c r="X17" s="290"/>
      <c r="AB17" s="318">
        <f t="shared" si="1"/>
        <v>184.48</v>
      </c>
    </row>
    <row r="18" ht="18.6" customHeight="1" spans="1:28">
      <c r="A18" s="6">
        <v>14</v>
      </c>
      <c r="B18" s="263">
        <v>25.3</v>
      </c>
      <c r="C18" s="264" t="s">
        <v>52</v>
      </c>
      <c r="D18" s="265">
        <v>186639</v>
      </c>
      <c r="E18" s="266">
        <v>0</v>
      </c>
      <c r="F18" s="266">
        <v>180.06</v>
      </c>
      <c r="G18" s="266">
        <v>0</v>
      </c>
      <c r="H18" s="267">
        <v>250</v>
      </c>
      <c r="I18" s="6">
        <v>4636</v>
      </c>
      <c r="J18" s="277">
        <v>54199.9999999825</v>
      </c>
      <c r="K18" s="274">
        <v>960</v>
      </c>
      <c r="L18" s="274">
        <v>2</v>
      </c>
      <c r="M18" s="274">
        <v>2627</v>
      </c>
      <c r="N18" s="274">
        <v>960</v>
      </c>
      <c r="O18" s="275">
        <v>2.03</v>
      </c>
      <c r="P18" s="275">
        <v>0</v>
      </c>
      <c r="Q18" s="284">
        <v>5560</v>
      </c>
      <c r="R18" s="285">
        <f t="shared" si="0"/>
        <v>181079</v>
      </c>
      <c r="S18" s="286"/>
      <c r="T18" s="300">
        <f>U18+V18</f>
        <v>108199.91</v>
      </c>
      <c r="U18" s="302">
        <f>ROUND(U16*U17,2)</f>
        <v>71425.56</v>
      </c>
      <c r="V18" s="299">
        <f>ROUND(V16*V17,2)</f>
        <v>36774.35</v>
      </c>
      <c r="W18" s="296"/>
      <c r="X18" s="290"/>
      <c r="AB18" s="318">
        <f t="shared" si="1"/>
        <v>180.06</v>
      </c>
    </row>
    <row r="19" ht="18.6" customHeight="1" spans="1:28">
      <c r="A19" s="6">
        <v>15</v>
      </c>
      <c r="B19" s="263">
        <v>25.5</v>
      </c>
      <c r="C19" s="264" t="s">
        <v>52</v>
      </c>
      <c r="D19" s="265">
        <v>205631</v>
      </c>
      <c r="E19" s="266">
        <v>101.78</v>
      </c>
      <c r="F19" s="266">
        <v>0</v>
      </c>
      <c r="G19" s="266">
        <v>0</v>
      </c>
      <c r="H19" s="267">
        <v>200</v>
      </c>
      <c r="I19" s="6">
        <v>4530</v>
      </c>
      <c r="J19" s="277">
        <v>55900.0000000015</v>
      </c>
      <c r="K19" s="274">
        <v>3000</v>
      </c>
      <c r="L19" s="274">
        <v>3</v>
      </c>
      <c r="M19" s="274">
        <v>3976</v>
      </c>
      <c r="N19" s="274">
        <v>1392</v>
      </c>
      <c r="O19" s="275">
        <v>1.79</v>
      </c>
      <c r="P19" s="275">
        <v>0</v>
      </c>
      <c r="Q19" s="284">
        <v>5560</v>
      </c>
      <c r="R19" s="285">
        <f t="shared" si="0"/>
        <v>200071</v>
      </c>
      <c r="S19" s="286"/>
      <c r="T19" s="294" t="s">
        <v>53</v>
      </c>
      <c r="U19" s="298"/>
      <c r="V19" s="301">
        <v>0</v>
      </c>
      <c r="W19" s="296"/>
      <c r="X19" s="290"/>
      <c r="AB19" s="318">
        <f t="shared" si="1"/>
        <v>101.78</v>
      </c>
    </row>
    <row r="20" ht="18.6" customHeight="1" spans="1:28">
      <c r="A20" s="6">
        <v>16</v>
      </c>
      <c r="B20" s="263">
        <v>27.2</v>
      </c>
      <c r="C20" s="264" t="s">
        <v>37</v>
      </c>
      <c r="D20" s="265">
        <v>212660</v>
      </c>
      <c r="E20" s="266">
        <v>106.72</v>
      </c>
      <c r="F20" s="266">
        <v>69.72</v>
      </c>
      <c r="G20" s="266">
        <v>0</v>
      </c>
      <c r="H20" s="267">
        <v>200</v>
      </c>
      <c r="I20" s="6">
        <v>4834</v>
      </c>
      <c r="J20" s="277">
        <v>54099.9999999985</v>
      </c>
      <c r="K20" s="274">
        <v>4320</v>
      </c>
      <c r="L20" s="274">
        <v>6</v>
      </c>
      <c r="M20" s="274">
        <v>4260</v>
      </c>
      <c r="N20" s="274">
        <v>1608</v>
      </c>
      <c r="O20" s="275">
        <v>2.36</v>
      </c>
      <c r="P20" s="275">
        <v>0</v>
      </c>
      <c r="Q20" s="284">
        <v>5536</v>
      </c>
      <c r="R20" s="285">
        <f t="shared" si="0"/>
        <v>207124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176.44</v>
      </c>
    </row>
    <row r="21" ht="18.6" customHeight="1" spans="1:28">
      <c r="A21" s="6">
        <v>17</v>
      </c>
      <c r="B21" s="263">
        <v>26.5</v>
      </c>
      <c r="C21" s="264" t="s">
        <v>37</v>
      </c>
      <c r="D21" s="265">
        <v>213122</v>
      </c>
      <c r="E21" s="266">
        <v>159.68</v>
      </c>
      <c r="F21" s="266">
        <v>0</v>
      </c>
      <c r="G21" s="266">
        <v>0</v>
      </c>
      <c r="H21" s="267">
        <v>125</v>
      </c>
      <c r="I21" s="6">
        <v>4792</v>
      </c>
      <c r="J21" s="277">
        <v>52200.0000000116</v>
      </c>
      <c r="K21" s="274">
        <v>1080</v>
      </c>
      <c r="L21" s="274">
        <v>2</v>
      </c>
      <c r="M21" s="274">
        <v>2769</v>
      </c>
      <c r="N21" s="274">
        <v>984</v>
      </c>
      <c r="O21" s="275">
        <v>2.14</v>
      </c>
      <c r="P21" s="275">
        <v>0</v>
      </c>
      <c r="Q21" s="284">
        <v>5552</v>
      </c>
      <c r="R21" s="285">
        <f t="shared" si="0"/>
        <v>207570</v>
      </c>
      <c r="S21" s="286"/>
      <c r="T21" s="294" t="s">
        <v>54</v>
      </c>
      <c r="U21" s="303" t="s">
        <v>55</v>
      </c>
      <c r="V21" s="282">
        <f>V17+V19</f>
        <v>22.8</v>
      </c>
      <c r="W21" s="56" t="s">
        <v>56</v>
      </c>
      <c r="X21" s="290"/>
      <c r="AB21" s="318">
        <f t="shared" si="1"/>
        <v>159.68</v>
      </c>
    </row>
    <row r="22" ht="18.6" customHeight="1" spans="1:28">
      <c r="A22" s="6">
        <v>18</v>
      </c>
      <c r="B22" s="263">
        <v>26</v>
      </c>
      <c r="C22" s="264" t="s">
        <v>37</v>
      </c>
      <c r="D22" s="265">
        <v>215019</v>
      </c>
      <c r="E22" s="266">
        <v>147.2</v>
      </c>
      <c r="F22" s="266">
        <v>36.24</v>
      </c>
      <c r="G22" s="266">
        <v>0</v>
      </c>
      <c r="H22" s="267">
        <v>200</v>
      </c>
      <c r="I22" s="6">
        <v>4816</v>
      </c>
      <c r="J22" s="63">
        <v>53100.0000000131</v>
      </c>
      <c r="K22" s="274">
        <v>0</v>
      </c>
      <c r="L22" s="274">
        <v>0</v>
      </c>
      <c r="M22" s="274">
        <v>2627</v>
      </c>
      <c r="N22" s="274">
        <v>960</v>
      </c>
      <c r="O22" s="275">
        <v>2.04</v>
      </c>
      <c r="P22" s="275">
        <v>0</v>
      </c>
      <c r="Q22" s="284">
        <v>5544</v>
      </c>
      <c r="R22" s="285">
        <f t="shared" si="0"/>
        <v>209475</v>
      </c>
      <c r="S22" s="286"/>
      <c r="T22" s="300">
        <f>T18+T20</f>
        <v>108199.91</v>
      </c>
      <c r="U22" s="303"/>
      <c r="V22" s="56"/>
      <c r="W22" s="304">
        <f>T16-E36-F36-G36</f>
        <v>-4.54747350886464e-13</v>
      </c>
      <c r="X22" s="290"/>
      <c r="AB22" s="318">
        <f t="shared" si="1"/>
        <v>183.44</v>
      </c>
    </row>
    <row r="23" ht="18.6" customHeight="1" spans="1:28">
      <c r="A23" s="6">
        <v>19</v>
      </c>
      <c r="B23" s="263">
        <v>27.3</v>
      </c>
      <c r="C23" s="264" t="s">
        <v>37</v>
      </c>
      <c r="D23" s="265">
        <v>211878</v>
      </c>
      <c r="E23" s="266">
        <v>108.66</v>
      </c>
      <c r="F23" s="266">
        <v>69.72</v>
      </c>
      <c r="G23" s="266">
        <v>0</v>
      </c>
      <c r="H23" s="267">
        <v>175</v>
      </c>
      <c r="I23" s="6">
        <v>4532</v>
      </c>
      <c r="J23" s="63">
        <v>52699.999999968</v>
      </c>
      <c r="K23" s="274">
        <v>0</v>
      </c>
      <c r="L23" s="274">
        <v>0</v>
      </c>
      <c r="M23" s="274">
        <v>1988</v>
      </c>
      <c r="N23" s="274">
        <v>720</v>
      </c>
      <c r="O23" s="275">
        <v>1.74</v>
      </c>
      <c r="P23" s="275">
        <v>0</v>
      </c>
      <c r="Q23" s="284">
        <v>5552</v>
      </c>
      <c r="R23" s="285">
        <f t="shared" si="0"/>
        <v>206326</v>
      </c>
      <c r="S23" s="286"/>
      <c r="T23" s="287"/>
      <c r="U23" s="305"/>
      <c r="V23" s="56"/>
      <c r="W23" s="56"/>
      <c r="X23" s="56"/>
      <c r="AB23" s="318">
        <f t="shared" si="1"/>
        <v>178.38</v>
      </c>
    </row>
    <row r="24" ht="18.6" customHeight="1" spans="1:28">
      <c r="A24" s="6">
        <v>20</v>
      </c>
      <c r="B24" s="263">
        <v>26.5</v>
      </c>
      <c r="C24" s="264" t="s">
        <v>37</v>
      </c>
      <c r="D24" s="265">
        <v>210051</v>
      </c>
      <c r="E24" s="266">
        <v>0</v>
      </c>
      <c r="F24" s="266">
        <v>185.84</v>
      </c>
      <c r="G24" s="266">
        <v>0</v>
      </c>
      <c r="H24" s="267">
        <v>175</v>
      </c>
      <c r="I24" s="6">
        <v>4290</v>
      </c>
      <c r="J24" s="63">
        <v>53400.0000000015</v>
      </c>
      <c r="K24" s="274">
        <v>2760</v>
      </c>
      <c r="L24" s="274">
        <v>4</v>
      </c>
      <c r="M24" s="274">
        <v>3905</v>
      </c>
      <c r="N24" s="274">
        <v>1344</v>
      </c>
      <c r="O24" s="275">
        <v>2.11</v>
      </c>
      <c r="P24" s="275">
        <v>0</v>
      </c>
      <c r="Q24" s="284">
        <v>5552</v>
      </c>
      <c r="R24" s="285">
        <f t="shared" si="0"/>
        <v>204499</v>
      </c>
      <c r="S24" s="286"/>
      <c r="T24" s="287" t="s">
        <v>57</v>
      </c>
      <c r="U24" s="305" t="s">
        <v>58</v>
      </c>
      <c r="V24" s="306">
        <f>H36</f>
        <v>5250</v>
      </c>
      <c r="W24" s="56">
        <f>L36</f>
        <v>62</v>
      </c>
      <c r="X24" s="56"/>
      <c r="AB24" s="318">
        <f t="shared" si="1"/>
        <v>185.84</v>
      </c>
    </row>
    <row r="25" ht="18.6" customHeight="1" spans="1:28">
      <c r="A25" s="6">
        <v>21</v>
      </c>
      <c r="B25" s="263">
        <v>26.8</v>
      </c>
      <c r="C25" s="264" t="s">
        <v>35</v>
      </c>
      <c r="D25" s="265">
        <v>212935</v>
      </c>
      <c r="E25" s="266">
        <v>0</v>
      </c>
      <c r="F25" s="266">
        <v>177.82</v>
      </c>
      <c r="G25" s="266">
        <v>0</v>
      </c>
      <c r="H25" s="267">
        <v>175</v>
      </c>
      <c r="I25" s="6">
        <v>4834</v>
      </c>
      <c r="J25" s="277">
        <v>56100.0000000058</v>
      </c>
      <c r="K25" s="274">
        <v>1320</v>
      </c>
      <c r="L25" s="274">
        <v>2</v>
      </c>
      <c r="M25" s="274">
        <v>4118</v>
      </c>
      <c r="N25" s="274">
        <v>1440</v>
      </c>
      <c r="O25" s="275">
        <v>1.79</v>
      </c>
      <c r="P25" s="275">
        <v>0</v>
      </c>
      <c r="Q25" s="284">
        <v>5552</v>
      </c>
      <c r="R25" s="285">
        <f t="shared" si="0"/>
        <v>207383</v>
      </c>
      <c r="S25" s="286"/>
      <c r="T25" s="287"/>
      <c r="U25" s="305" t="s">
        <v>59</v>
      </c>
      <c r="V25" s="281">
        <f>汇总!F6</f>
        <v>4.89238322468329</v>
      </c>
      <c r="W25" s="281">
        <f>W24/R36*1000</f>
        <v>0.0100672050889397</v>
      </c>
      <c r="X25" s="56"/>
      <c r="AB25" s="318">
        <f t="shared" si="1"/>
        <v>177.82</v>
      </c>
    </row>
    <row r="26" ht="18.6" customHeight="1" spans="1:28">
      <c r="A26" s="6">
        <v>22</v>
      </c>
      <c r="B26" s="263">
        <v>27</v>
      </c>
      <c r="C26" s="264" t="s">
        <v>35</v>
      </c>
      <c r="D26" s="265">
        <v>210654</v>
      </c>
      <c r="E26" s="266">
        <v>176.86</v>
      </c>
      <c r="F26" s="266">
        <v>0</v>
      </c>
      <c r="G26" s="266">
        <v>0</v>
      </c>
      <c r="H26" s="267">
        <v>225</v>
      </c>
      <c r="I26" s="6">
        <v>4508</v>
      </c>
      <c r="J26" s="63">
        <v>54099.9999999985</v>
      </c>
      <c r="K26" s="274">
        <v>3360</v>
      </c>
      <c r="L26" s="274">
        <v>3</v>
      </c>
      <c r="M26" s="274">
        <v>3976</v>
      </c>
      <c r="N26" s="274">
        <v>1416</v>
      </c>
      <c r="O26" s="275">
        <v>2.75</v>
      </c>
      <c r="P26" s="275">
        <v>0</v>
      </c>
      <c r="Q26" s="284">
        <v>5552</v>
      </c>
      <c r="R26" s="285">
        <f t="shared" si="0"/>
        <v>205102</v>
      </c>
      <c r="S26" s="286"/>
      <c r="T26" s="287" t="s">
        <v>10</v>
      </c>
      <c r="U26" s="305" t="s">
        <v>58</v>
      </c>
      <c r="V26" s="306">
        <f>K36</f>
        <v>34680</v>
      </c>
      <c r="W26" s="56"/>
      <c r="X26" s="56"/>
      <c r="AB26" s="318">
        <f t="shared" si="1"/>
        <v>176.86</v>
      </c>
    </row>
    <row r="27" ht="18.6" customHeight="1" spans="1:28">
      <c r="A27" s="6">
        <v>23</v>
      </c>
      <c r="B27" s="263">
        <v>27.2</v>
      </c>
      <c r="C27" s="264" t="s">
        <v>35</v>
      </c>
      <c r="D27" s="265">
        <v>211628</v>
      </c>
      <c r="E27" s="266">
        <v>90.1</v>
      </c>
      <c r="F27" s="266">
        <v>73.8</v>
      </c>
      <c r="G27" s="266">
        <v>0</v>
      </c>
      <c r="H27" s="267">
        <v>150</v>
      </c>
      <c r="I27" s="6">
        <v>4456</v>
      </c>
      <c r="J27" s="63">
        <v>54400.0000000233</v>
      </c>
      <c r="K27" s="274">
        <v>1080</v>
      </c>
      <c r="L27" s="274">
        <v>1</v>
      </c>
      <c r="M27" s="274">
        <v>2272</v>
      </c>
      <c r="N27" s="274">
        <v>840</v>
      </c>
      <c r="O27" s="275">
        <v>2.22</v>
      </c>
      <c r="P27" s="275">
        <v>0</v>
      </c>
      <c r="Q27" s="284">
        <v>5560</v>
      </c>
      <c r="R27" s="285">
        <f t="shared" si="0"/>
        <v>206068</v>
      </c>
      <c r="S27" s="286"/>
      <c r="T27" s="287"/>
      <c r="U27" s="305" t="s">
        <v>60</v>
      </c>
      <c r="V27" s="304">
        <f>ROUND(K36/R36*1000,1)</f>
        <v>5.6</v>
      </c>
      <c r="W27" s="56"/>
      <c r="X27" s="56"/>
      <c r="AB27" s="318">
        <f t="shared" si="1"/>
        <v>163.9</v>
      </c>
    </row>
    <row r="28" ht="18.6" customHeight="1" spans="1:28">
      <c r="A28" s="6">
        <v>24</v>
      </c>
      <c r="B28" s="263">
        <v>27.8</v>
      </c>
      <c r="C28" s="264" t="s">
        <v>35</v>
      </c>
      <c r="D28" s="265">
        <v>208956</v>
      </c>
      <c r="E28" s="266">
        <v>52.19</v>
      </c>
      <c r="F28" s="266">
        <v>87.56</v>
      </c>
      <c r="G28" s="266">
        <v>30</v>
      </c>
      <c r="H28" s="267">
        <v>200</v>
      </c>
      <c r="I28" s="6">
        <v>4166</v>
      </c>
      <c r="J28" s="63">
        <v>54199.9999999825</v>
      </c>
      <c r="K28" s="274">
        <v>0</v>
      </c>
      <c r="L28" s="274">
        <v>0</v>
      </c>
      <c r="M28" s="274">
        <v>4828</v>
      </c>
      <c r="N28" s="274">
        <v>1680</v>
      </c>
      <c r="O28" s="275">
        <v>2.11</v>
      </c>
      <c r="P28" s="275">
        <v>0</v>
      </c>
      <c r="Q28" s="284">
        <v>5560</v>
      </c>
      <c r="R28" s="285">
        <f t="shared" si="0"/>
        <v>203396</v>
      </c>
      <c r="S28" s="286"/>
      <c r="T28" s="287" t="s">
        <v>12</v>
      </c>
      <c r="U28" s="305" t="s">
        <v>58</v>
      </c>
      <c r="V28" s="306">
        <f>M36</f>
        <v>100536</v>
      </c>
      <c r="W28" s="56"/>
      <c r="X28" s="56"/>
      <c r="AB28" s="318">
        <f t="shared" si="1"/>
        <v>169.75</v>
      </c>
    </row>
    <row r="29" ht="18.6" customHeight="1" spans="1:28">
      <c r="A29" s="6">
        <v>25</v>
      </c>
      <c r="B29" s="263">
        <v>27.6</v>
      </c>
      <c r="C29" s="264" t="s">
        <v>35</v>
      </c>
      <c r="D29" s="265">
        <v>213621</v>
      </c>
      <c r="E29" s="266">
        <v>53.88</v>
      </c>
      <c r="F29" s="266">
        <v>86.22</v>
      </c>
      <c r="G29" s="266">
        <v>0</v>
      </c>
      <c r="H29" s="267">
        <v>200</v>
      </c>
      <c r="I29" s="6">
        <v>4066</v>
      </c>
      <c r="J29" s="63">
        <v>57600.0000000204</v>
      </c>
      <c r="K29" s="274">
        <v>0</v>
      </c>
      <c r="L29" s="274">
        <v>0</v>
      </c>
      <c r="M29" s="274">
        <v>4047</v>
      </c>
      <c r="N29" s="274">
        <v>1440</v>
      </c>
      <c r="O29" s="275">
        <v>2.13</v>
      </c>
      <c r="P29" s="275">
        <v>0</v>
      </c>
      <c r="Q29" s="284">
        <v>5560</v>
      </c>
      <c r="R29" s="285">
        <f t="shared" si="0"/>
        <v>208061</v>
      </c>
      <c r="S29" s="286"/>
      <c r="T29" s="287"/>
      <c r="U29" s="305" t="s">
        <v>60</v>
      </c>
      <c r="V29" s="307">
        <f>ROUND(M36/R36*1000,1)</f>
        <v>16.3</v>
      </c>
      <c r="W29" s="56"/>
      <c r="X29" s="56"/>
      <c r="AB29" s="318">
        <f t="shared" si="1"/>
        <v>140.1</v>
      </c>
    </row>
    <row r="30" ht="18.6" customHeight="1" spans="1:28">
      <c r="A30" s="6">
        <v>26</v>
      </c>
      <c r="B30" s="263">
        <v>27.5</v>
      </c>
      <c r="C30" s="264" t="s">
        <v>52</v>
      </c>
      <c r="D30" s="265">
        <v>207507</v>
      </c>
      <c r="E30" s="266">
        <v>0</v>
      </c>
      <c r="F30" s="266">
        <v>196.12</v>
      </c>
      <c r="G30" s="266">
        <v>0</v>
      </c>
      <c r="H30" s="267">
        <v>175</v>
      </c>
      <c r="I30" s="6">
        <v>4628</v>
      </c>
      <c r="J30" s="63">
        <v>57199.9999999753</v>
      </c>
      <c r="K30" s="274">
        <v>0</v>
      </c>
      <c r="L30" s="274">
        <v>0</v>
      </c>
      <c r="M30" s="274">
        <v>3976</v>
      </c>
      <c r="N30" s="274">
        <v>1416</v>
      </c>
      <c r="O30" s="278">
        <v>1.9</v>
      </c>
      <c r="P30" s="275">
        <v>0</v>
      </c>
      <c r="Q30" s="284">
        <v>5552</v>
      </c>
      <c r="R30" s="285">
        <f t="shared" si="0"/>
        <v>201955</v>
      </c>
      <c r="S30" s="286"/>
      <c r="T30" s="287" t="s">
        <v>13</v>
      </c>
      <c r="U30" s="305" t="s">
        <v>58</v>
      </c>
      <c r="V30" s="306">
        <f>处理量!N36</f>
        <v>35808</v>
      </c>
      <c r="W30" s="56"/>
      <c r="X30" s="56"/>
      <c r="AB30" s="318">
        <f t="shared" si="1"/>
        <v>196.12</v>
      </c>
    </row>
    <row r="31" ht="18.6" customHeight="1" spans="1:28">
      <c r="A31" s="6">
        <v>27</v>
      </c>
      <c r="B31" s="263">
        <v>27</v>
      </c>
      <c r="C31" s="264" t="s">
        <v>52</v>
      </c>
      <c r="D31" s="265">
        <v>208201</v>
      </c>
      <c r="E31" s="266">
        <v>0</v>
      </c>
      <c r="F31" s="266">
        <v>139.58</v>
      </c>
      <c r="G31" s="266">
        <v>0</v>
      </c>
      <c r="H31" s="267">
        <v>75</v>
      </c>
      <c r="I31" s="6">
        <v>4566</v>
      </c>
      <c r="J31" s="63">
        <v>53899.9999999942</v>
      </c>
      <c r="K31" s="274">
        <v>720</v>
      </c>
      <c r="L31" s="274">
        <v>1</v>
      </c>
      <c r="M31" s="274">
        <v>4970</v>
      </c>
      <c r="N31" s="274">
        <v>1704</v>
      </c>
      <c r="O31" s="278">
        <v>2.47</v>
      </c>
      <c r="P31" s="275">
        <v>0</v>
      </c>
      <c r="Q31" s="284">
        <v>5560</v>
      </c>
      <c r="R31" s="285">
        <f t="shared" si="0"/>
        <v>202641</v>
      </c>
      <c r="S31" s="286"/>
      <c r="T31" s="287"/>
      <c r="U31" s="305" t="s">
        <v>60</v>
      </c>
      <c r="V31" s="304">
        <f>ROUND(N36/R36*1000,2)</f>
        <v>5.81</v>
      </c>
      <c r="W31" s="56"/>
      <c r="X31" s="56"/>
      <c r="AB31" s="318">
        <f t="shared" si="1"/>
        <v>139.58</v>
      </c>
    </row>
    <row r="32" ht="18.6" customHeight="1" spans="1:28">
      <c r="A32" s="6">
        <v>28</v>
      </c>
      <c r="B32" s="263">
        <v>27.3</v>
      </c>
      <c r="C32" s="264" t="s">
        <v>37</v>
      </c>
      <c r="D32" s="265">
        <v>209933</v>
      </c>
      <c r="E32" s="266">
        <v>0</v>
      </c>
      <c r="F32" s="266">
        <v>36.58</v>
      </c>
      <c r="G32" s="266">
        <v>0</v>
      </c>
      <c r="H32" s="267">
        <v>100</v>
      </c>
      <c r="I32" s="6">
        <v>4554</v>
      </c>
      <c r="J32" s="63">
        <v>51900.0000000233</v>
      </c>
      <c r="K32" s="274">
        <v>4440</v>
      </c>
      <c r="L32" s="274">
        <v>5</v>
      </c>
      <c r="M32" s="274">
        <v>5396</v>
      </c>
      <c r="N32" s="274">
        <v>1872</v>
      </c>
      <c r="O32" s="278">
        <v>2.38</v>
      </c>
      <c r="P32" s="275">
        <v>0</v>
      </c>
      <c r="Q32" s="284">
        <v>5552</v>
      </c>
      <c r="R32" s="285">
        <f t="shared" si="0"/>
        <v>204381</v>
      </c>
      <c r="S32" s="286"/>
      <c r="T32" s="287" t="s">
        <v>61</v>
      </c>
      <c r="U32" s="305" t="s">
        <v>62</v>
      </c>
      <c r="V32" s="56">
        <f>O36</f>
        <v>64.15</v>
      </c>
      <c r="W32" s="56"/>
      <c r="X32" s="56"/>
      <c r="AB32" s="318">
        <f t="shared" si="1"/>
        <v>36.58</v>
      </c>
    </row>
    <row r="33" ht="18.6" customHeight="1" spans="1:28">
      <c r="A33" s="6">
        <v>29</v>
      </c>
      <c r="B33" s="263">
        <v>27.5</v>
      </c>
      <c r="C33" s="264" t="s">
        <v>35</v>
      </c>
      <c r="D33" s="265">
        <v>209161</v>
      </c>
      <c r="E33" s="266">
        <v>0</v>
      </c>
      <c r="F33" s="266">
        <v>100.54</v>
      </c>
      <c r="G33" s="266">
        <v>15</v>
      </c>
      <c r="H33" s="267">
        <v>100</v>
      </c>
      <c r="I33" s="6">
        <v>4070</v>
      </c>
      <c r="J33" s="63">
        <v>52599.999999984</v>
      </c>
      <c r="K33" s="274">
        <v>4800</v>
      </c>
      <c r="L33" s="274">
        <v>4</v>
      </c>
      <c r="M33" s="274">
        <v>5609</v>
      </c>
      <c r="N33" s="274">
        <v>1920</v>
      </c>
      <c r="O33" s="278">
        <v>2.19</v>
      </c>
      <c r="P33" s="275">
        <v>0</v>
      </c>
      <c r="Q33" s="284">
        <v>5536</v>
      </c>
      <c r="R33" s="285">
        <f t="shared" si="0"/>
        <v>203625</v>
      </c>
      <c r="S33" s="286"/>
      <c r="T33" s="287"/>
      <c r="U33" s="305" t="s">
        <v>60</v>
      </c>
      <c r="V33" s="304">
        <f>ROUND(V32/R36*1000000,2)</f>
        <v>10.42</v>
      </c>
      <c r="W33" s="56"/>
      <c r="X33" s="56"/>
      <c r="AB33" s="318">
        <f t="shared" si="1"/>
        <v>115.54</v>
      </c>
    </row>
    <row r="34" ht="18.6" customHeight="1" spans="1:28">
      <c r="A34" s="6">
        <v>30</v>
      </c>
      <c r="B34" s="263">
        <v>27.4</v>
      </c>
      <c r="C34" s="264" t="s">
        <v>37</v>
      </c>
      <c r="D34" s="265">
        <v>210158</v>
      </c>
      <c r="E34" s="266">
        <v>0</v>
      </c>
      <c r="F34" s="266">
        <v>92.7</v>
      </c>
      <c r="G34" s="266">
        <v>0</v>
      </c>
      <c r="H34" s="267">
        <v>100</v>
      </c>
      <c r="I34" s="6">
        <v>4560</v>
      </c>
      <c r="J34" s="63">
        <v>53700.0000000262</v>
      </c>
      <c r="K34" s="274">
        <v>720</v>
      </c>
      <c r="L34" s="274">
        <v>0</v>
      </c>
      <c r="M34" s="274">
        <v>4260</v>
      </c>
      <c r="N34" s="274">
        <v>1392</v>
      </c>
      <c r="O34" s="278">
        <v>2.26</v>
      </c>
      <c r="P34" s="275">
        <v>0</v>
      </c>
      <c r="Q34" s="284">
        <v>5563</v>
      </c>
      <c r="R34" s="285">
        <f t="shared" si="0"/>
        <v>204595</v>
      </c>
      <c r="S34" s="286"/>
      <c r="T34" s="287"/>
      <c r="U34" s="305"/>
      <c r="V34" s="56"/>
      <c r="W34" s="56"/>
      <c r="X34" s="56"/>
      <c r="AB34" s="318">
        <f t="shared" si="1"/>
        <v>92.7</v>
      </c>
    </row>
    <row r="35" ht="19" customHeight="1" spans="1:20">
      <c r="A35" s="5" t="s">
        <v>63</v>
      </c>
      <c r="B35" s="60">
        <f>AVERAGE(B5:B34)</f>
        <v>26.3666666666667</v>
      </c>
      <c r="C35" s="8" t="s">
        <v>64</v>
      </c>
      <c r="D35" s="268">
        <f>AVERAGE(D5:D34)</f>
        <v>210840.733333333</v>
      </c>
      <c r="E35" s="169">
        <f>AVERAGE(E5:E34)</f>
        <v>53.7636666666667</v>
      </c>
      <c r="F35" s="169">
        <f>AVERAGE(F5:F34)</f>
        <v>104.423333333333</v>
      </c>
      <c r="G35" s="169">
        <f>AVERAGE(G5:G34)</f>
        <v>1.5</v>
      </c>
      <c r="H35" s="268">
        <f t="shared" ref="H35:Q35" si="2">AVERAGE(H5:H34)</f>
        <v>175</v>
      </c>
      <c r="I35" s="268">
        <f t="shared" si="2"/>
        <v>4564.66666666667</v>
      </c>
      <c r="J35" s="268">
        <f t="shared" si="2"/>
        <v>54046.6666666671</v>
      </c>
      <c r="K35" s="268">
        <f t="shared" si="2"/>
        <v>1156</v>
      </c>
      <c r="L35" s="268">
        <f t="shared" si="2"/>
        <v>2.06666666666667</v>
      </c>
      <c r="M35" s="268">
        <f t="shared" si="2"/>
        <v>3351.2</v>
      </c>
      <c r="N35" s="268">
        <f t="shared" si="2"/>
        <v>1193.6</v>
      </c>
      <c r="O35" s="169">
        <f t="shared" si="2"/>
        <v>2.13833333333333</v>
      </c>
      <c r="P35" s="169">
        <f t="shared" si="2"/>
        <v>0</v>
      </c>
      <c r="Q35" s="268">
        <f t="shared" si="2"/>
        <v>5553.7</v>
      </c>
      <c r="R35" s="308">
        <f t="shared" si="0"/>
        <v>205287.033333333</v>
      </c>
      <c r="S35" s="309"/>
      <c r="T35" s="310"/>
    </row>
    <row r="36" ht="17" customHeight="1" spans="1:28">
      <c r="A36" s="5" t="s">
        <v>65</v>
      </c>
      <c r="B36" s="6" t="s">
        <v>64</v>
      </c>
      <c r="C36" s="6" t="s">
        <v>64</v>
      </c>
      <c r="D36" s="269">
        <f>SUM(D5:D34)</f>
        <v>6325222</v>
      </c>
      <c r="E36" s="270">
        <f>SUM(E5:E34)</f>
        <v>1612.91</v>
      </c>
      <c r="F36" s="270">
        <f>SUM(F5:F34)</f>
        <v>3132.7</v>
      </c>
      <c r="G36" s="270">
        <f>SUM(G5:G34)</f>
        <v>45</v>
      </c>
      <c r="H36" s="269">
        <f>SUM(H5:H34)</f>
        <v>5250</v>
      </c>
      <c r="I36" s="6" t="s">
        <v>64</v>
      </c>
      <c r="J36" s="268">
        <f t="shared" ref="J36:R36" si="3">SUM(J5:J34)</f>
        <v>1621400.00000001</v>
      </c>
      <c r="K36" s="268">
        <f t="shared" si="3"/>
        <v>34680</v>
      </c>
      <c r="L36" s="268">
        <f t="shared" si="3"/>
        <v>62</v>
      </c>
      <c r="M36" s="268">
        <f t="shared" si="3"/>
        <v>100536</v>
      </c>
      <c r="N36" s="268">
        <f t="shared" si="3"/>
        <v>35808</v>
      </c>
      <c r="O36" s="169">
        <f t="shared" si="3"/>
        <v>64.15</v>
      </c>
      <c r="P36" s="169">
        <f t="shared" si="3"/>
        <v>0</v>
      </c>
      <c r="Q36" s="268">
        <f t="shared" si="3"/>
        <v>166611</v>
      </c>
      <c r="R36" s="268">
        <f t="shared" si="3"/>
        <v>6158611</v>
      </c>
      <c r="S36" s="311"/>
      <c r="T36" s="312"/>
      <c r="AB36" s="3">
        <f>SUM(AB5:AB35)</f>
        <v>4790.61</v>
      </c>
    </row>
    <row r="37" ht="18.6" customHeight="1" spans="1:18">
      <c r="A37" s="271" t="s">
        <v>66</v>
      </c>
      <c r="B37" s="271"/>
      <c r="C37" s="271"/>
      <c r="D37" s="271"/>
      <c r="E37" s="272"/>
      <c r="F37" s="272"/>
      <c r="I37" s="279" t="s">
        <v>67</v>
      </c>
      <c r="Q37" s="313" t="s">
        <v>68</v>
      </c>
      <c r="R37" s="314">
        <v>44379</v>
      </c>
    </row>
    <row r="38" ht="18.6" customHeight="1" spans="13:13">
      <c r="M38" s="254">
        <f>M36*0.31</f>
        <v>31166.16</v>
      </c>
    </row>
    <row r="39" spans="7:18">
      <c r="G39" s="254"/>
      <c r="H39" s="254"/>
      <c r="J39" s="268">
        <f>J35*30</f>
        <v>1621400.00000001</v>
      </c>
      <c r="Q39" s="254" t="s">
        <v>69</v>
      </c>
      <c r="R39" s="254">
        <f>MAX(R5:R34)</f>
        <v>211127</v>
      </c>
    </row>
    <row r="40" spans="7:18">
      <c r="G40" s="254"/>
      <c r="H40" s="254"/>
      <c r="J40" s="268">
        <f>J39*W4</f>
        <v>916091.000000007</v>
      </c>
      <c r="O40" s="254">
        <f>O36*1000</f>
        <v>64150</v>
      </c>
      <c r="Q40" s="254" t="s">
        <v>70</v>
      </c>
      <c r="R40" s="254">
        <f>MIN(R5:R34)</f>
        <v>181079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4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J6" sqref="J6"/>
    </sheetView>
  </sheetViews>
  <sheetFormatPr defaultColWidth="8.75" defaultRowHeight="15.6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4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7.4" spans="1:13">
      <c r="A1" s="198" t="s">
        <v>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s="194" customFormat="1" ht="20.1" customHeight="1" spans="1:13">
      <c r="A2" s="199">
        <v>44348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3" s="194" customFormat="1" ht="24" customHeight="1" spans="1:18">
      <c r="A3" s="200" t="s">
        <v>72</v>
      </c>
      <c r="B3" s="201" t="s">
        <v>73</v>
      </c>
      <c r="C3" s="202">
        <f>处理量!R36</f>
        <v>6158611</v>
      </c>
      <c r="D3" s="203" t="s">
        <v>74</v>
      </c>
      <c r="E3" s="201" t="s">
        <v>75</v>
      </c>
      <c r="F3" s="204">
        <f>处理量!E36+处理量!F36+处理量!G36</f>
        <v>4790.61</v>
      </c>
      <c r="G3" s="200" t="s">
        <v>76</v>
      </c>
      <c r="H3" s="201" t="s">
        <v>77</v>
      </c>
      <c r="I3" s="201"/>
      <c r="J3" s="36">
        <f>处理量!J36</f>
        <v>1621400.00000001</v>
      </c>
      <c r="K3" s="203" t="s">
        <v>78</v>
      </c>
      <c r="L3" s="201" t="s">
        <v>79</v>
      </c>
      <c r="M3" s="238">
        <f>J3/C3</f>
        <v>0.263273650503338</v>
      </c>
      <c r="P3" s="194" t="s">
        <v>80</v>
      </c>
      <c r="Q3" s="194">
        <v>1739.6</v>
      </c>
      <c r="R3" s="194">
        <f>J5-Q3</f>
        <v>3415.4</v>
      </c>
    </row>
    <row r="4" s="194" customFormat="1" ht="24" customHeight="1" spans="1:17">
      <c r="A4" s="200"/>
      <c r="B4" s="201" t="s">
        <v>81</v>
      </c>
      <c r="C4" s="205">
        <f>处理量!R35</f>
        <v>205287.033333333</v>
      </c>
      <c r="D4" s="206"/>
      <c r="E4" s="201" t="s">
        <v>82</v>
      </c>
      <c r="F4" s="207">
        <f>处理量!H36</f>
        <v>5250</v>
      </c>
      <c r="G4" s="200"/>
      <c r="H4" s="201" t="s">
        <v>83</v>
      </c>
      <c r="I4" s="201"/>
      <c r="J4" s="207">
        <f>J3/M15</f>
        <v>54046.6666666671</v>
      </c>
      <c r="K4" s="206"/>
      <c r="L4" s="201" t="s">
        <v>84</v>
      </c>
      <c r="M4" s="239">
        <f>J3/I12</f>
        <v>1.73663357851806</v>
      </c>
      <c r="P4" s="194" t="s">
        <v>85</v>
      </c>
      <c r="Q4" s="194">
        <v>38940</v>
      </c>
    </row>
    <row r="5" s="194" customFormat="1" ht="24" customHeight="1" spans="1:13">
      <c r="A5" s="200"/>
      <c r="B5" s="201"/>
      <c r="C5" s="208"/>
      <c r="D5" s="206"/>
      <c r="E5" s="201" t="s">
        <v>86</v>
      </c>
      <c r="F5" s="209">
        <f>进出水!T37</f>
        <v>77.6</v>
      </c>
      <c r="G5" s="200"/>
      <c r="H5" s="201" t="s">
        <v>87</v>
      </c>
      <c r="I5" s="201"/>
      <c r="J5" s="240">
        <v>5155</v>
      </c>
      <c r="K5" s="206"/>
      <c r="L5" s="201"/>
      <c r="M5" s="241"/>
    </row>
    <row r="6" s="194" customFormat="1" ht="24" customHeight="1" spans="1:13">
      <c r="A6" s="200"/>
      <c r="B6" s="201" t="s">
        <v>88</v>
      </c>
      <c r="C6" s="210">
        <f>处理量!R39</f>
        <v>211127</v>
      </c>
      <c r="D6" s="206"/>
      <c r="E6" s="200" t="s">
        <v>89</v>
      </c>
      <c r="F6" s="204">
        <f>F4/(F3*(100-F5)/100)</f>
        <v>4.89238322468329</v>
      </c>
      <c r="G6" s="203" t="s">
        <v>90</v>
      </c>
      <c r="H6" s="201" t="s">
        <v>91</v>
      </c>
      <c r="I6" s="201"/>
      <c r="J6" s="213">
        <f>处理量!M36/1000</f>
        <v>100.536</v>
      </c>
      <c r="K6" s="206"/>
      <c r="L6" s="201" t="s">
        <v>92</v>
      </c>
      <c r="M6" s="213">
        <f>J3/I13</f>
        <v>2.86167011416672</v>
      </c>
    </row>
    <row r="7" s="194" customFormat="1" ht="24" customHeight="1" spans="1:13">
      <c r="A7" s="200"/>
      <c r="B7" s="201" t="s">
        <v>93</v>
      </c>
      <c r="C7" s="36">
        <f>处理量!R40</f>
        <v>181079</v>
      </c>
      <c r="D7" s="211"/>
      <c r="E7" s="200" t="s">
        <v>94</v>
      </c>
      <c r="F7" s="212">
        <f>F3*(100-F5)/100*1000/(C3/1000)</f>
        <v>174.243289598905</v>
      </c>
      <c r="G7" s="206"/>
      <c r="H7" s="201" t="s">
        <v>95</v>
      </c>
      <c r="I7" s="201"/>
      <c r="J7" s="227">
        <f>J6*1000/(C3/1000)</f>
        <v>16.3244601745426</v>
      </c>
      <c r="K7" s="206"/>
      <c r="L7" s="242" t="s">
        <v>96</v>
      </c>
      <c r="M7" s="213">
        <f>J3/I14</f>
        <v>2.84006095472856</v>
      </c>
    </row>
    <row r="8" s="194" customFormat="1" ht="24" customHeight="1" spans="1:13">
      <c r="A8" s="200"/>
      <c r="B8" s="201" t="s">
        <v>97</v>
      </c>
      <c r="C8" s="213">
        <f>C4/200000*100</f>
        <v>102.643516666666</v>
      </c>
      <c r="D8" s="200" t="s">
        <v>98</v>
      </c>
      <c r="E8" s="201" t="s">
        <v>99</v>
      </c>
      <c r="F8" s="213">
        <f>处理量!K36/1000</f>
        <v>34.68</v>
      </c>
      <c r="G8" s="206"/>
      <c r="H8" s="201" t="s">
        <v>100</v>
      </c>
      <c r="I8" s="201"/>
      <c r="J8" s="213">
        <f>处理量!N36/1000</f>
        <v>35.808</v>
      </c>
      <c r="K8" s="243" t="s">
        <v>101</v>
      </c>
      <c r="L8" s="222" t="s">
        <v>102</v>
      </c>
      <c r="M8" s="244">
        <f>处理量!O36</f>
        <v>64.15</v>
      </c>
    </row>
    <row r="9" s="194" customFormat="1" ht="24" customHeight="1" spans="1:13">
      <c r="A9" s="200"/>
      <c r="B9" s="214" t="s">
        <v>103</v>
      </c>
      <c r="C9" s="215">
        <f>处理量!B35</f>
        <v>26.3666666666667</v>
      </c>
      <c r="D9" s="200"/>
      <c r="E9" s="201" t="s">
        <v>95</v>
      </c>
      <c r="F9" s="213">
        <f>F8*1000/(C3/1000)</f>
        <v>5.63113987878111</v>
      </c>
      <c r="G9" s="211"/>
      <c r="H9" s="201" t="s">
        <v>95</v>
      </c>
      <c r="I9" s="201"/>
      <c r="J9" s="204">
        <f>J8*1000/(C3/1000)</f>
        <v>5.81429806168956</v>
      </c>
      <c r="K9" s="219"/>
      <c r="L9" s="36" t="s">
        <v>95</v>
      </c>
      <c r="M9" s="244">
        <f>M8*1000000/C3</f>
        <v>10.41630978154</v>
      </c>
    </row>
    <row r="10" s="194" customFormat="1" ht="24" customHeight="1" spans="1:13">
      <c r="A10" s="200" t="s">
        <v>104</v>
      </c>
      <c r="B10" s="216" t="s">
        <v>105</v>
      </c>
      <c r="C10" s="217" t="s">
        <v>106</v>
      </c>
      <c r="D10" s="218"/>
      <c r="E10" s="217" t="s">
        <v>107</v>
      </c>
      <c r="F10" s="218"/>
      <c r="G10" s="217" t="s">
        <v>108</v>
      </c>
      <c r="H10" s="218"/>
      <c r="I10" s="217" t="s">
        <v>109</v>
      </c>
      <c r="J10" s="218"/>
      <c r="K10" s="203" t="s">
        <v>110</v>
      </c>
      <c r="L10" s="222" t="s">
        <v>102</v>
      </c>
      <c r="M10" s="36">
        <v>0</v>
      </c>
    </row>
    <row r="11" s="194" customFormat="1" ht="24" customHeight="1" spans="1:13">
      <c r="A11" s="200"/>
      <c r="B11" s="219"/>
      <c r="C11" s="220"/>
      <c r="D11" s="221"/>
      <c r="E11" s="220"/>
      <c r="F11" s="221"/>
      <c r="G11" s="220"/>
      <c r="H11" s="221"/>
      <c r="I11" s="220"/>
      <c r="J11" s="221"/>
      <c r="K11" s="211"/>
      <c r="L11" s="36" t="s">
        <v>95</v>
      </c>
      <c r="M11" s="36">
        <v>0</v>
      </c>
    </row>
    <row r="12" s="194" customFormat="1" ht="24" customHeight="1" spans="1:19">
      <c r="A12" s="200"/>
      <c r="B12" s="222" t="s">
        <v>111</v>
      </c>
      <c r="C12" s="207">
        <f>进出水!B37</f>
        <v>177</v>
      </c>
      <c r="D12" s="207"/>
      <c r="E12" s="223">
        <f>进出水!N37</f>
        <v>25.4</v>
      </c>
      <c r="F12" s="224"/>
      <c r="G12" s="223">
        <f t="shared" ref="G12:G17" si="0">(C12-E12)/C12*100</f>
        <v>85.6497175141243</v>
      </c>
      <c r="H12" s="224"/>
      <c r="I12" s="207">
        <f>$C$3*(C12-E12)/1000</f>
        <v>933645.4276</v>
      </c>
      <c r="J12" s="207"/>
      <c r="K12" s="200" t="s">
        <v>112</v>
      </c>
      <c r="L12" s="201" t="s">
        <v>25</v>
      </c>
      <c r="M12" s="36">
        <f>处理量!V16</f>
        <v>1612.91</v>
      </c>
      <c r="P12" s="245">
        <f t="shared" ref="P12:P17" si="1">ROUND(E12,1)</f>
        <v>25.4</v>
      </c>
      <c r="Q12" s="253">
        <f>C3</f>
        <v>6158611</v>
      </c>
      <c r="R12" s="245">
        <f t="shared" ref="R12:R17" si="2">P12*Q12/1000000</f>
        <v>156.4287194</v>
      </c>
      <c r="S12" s="222" t="s">
        <v>111</v>
      </c>
    </row>
    <row r="13" s="194" customFormat="1" ht="24" customHeight="1" spans="1:19">
      <c r="A13" s="200"/>
      <c r="B13" s="222" t="s">
        <v>113</v>
      </c>
      <c r="C13" s="207">
        <f>进出水!C37</f>
        <v>93</v>
      </c>
      <c r="D13" s="207"/>
      <c r="E13" s="225" t="str">
        <f>[1]进出水!O38</f>
        <v>&lt;2</v>
      </c>
      <c r="F13" s="226"/>
      <c r="G13" s="223">
        <f>(C13-1)/C13*100</f>
        <v>98.9247311827957</v>
      </c>
      <c r="H13" s="224"/>
      <c r="I13" s="207">
        <f>$C$3*(C13-1)/1000</f>
        <v>566592.212</v>
      </c>
      <c r="J13" s="207"/>
      <c r="K13" s="200"/>
      <c r="L13" s="33" t="s">
        <v>26</v>
      </c>
      <c r="M13" s="246">
        <f>处理量!U16</f>
        <v>3132.7</v>
      </c>
      <c r="P13" s="247">
        <v>1</v>
      </c>
      <c r="Q13" s="253">
        <f t="shared" ref="Q13:Q17" si="3">Q12</f>
        <v>6158611</v>
      </c>
      <c r="R13" s="245">
        <f t="shared" si="2"/>
        <v>6.158611</v>
      </c>
      <c r="S13" s="222" t="s">
        <v>113</v>
      </c>
    </row>
    <row r="14" s="194" customFormat="1" ht="24" customHeight="1" spans="1:19">
      <c r="A14" s="200"/>
      <c r="B14" s="222" t="s">
        <v>114</v>
      </c>
      <c r="C14" s="207">
        <f>进出水!D37</f>
        <v>98</v>
      </c>
      <c r="D14" s="207"/>
      <c r="E14" s="225">
        <f>进出水!P37</f>
        <v>5.3</v>
      </c>
      <c r="F14" s="226"/>
      <c r="G14" s="223">
        <f t="shared" si="0"/>
        <v>94.5918367346939</v>
      </c>
      <c r="H14" s="224"/>
      <c r="I14" s="207">
        <f>$C$3*(C14-E14)/1000</f>
        <v>570903.2397</v>
      </c>
      <c r="J14" s="207"/>
      <c r="K14" s="200"/>
      <c r="L14" s="33" t="s">
        <v>115</v>
      </c>
      <c r="M14" s="246">
        <f>处理量!W16</f>
        <v>45</v>
      </c>
      <c r="P14" s="245">
        <f t="shared" si="1"/>
        <v>5.3</v>
      </c>
      <c r="Q14" s="253">
        <f t="shared" si="3"/>
        <v>6158611</v>
      </c>
      <c r="R14" s="245">
        <f t="shared" si="2"/>
        <v>32.6406383</v>
      </c>
      <c r="S14" s="222" t="s">
        <v>114</v>
      </c>
    </row>
    <row r="15" s="194" customFormat="1" ht="24" customHeight="1" spans="1:19">
      <c r="A15" s="200"/>
      <c r="B15" s="222" t="s">
        <v>116</v>
      </c>
      <c r="C15" s="204">
        <f>进出水!E37</f>
        <v>2.78</v>
      </c>
      <c r="D15" s="204"/>
      <c r="E15" s="225">
        <f>进出水!Q37</f>
        <v>0.14</v>
      </c>
      <c r="F15" s="226"/>
      <c r="G15" s="223">
        <f t="shared" si="0"/>
        <v>94.9640287769784</v>
      </c>
      <c r="H15" s="224"/>
      <c r="I15" s="207">
        <f>$C$3*(C15-E15)/1000</f>
        <v>16258.73304</v>
      </c>
      <c r="J15" s="207"/>
      <c r="K15" s="203" t="s">
        <v>117</v>
      </c>
      <c r="L15" s="248" t="s">
        <v>118</v>
      </c>
      <c r="M15" s="35">
        <v>30</v>
      </c>
      <c r="P15" s="245">
        <f t="shared" si="1"/>
        <v>0.1</v>
      </c>
      <c r="Q15" s="253">
        <f t="shared" si="3"/>
        <v>6158611</v>
      </c>
      <c r="R15" s="245">
        <f t="shared" si="2"/>
        <v>0.6158611</v>
      </c>
      <c r="S15" s="222" t="s">
        <v>116</v>
      </c>
    </row>
    <row r="16" s="194" customFormat="1" ht="24" customHeight="1" spans="1:19">
      <c r="A16" s="200"/>
      <c r="B16" s="222" t="s">
        <v>119</v>
      </c>
      <c r="C16" s="227">
        <f>进出水!G37</f>
        <v>24.6</v>
      </c>
      <c r="D16" s="227"/>
      <c r="E16" s="225">
        <f>进出水!S37</f>
        <v>7.18</v>
      </c>
      <c r="F16" s="226"/>
      <c r="G16" s="223">
        <f t="shared" si="0"/>
        <v>70.8130081300813</v>
      </c>
      <c r="H16" s="224"/>
      <c r="I16" s="207">
        <f>$C$3*(C16-E16)/1000</f>
        <v>107283.00362</v>
      </c>
      <c r="J16" s="207"/>
      <c r="K16" s="206"/>
      <c r="L16" s="249" t="s">
        <v>120</v>
      </c>
      <c r="M16" s="36">
        <v>30</v>
      </c>
      <c r="P16" s="245">
        <f t="shared" si="1"/>
        <v>7.2</v>
      </c>
      <c r="Q16" s="253">
        <f t="shared" si="3"/>
        <v>6158611</v>
      </c>
      <c r="R16" s="245">
        <f t="shared" si="2"/>
        <v>44.3419992</v>
      </c>
      <c r="S16" s="222" t="s">
        <v>119</v>
      </c>
    </row>
    <row r="17" s="194" customFormat="1" ht="24" customHeight="1" spans="1:19">
      <c r="A17" s="200"/>
      <c r="B17" s="222" t="s">
        <v>121</v>
      </c>
      <c r="C17" s="227">
        <f>进出水!F37</f>
        <v>18.3</v>
      </c>
      <c r="D17" s="227"/>
      <c r="E17" s="225">
        <f>进出水!R37</f>
        <v>0.41</v>
      </c>
      <c r="F17" s="226"/>
      <c r="G17" s="223">
        <f t="shared" si="0"/>
        <v>97.7595628415301</v>
      </c>
      <c r="H17" s="224"/>
      <c r="I17" s="207">
        <f>$C$3*(C17-E17)/1000</f>
        <v>110177.55079</v>
      </c>
      <c r="J17" s="207"/>
      <c r="K17" s="206"/>
      <c r="L17" s="249" t="s">
        <v>122</v>
      </c>
      <c r="M17" s="35">
        <v>30</v>
      </c>
      <c r="P17" s="245">
        <f t="shared" si="1"/>
        <v>0.4</v>
      </c>
      <c r="Q17" s="253">
        <f t="shared" si="3"/>
        <v>6158611</v>
      </c>
      <c r="R17" s="245">
        <f t="shared" si="2"/>
        <v>2.4634444</v>
      </c>
      <c r="S17" s="222" t="s">
        <v>121</v>
      </c>
    </row>
    <row r="18" s="194" customFormat="1" ht="24" customHeight="1" spans="1:13">
      <c r="A18" s="200"/>
      <c r="B18" s="214" t="s">
        <v>123</v>
      </c>
      <c r="C18" s="228"/>
      <c r="D18" s="229"/>
      <c r="E18" s="230" t="s">
        <v>124</v>
      </c>
      <c r="F18" s="231"/>
      <c r="G18" s="228"/>
      <c r="H18" s="229"/>
      <c r="I18" s="228"/>
      <c r="J18" s="229"/>
      <c r="K18" s="211"/>
      <c r="L18" s="242" t="s">
        <v>125</v>
      </c>
      <c r="M18" s="36">
        <v>100</v>
      </c>
    </row>
    <row r="19" s="194" customFormat="1" ht="20.1" customHeight="1" spans="1:13">
      <c r="A19" s="200" t="s">
        <v>126</v>
      </c>
      <c r="B19" s="232" t="s">
        <v>127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50"/>
    </row>
    <row r="20" s="194" customFormat="1" ht="20.1" customHeight="1" spans="1:13">
      <c r="A20" s="200"/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51"/>
    </row>
    <row r="21" ht="20.1" customHeight="1" spans="1:13">
      <c r="A21" s="236" t="s">
        <v>128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</row>
    <row r="22" ht="17.25" customHeight="1" spans="9:9">
      <c r="I22" s="252"/>
    </row>
    <row r="23" ht="17.25" customHeight="1" spans="5:9">
      <c r="E23" s="237"/>
      <c r="I23" s="252"/>
    </row>
    <row r="24" ht="17.25" customHeight="1" spans="5:9">
      <c r="E24" s="237"/>
      <c r="I24" s="252"/>
    </row>
    <row r="25" ht="17.25" customHeight="1" spans="5:9">
      <c r="E25" s="237"/>
      <c r="I25" s="252"/>
    </row>
    <row r="26" ht="17.25" customHeight="1" spans="5:9">
      <c r="E26" s="237"/>
      <c r="I26" s="252"/>
    </row>
    <row r="27" ht="17.25" customHeight="1" spans="5:9">
      <c r="E27" s="237"/>
      <c r="I27" s="252"/>
    </row>
    <row r="28" ht="17.25" customHeight="1" spans="5:9">
      <c r="E28" s="237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tabSelected="1" zoomScale="115" zoomScaleNormal="115" topLeftCell="A4" workbookViewId="0">
      <selection activeCell="E8" sqref="E8"/>
    </sheetView>
  </sheetViews>
  <sheetFormatPr defaultColWidth="9" defaultRowHeight="15.6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1"/>
      <c r="J2" s="161"/>
      <c r="K2" s="95"/>
      <c r="L2" s="94"/>
      <c r="M2" s="94"/>
      <c r="N2" s="94"/>
      <c r="O2" s="94"/>
      <c r="P2" s="94"/>
      <c r="Q2" s="94"/>
      <c r="R2" s="94"/>
      <c r="S2" s="94"/>
      <c r="T2" s="94"/>
      <c r="U2" s="26"/>
    </row>
    <row r="3" spans="1:21">
      <c r="A3" s="32" t="s">
        <v>130</v>
      </c>
      <c r="B3" s="32"/>
      <c r="C3" s="32"/>
      <c r="D3" s="32"/>
      <c r="E3" s="32"/>
      <c r="F3" s="32"/>
      <c r="G3" s="32"/>
      <c r="H3" s="96"/>
      <c r="I3" s="162"/>
      <c r="J3" s="163">
        <v>44348</v>
      </c>
      <c r="K3" s="164"/>
      <c r="L3" s="32"/>
      <c r="M3" s="32"/>
      <c r="N3" s="32"/>
      <c r="O3" s="32"/>
      <c r="P3" s="32"/>
      <c r="Q3" s="32"/>
      <c r="R3" s="32"/>
      <c r="S3" s="32"/>
      <c r="T3" s="188"/>
      <c r="U3" s="26"/>
    </row>
    <row r="4" ht="12.75" customHeight="1" spans="1:21">
      <c r="A4" s="97" t="s">
        <v>131</v>
      </c>
      <c r="B4" s="98" t="s">
        <v>106</v>
      </c>
      <c r="C4" s="99"/>
      <c r="D4" s="99"/>
      <c r="E4" s="99"/>
      <c r="F4" s="99"/>
      <c r="G4" s="100"/>
      <c r="H4" s="101" t="s">
        <v>132</v>
      </c>
      <c r="I4" s="101"/>
      <c r="J4" s="101"/>
      <c r="K4" s="101"/>
      <c r="L4" s="101"/>
      <c r="M4" s="101"/>
      <c r="N4" s="165" t="s">
        <v>133</v>
      </c>
      <c r="O4" s="165"/>
      <c r="P4" s="165"/>
      <c r="Q4" s="165"/>
      <c r="R4" s="165"/>
      <c r="S4" s="165"/>
      <c r="T4" s="189" t="s">
        <v>134</v>
      </c>
      <c r="U4" s="189" t="s">
        <v>135</v>
      </c>
    </row>
    <row r="5" ht="15" customHeight="1" spans="1:21">
      <c r="A5" s="102"/>
      <c r="B5" s="103" t="s">
        <v>136</v>
      </c>
      <c r="C5" s="103" t="s">
        <v>113</v>
      </c>
      <c r="D5" s="103" t="s">
        <v>114</v>
      </c>
      <c r="E5" s="103" t="s">
        <v>116</v>
      </c>
      <c r="F5" s="103" t="s">
        <v>121</v>
      </c>
      <c r="G5" s="103" t="s">
        <v>119</v>
      </c>
      <c r="H5" s="104" t="s">
        <v>136</v>
      </c>
      <c r="I5" s="104" t="s">
        <v>113</v>
      </c>
      <c r="J5" s="104" t="s">
        <v>114</v>
      </c>
      <c r="K5" s="104" t="s">
        <v>116</v>
      </c>
      <c r="L5" s="103" t="s">
        <v>121</v>
      </c>
      <c r="M5" s="103" t="s">
        <v>119</v>
      </c>
      <c r="N5" s="97" t="s">
        <v>137</v>
      </c>
      <c r="O5" s="97" t="s">
        <v>138</v>
      </c>
      <c r="P5" s="97" t="s">
        <v>114</v>
      </c>
      <c r="Q5" s="97" t="s">
        <v>116</v>
      </c>
      <c r="R5" s="97" t="s">
        <v>139</v>
      </c>
      <c r="S5" s="97" t="s">
        <v>119</v>
      </c>
      <c r="T5" s="190"/>
      <c r="U5" s="190"/>
    </row>
    <row r="6" ht="22.5" customHeight="1" spans="1:21">
      <c r="A6" s="105"/>
      <c r="B6" s="106" t="s">
        <v>140</v>
      </c>
      <c r="C6" s="106" t="s">
        <v>140</v>
      </c>
      <c r="D6" s="106" t="s">
        <v>140</v>
      </c>
      <c r="E6" s="106" t="s">
        <v>140</v>
      </c>
      <c r="F6" s="106" t="s">
        <v>140</v>
      </c>
      <c r="G6" s="106" t="s">
        <v>140</v>
      </c>
      <c r="H6" s="107" t="s">
        <v>140</v>
      </c>
      <c r="I6" s="107" t="s">
        <v>140</v>
      </c>
      <c r="J6" s="107" t="s">
        <v>140</v>
      </c>
      <c r="K6" s="107" t="s">
        <v>140</v>
      </c>
      <c r="L6" s="106" t="s">
        <v>140</v>
      </c>
      <c r="M6" s="106" t="s">
        <v>140</v>
      </c>
      <c r="N6" s="106" t="s">
        <v>140</v>
      </c>
      <c r="O6" s="106" t="s">
        <v>140</v>
      </c>
      <c r="P6" s="106" t="s">
        <v>140</v>
      </c>
      <c r="Q6" s="106" t="s">
        <v>140</v>
      </c>
      <c r="R6" s="106" t="s">
        <v>140</v>
      </c>
      <c r="S6" s="106" t="s">
        <v>140</v>
      </c>
      <c r="T6" s="105" t="s">
        <v>141</v>
      </c>
      <c r="U6" s="105" t="s">
        <v>142</v>
      </c>
    </row>
    <row r="7" ht="12.95" customHeight="1" spans="1:23">
      <c r="A7" s="108">
        <v>1</v>
      </c>
      <c r="B7" s="109">
        <v>195</v>
      </c>
      <c r="C7" s="110">
        <v>97.6</v>
      </c>
      <c r="D7" s="111">
        <v>88</v>
      </c>
      <c r="E7" s="112">
        <v>2.94</v>
      </c>
      <c r="F7" s="110">
        <v>21.7</v>
      </c>
      <c r="G7" s="113">
        <v>28.1</v>
      </c>
      <c r="H7" s="114">
        <v>39</v>
      </c>
      <c r="I7" s="112" t="s">
        <v>143</v>
      </c>
      <c r="J7" s="114">
        <v>18</v>
      </c>
      <c r="K7" s="112">
        <v>0.29</v>
      </c>
      <c r="L7" s="166">
        <v>0.58</v>
      </c>
      <c r="M7" s="166">
        <v>7.94</v>
      </c>
      <c r="N7" s="111">
        <v>21</v>
      </c>
      <c r="O7" s="167" t="s">
        <v>143</v>
      </c>
      <c r="P7" s="111">
        <v>6</v>
      </c>
      <c r="Q7" s="166">
        <v>0.12</v>
      </c>
      <c r="R7" s="172">
        <v>0.39</v>
      </c>
      <c r="S7" s="166">
        <v>7.05</v>
      </c>
      <c r="T7" s="118">
        <v>77.6</v>
      </c>
      <c r="U7" s="115" t="s">
        <v>124</v>
      </c>
      <c r="V7" s="191"/>
      <c r="W7" s="192">
        <f>1-S7/G7</f>
        <v>0.749110320284698</v>
      </c>
    </row>
    <row r="8" ht="12.95" customHeight="1" spans="1:23">
      <c r="A8" s="108">
        <v>2</v>
      </c>
      <c r="B8" s="109">
        <v>110</v>
      </c>
      <c r="C8" s="110">
        <v>56.4</v>
      </c>
      <c r="D8" s="111">
        <v>98</v>
      </c>
      <c r="E8" s="115">
        <v>2.79</v>
      </c>
      <c r="F8" s="113">
        <v>20.6</v>
      </c>
      <c r="G8" s="113">
        <v>26.5</v>
      </c>
      <c r="H8" s="114">
        <v>27</v>
      </c>
      <c r="I8" s="112" t="s">
        <v>143</v>
      </c>
      <c r="J8" s="114">
        <v>14</v>
      </c>
      <c r="K8" s="112">
        <v>0.16</v>
      </c>
      <c r="L8" s="166">
        <v>0.43</v>
      </c>
      <c r="M8" s="166">
        <v>7.2</v>
      </c>
      <c r="N8" s="111">
        <v>22</v>
      </c>
      <c r="O8" s="167" t="s">
        <v>143</v>
      </c>
      <c r="P8" s="111">
        <v>6</v>
      </c>
      <c r="Q8" s="166">
        <v>0.1</v>
      </c>
      <c r="R8" s="172">
        <v>0.42</v>
      </c>
      <c r="S8" s="166">
        <v>6.58</v>
      </c>
      <c r="T8" s="118">
        <v>78.8</v>
      </c>
      <c r="U8" s="115" t="s">
        <v>124</v>
      </c>
      <c r="V8" s="191"/>
      <c r="W8" s="192">
        <f t="shared" ref="W8:W37" si="0">1-S8/G8</f>
        <v>0.751698113207547</v>
      </c>
    </row>
    <row r="9" ht="12.95" customHeight="1" spans="1:23">
      <c r="A9" s="108">
        <v>3</v>
      </c>
      <c r="B9" s="109">
        <v>184</v>
      </c>
      <c r="C9" s="110">
        <v>96.2</v>
      </c>
      <c r="D9" s="111">
        <v>110</v>
      </c>
      <c r="E9" s="112">
        <v>3.94</v>
      </c>
      <c r="F9" s="113">
        <v>17.8</v>
      </c>
      <c r="G9" s="113">
        <v>24.3</v>
      </c>
      <c r="H9" s="114">
        <v>35</v>
      </c>
      <c r="I9" s="112" t="s">
        <v>143</v>
      </c>
      <c r="J9" s="114">
        <v>18</v>
      </c>
      <c r="K9" s="112">
        <v>0.31</v>
      </c>
      <c r="L9" s="166">
        <v>0.47</v>
      </c>
      <c r="M9" s="166">
        <v>7</v>
      </c>
      <c r="N9" s="111">
        <v>24</v>
      </c>
      <c r="O9" s="167" t="s">
        <v>143</v>
      </c>
      <c r="P9" s="111">
        <v>7</v>
      </c>
      <c r="Q9" s="166">
        <v>0.11</v>
      </c>
      <c r="R9" s="172">
        <v>0.45</v>
      </c>
      <c r="S9" s="166">
        <v>6.74</v>
      </c>
      <c r="T9" s="118">
        <v>76.6</v>
      </c>
      <c r="U9" s="115" t="s">
        <v>124</v>
      </c>
      <c r="V9" s="191"/>
      <c r="W9" s="192">
        <f t="shared" si="0"/>
        <v>0.722633744855967</v>
      </c>
    </row>
    <row r="10" ht="12.95" customHeight="1" spans="1:23">
      <c r="A10" s="108">
        <v>4</v>
      </c>
      <c r="B10" s="109">
        <v>240</v>
      </c>
      <c r="C10" s="116">
        <v>127</v>
      </c>
      <c r="D10" s="111">
        <v>84</v>
      </c>
      <c r="E10" s="112">
        <v>4.56</v>
      </c>
      <c r="F10" s="113">
        <v>17.9</v>
      </c>
      <c r="G10" s="113">
        <v>25</v>
      </c>
      <c r="H10" s="114">
        <v>35</v>
      </c>
      <c r="I10" s="112" t="s">
        <v>143</v>
      </c>
      <c r="J10" s="114">
        <v>18</v>
      </c>
      <c r="K10" s="112">
        <v>0.26</v>
      </c>
      <c r="L10" s="166">
        <v>0.42</v>
      </c>
      <c r="M10" s="166">
        <v>6.81</v>
      </c>
      <c r="N10" s="111">
        <v>24</v>
      </c>
      <c r="O10" s="167" t="s">
        <v>143</v>
      </c>
      <c r="P10" s="111">
        <v>5</v>
      </c>
      <c r="Q10" s="166">
        <v>0.13</v>
      </c>
      <c r="R10" s="172">
        <v>0.38</v>
      </c>
      <c r="S10" s="166">
        <v>6.31</v>
      </c>
      <c r="T10" s="118">
        <v>77.8</v>
      </c>
      <c r="U10" s="115">
        <v>60</v>
      </c>
      <c r="V10" s="191"/>
      <c r="W10" s="192">
        <f t="shared" si="0"/>
        <v>0.7476</v>
      </c>
    </row>
    <row r="11" ht="12.95" customHeight="1" spans="1:23">
      <c r="A11" s="108">
        <v>5</v>
      </c>
      <c r="B11" s="109">
        <v>128</v>
      </c>
      <c r="C11" s="110">
        <v>66.6</v>
      </c>
      <c r="D11" s="111">
        <v>66</v>
      </c>
      <c r="E11" s="112">
        <v>4.86</v>
      </c>
      <c r="F11" s="117">
        <v>17.1</v>
      </c>
      <c r="G11" s="113">
        <v>23.4</v>
      </c>
      <c r="H11" s="114">
        <v>34</v>
      </c>
      <c r="I11" s="112" t="s">
        <v>143</v>
      </c>
      <c r="J11" s="114">
        <v>19</v>
      </c>
      <c r="K11" s="112">
        <v>0.21</v>
      </c>
      <c r="L11" s="166">
        <v>0.51</v>
      </c>
      <c r="M11" s="166">
        <v>7.05</v>
      </c>
      <c r="N11" s="111">
        <v>26</v>
      </c>
      <c r="O11" s="167" t="s">
        <v>143</v>
      </c>
      <c r="P11" s="111">
        <v>5</v>
      </c>
      <c r="Q11" s="166">
        <v>0.11</v>
      </c>
      <c r="R11" s="172">
        <v>0.47</v>
      </c>
      <c r="S11" s="166">
        <v>6.64</v>
      </c>
      <c r="T11" s="118">
        <v>78.8</v>
      </c>
      <c r="U11" s="115"/>
      <c r="V11" s="191"/>
      <c r="W11" s="192">
        <f t="shared" si="0"/>
        <v>0.716239316239316</v>
      </c>
    </row>
    <row r="12" ht="12.95" customHeight="1" spans="1:23">
      <c r="A12" s="108">
        <v>6</v>
      </c>
      <c r="B12" s="109">
        <v>103</v>
      </c>
      <c r="C12" s="110">
        <v>54.4</v>
      </c>
      <c r="D12" s="111">
        <v>78</v>
      </c>
      <c r="E12" s="112">
        <v>2.84</v>
      </c>
      <c r="F12" s="110">
        <v>21.3</v>
      </c>
      <c r="G12" s="113">
        <v>26.2</v>
      </c>
      <c r="H12" s="114">
        <v>32</v>
      </c>
      <c r="I12" s="112" t="s">
        <v>143</v>
      </c>
      <c r="J12" s="114">
        <v>12</v>
      </c>
      <c r="K12" s="112">
        <v>0.22</v>
      </c>
      <c r="L12" s="166">
        <v>0.37</v>
      </c>
      <c r="M12" s="166">
        <v>7.15</v>
      </c>
      <c r="N12" s="111">
        <v>27</v>
      </c>
      <c r="O12" s="167" t="s">
        <v>143</v>
      </c>
      <c r="P12" s="111">
        <v>5</v>
      </c>
      <c r="Q12" s="166">
        <v>0.1</v>
      </c>
      <c r="R12" s="172">
        <v>0.36</v>
      </c>
      <c r="S12" s="166">
        <v>6.83</v>
      </c>
      <c r="T12" s="118">
        <v>77.7</v>
      </c>
      <c r="U12" s="115"/>
      <c r="V12" s="191"/>
      <c r="W12" s="192">
        <f t="shared" si="0"/>
        <v>0.739312977099237</v>
      </c>
    </row>
    <row r="13" ht="12.95" customHeight="1" spans="1:23">
      <c r="A13" s="108">
        <v>7</v>
      </c>
      <c r="B13" s="109">
        <v>242</v>
      </c>
      <c r="C13" s="116">
        <v>128</v>
      </c>
      <c r="D13" s="111">
        <v>164</v>
      </c>
      <c r="E13" s="112">
        <v>4.26</v>
      </c>
      <c r="F13" s="110">
        <v>18.4</v>
      </c>
      <c r="G13" s="113">
        <v>23.7</v>
      </c>
      <c r="H13" s="114">
        <v>37</v>
      </c>
      <c r="I13" s="112" t="s">
        <v>143</v>
      </c>
      <c r="J13" s="114">
        <v>19</v>
      </c>
      <c r="K13" s="112">
        <v>0.3</v>
      </c>
      <c r="L13" s="166">
        <v>0.45</v>
      </c>
      <c r="M13" s="166">
        <v>7.4</v>
      </c>
      <c r="N13" s="111">
        <v>28</v>
      </c>
      <c r="O13" s="167" t="s">
        <v>143</v>
      </c>
      <c r="P13" s="111">
        <v>7</v>
      </c>
      <c r="Q13" s="166">
        <v>0.14</v>
      </c>
      <c r="R13" s="172">
        <v>0.4</v>
      </c>
      <c r="S13" s="166">
        <v>7.1</v>
      </c>
      <c r="T13" s="118">
        <v>77.7</v>
      </c>
      <c r="U13" s="115" t="s">
        <v>124</v>
      </c>
      <c r="V13" s="191"/>
      <c r="W13" s="192">
        <f t="shared" si="0"/>
        <v>0.70042194092827</v>
      </c>
    </row>
    <row r="14" ht="12.95" customHeight="1" spans="1:23">
      <c r="A14" s="108">
        <v>8</v>
      </c>
      <c r="B14" s="109">
        <v>164</v>
      </c>
      <c r="C14" s="110">
        <v>86.9</v>
      </c>
      <c r="D14" s="111">
        <v>76</v>
      </c>
      <c r="E14" s="112">
        <v>4.73</v>
      </c>
      <c r="F14" s="118">
        <v>16.4</v>
      </c>
      <c r="G14" s="113">
        <v>22.7</v>
      </c>
      <c r="H14" s="114">
        <v>30</v>
      </c>
      <c r="I14" s="112" t="s">
        <v>143</v>
      </c>
      <c r="J14" s="114">
        <v>16</v>
      </c>
      <c r="K14" s="112">
        <v>0.24</v>
      </c>
      <c r="L14" s="166">
        <v>0.42</v>
      </c>
      <c r="M14" s="166">
        <v>7.45</v>
      </c>
      <c r="N14" s="111">
        <v>22</v>
      </c>
      <c r="O14" s="167" t="s">
        <v>143</v>
      </c>
      <c r="P14" s="111">
        <v>5</v>
      </c>
      <c r="Q14" s="166">
        <v>0.13</v>
      </c>
      <c r="R14" s="172">
        <v>0.34</v>
      </c>
      <c r="S14" s="166">
        <v>7.15</v>
      </c>
      <c r="T14" s="118">
        <v>78.6</v>
      </c>
      <c r="U14" s="115" t="s">
        <v>124</v>
      </c>
      <c r="V14" s="191"/>
      <c r="W14" s="192">
        <f t="shared" si="0"/>
        <v>0.685022026431718</v>
      </c>
    </row>
    <row r="15" ht="12.95" customHeight="1" spans="1:23">
      <c r="A15" s="108">
        <v>9</v>
      </c>
      <c r="B15" s="109">
        <v>175</v>
      </c>
      <c r="C15" s="110">
        <v>96.2</v>
      </c>
      <c r="D15" s="111">
        <v>84</v>
      </c>
      <c r="E15" s="112">
        <v>3.57</v>
      </c>
      <c r="F15" s="113">
        <v>15.3</v>
      </c>
      <c r="G15" s="113">
        <v>21.5</v>
      </c>
      <c r="H15" s="114">
        <v>29</v>
      </c>
      <c r="I15" s="112" t="s">
        <v>143</v>
      </c>
      <c r="J15" s="114">
        <v>15</v>
      </c>
      <c r="K15" s="112">
        <v>0.18</v>
      </c>
      <c r="L15" s="166">
        <v>0.48</v>
      </c>
      <c r="M15" s="166">
        <v>7.6</v>
      </c>
      <c r="N15" s="111">
        <v>26</v>
      </c>
      <c r="O15" s="167" t="s">
        <v>143</v>
      </c>
      <c r="P15" s="111">
        <v>5</v>
      </c>
      <c r="Q15" s="166">
        <v>0.15</v>
      </c>
      <c r="R15" s="172">
        <v>0.38</v>
      </c>
      <c r="S15" s="166">
        <v>6.26</v>
      </c>
      <c r="T15" s="118">
        <v>77.1</v>
      </c>
      <c r="U15" s="115" t="s">
        <v>124</v>
      </c>
      <c r="V15" s="191"/>
      <c r="W15" s="192">
        <f t="shared" si="0"/>
        <v>0.708837209302326</v>
      </c>
    </row>
    <row r="16" ht="12.95" customHeight="1" spans="1:23">
      <c r="A16" s="108">
        <v>10</v>
      </c>
      <c r="B16" s="109">
        <v>142</v>
      </c>
      <c r="C16" s="119">
        <v>74.9</v>
      </c>
      <c r="D16" s="111">
        <v>72</v>
      </c>
      <c r="E16" s="112">
        <v>2.13</v>
      </c>
      <c r="F16" s="113">
        <v>20.7</v>
      </c>
      <c r="G16" s="113">
        <v>26.7</v>
      </c>
      <c r="H16" s="114">
        <v>33</v>
      </c>
      <c r="I16" s="168" t="s">
        <v>143</v>
      </c>
      <c r="J16" s="114">
        <v>16</v>
      </c>
      <c r="K16" s="112">
        <v>0.18</v>
      </c>
      <c r="L16" s="166">
        <v>0.53</v>
      </c>
      <c r="M16" s="166">
        <v>8.39</v>
      </c>
      <c r="N16" s="111">
        <v>27</v>
      </c>
      <c r="O16" s="167" t="s">
        <v>143</v>
      </c>
      <c r="P16" s="111">
        <v>6</v>
      </c>
      <c r="Q16" s="166">
        <v>0.15</v>
      </c>
      <c r="R16" s="172">
        <v>0.5</v>
      </c>
      <c r="S16" s="166">
        <v>7.4</v>
      </c>
      <c r="T16" s="118">
        <v>78.6</v>
      </c>
      <c r="U16" s="115" t="s">
        <v>124</v>
      </c>
      <c r="V16" s="191"/>
      <c r="W16" s="192">
        <f t="shared" si="0"/>
        <v>0.722846441947566</v>
      </c>
    </row>
    <row r="17" ht="12.95" customHeight="1" spans="1:23">
      <c r="A17" s="108">
        <v>11</v>
      </c>
      <c r="B17" s="109">
        <v>199</v>
      </c>
      <c r="C17" s="116">
        <v>103</v>
      </c>
      <c r="D17" s="111">
        <v>100</v>
      </c>
      <c r="E17" s="112">
        <v>3.1</v>
      </c>
      <c r="F17" s="110">
        <v>20.9</v>
      </c>
      <c r="G17" s="113">
        <v>26.3</v>
      </c>
      <c r="H17" s="114">
        <v>37</v>
      </c>
      <c r="I17" s="112" t="s">
        <v>143</v>
      </c>
      <c r="J17" s="114">
        <v>17</v>
      </c>
      <c r="K17" s="112">
        <v>0.24</v>
      </c>
      <c r="L17" s="166">
        <v>0.47</v>
      </c>
      <c r="M17" s="166">
        <v>7.88</v>
      </c>
      <c r="N17" s="111">
        <v>30</v>
      </c>
      <c r="O17" s="167" t="s">
        <v>143</v>
      </c>
      <c r="P17" s="111">
        <v>5</v>
      </c>
      <c r="Q17" s="166">
        <v>0.16</v>
      </c>
      <c r="R17" s="172">
        <v>0.51</v>
      </c>
      <c r="S17" s="166">
        <v>7.7</v>
      </c>
      <c r="T17" s="118">
        <v>76.6</v>
      </c>
      <c r="U17" s="115" t="s">
        <v>124</v>
      </c>
      <c r="V17" s="191"/>
      <c r="W17" s="192">
        <f t="shared" si="0"/>
        <v>0.707224334600761</v>
      </c>
    </row>
    <row r="18" ht="12.95" customHeight="1" spans="1:23">
      <c r="A18" s="108">
        <v>12</v>
      </c>
      <c r="B18" s="111">
        <v>148</v>
      </c>
      <c r="C18" s="110">
        <v>78.4</v>
      </c>
      <c r="D18" s="120">
        <v>86</v>
      </c>
      <c r="E18" s="112">
        <v>2.67</v>
      </c>
      <c r="F18" s="113">
        <v>21.1</v>
      </c>
      <c r="G18" s="113">
        <v>27.6</v>
      </c>
      <c r="H18" s="114">
        <v>34</v>
      </c>
      <c r="I18" s="112" t="s">
        <v>143</v>
      </c>
      <c r="J18" s="60">
        <v>15</v>
      </c>
      <c r="K18" s="112">
        <v>0.33</v>
      </c>
      <c r="L18" s="166">
        <v>0.4</v>
      </c>
      <c r="M18" s="166">
        <v>7.4</v>
      </c>
      <c r="N18" s="111">
        <v>29</v>
      </c>
      <c r="O18" s="167" t="s">
        <v>143</v>
      </c>
      <c r="P18" s="111">
        <v>5</v>
      </c>
      <c r="Q18" s="166">
        <v>0.16</v>
      </c>
      <c r="R18" s="172">
        <v>0.38</v>
      </c>
      <c r="S18" s="169">
        <v>7.1</v>
      </c>
      <c r="T18" s="118">
        <v>77.7</v>
      </c>
      <c r="U18" s="115"/>
      <c r="V18" s="191"/>
      <c r="W18" s="192">
        <f t="shared" si="0"/>
        <v>0.742753623188406</v>
      </c>
    </row>
    <row r="19" ht="12.95" customHeight="1" spans="1:23">
      <c r="A19" s="108">
        <v>13</v>
      </c>
      <c r="B19" s="109">
        <v>189</v>
      </c>
      <c r="C19" s="116">
        <v>102</v>
      </c>
      <c r="D19" s="120">
        <v>124</v>
      </c>
      <c r="E19" s="112">
        <v>2.58</v>
      </c>
      <c r="F19" s="113">
        <v>25</v>
      </c>
      <c r="G19" s="113">
        <v>30.6</v>
      </c>
      <c r="H19" s="114">
        <v>36</v>
      </c>
      <c r="I19" s="112" t="s">
        <v>143</v>
      </c>
      <c r="J19" s="60">
        <v>18</v>
      </c>
      <c r="K19" s="112">
        <v>0.21</v>
      </c>
      <c r="L19" s="166">
        <v>0.58</v>
      </c>
      <c r="M19" s="166">
        <v>10.2</v>
      </c>
      <c r="N19" s="111">
        <v>30</v>
      </c>
      <c r="O19" s="167" t="s">
        <v>143</v>
      </c>
      <c r="P19" s="111">
        <v>5</v>
      </c>
      <c r="Q19" s="166">
        <v>0.15</v>
      </c>
      <c r="R19" s="172">
        <v>0.51</v>
      </c>
      <c r="S19" s="166">
        <v>8.99</v>
      </c>
      <c r="T19" s="118">
        <v>77.3</v>
      </c>
      <c r="U19" s="115"/>
      <c r="V19" s="191"/>
      <c r="W19" s="192">
        <f t="shared" si="0"/>
        <v>0.706209150326797</v>
      </c>
    </row>
    <row r="20" ht="12.95" customHeight="1" spans="1:23">
      <c r="A20" s="108">
        <v>14</v>
      </c>
      <c r="B20" s="109">
        <v>134</v>
      </c>
      <c r="C20" s="119">
        <v>72.4</v>
      </c>
      <c r="D20" s="111">
        <v>112</v>
      </c>
      <c r="E20" s="112">
        <v>2.45</v>
      </c>
      <c r="F20" s="118">
        <v>17.3</v>
      </c>
      <c r="G20" s="113">
        <v>25.1</v>
      </c>
      <c r="H20" s="114">
        <v>35</v>
      </c>
      <c r="I20" s="168" t="s">
        <v>143</v>
      </c>
      <c r="J20" s="114">
        <v>17</v>
      </c>
      <c r="K20" s="112">
        <v>0.29</v>
      </c>
      <c r="L20" s="166">
        <v>0.5</v>
      </c>
      <c r="M20" s="166">
        <v>8.94</v>
      </c>
      <c r="N20" s="111">
        <v>29</v>
      </c>
      <c r="O20" s="167" t="s">
        <v>143</v>
      </c>
      <c r="P20" s="111">
        <v>5</v>
      </c>
      <c r="Q20" s="166">
        <v>0.19</v>
      </c>
      <c r="R20" s="172">
        <v>0.41</v>
      </c>
      <c r="S20" s="166">
        <v>8.14</v>
      </c>
      <c r="T20" s="118">
        <v>76.5</v>
      </c>
      <c r="U20" s="115" t="s">
        <v>124</v>
      </c>
      <c r="V20" s="191"/>
      <c r="W20" s="192">
        <f t="shared" si="0"/>
        <v>0.675697211155379</v>
      </c>
    </row>
    <row r="21" ht="12.95" customHeight="1" spans="1:23">
      <c r="A21" s="108">
        <v>15</v>
      </c>
      <c r="B21" s="109">
        <v>206</v>
      </c>
      <c r="C21" s="116">
        <v>109</v>
      </c>
      <c r="D21" s="111">
        <v>100</v>
      </c>
      <c r="E21" s="112">
        <v>2.86</v>
      </c>
      <c r="F21" s="110">
        <v>16.8</v>
      </c>
      <c r="G21" s="113">
        <v>24.3</v>
      </c>
      <c r="H21" s="114">
        <v>39</v>
      </c>
      <c r="I21" s="112" t="s">
        <v>143</v>
      </c>
      <c r="J21" s="114">
        <v>19</v>
      </c>
      <c r="K21" s="112">
        <v>0.27</v>
      </c>
      <c r="L21" s="166">
        <v>0.52</v>
      </c>
      <c r="M21" s="166">
        <v>6.78</v>
      </c>
      <c r="N21" s="111">
        <v>25</v>
      </c>
      <c r="O21" s="167" t="s">
        <v>143</v>
      </c>
      <c r="P21" s="111">
        <v>5</v>
      </c>
      <c r="Q21" s="166">
        <v>0.16</v>
      </c>
      <c r="R21" s="172">
        <v>0.43</v>
      </c>
      <c r="S21" s="166">
        <v>6.56</v>
      </c>
      <c r="T21" s="118">
        <v>77.3</v>
      </c>
      <c r="U21" s="115" t="s">
        <v>124</v>
      </c>
      <c r="V21" s="191"/>
      <c r="W21" s="192">
        <f t="shared" si="0"/>
        <v>0.730041152263375</v>
      </c>
    </row>
    <row r="22" ht="12" customHeight="1" spans="1:23">
      <c r="A22" s="108">
        <v>16</v>
      </c>
      <c r="B22" s="109">
        <v>250</v>
      </c>
      <c r="C22" s="116">
        <v>128</v>
      </c>
      <c r="D22" s="111">
        <v>130</v>
      </c>
      <c r="E22" s="112">
        <v>2.85</v>
      </c>
      <c r="F22" s="110">
        <v>20.7</v>
      </c>
      <c r="G22" s="113">
        <v>27.4</v>
      </c>
      <c r="H22" s="114">
        <v>24</v>
      </c>
      <c r="I22" s="112" t="s">
        <v>143</v>
      </c>
      <c r="J22" s="114">
        <v>15</v>
      </c>
      <c r="K22" s="112">
        <v>0.18</v>
      </c>
      <c r="L22" s="166">
        <v>0.36</v>
      </c>
      <c r="M22" s="166">
        <v>8.02</v>
      </c>
      <c r="N22" s="111">
        <v>21</v>
      </c>
      <c r="O22" s="167" t="s">
        <v>143</v>
      </c>
      <c r="P22" s="111">
        <v>5</v>
      </c>
      <c r="Q22" s="166">
        <v>0.14</v>
      </c>
      <c r="R22" s="172">
        <v>0.34</v>
      </c>
      <c r="S22" s="166">
        <v>7.45</v>
      </c>
      <c r="T22" s="118">
        <v>77.6</v>
      </c>
      <c r="U22" s="115">
        <v>200</v>
      </c>
      <c r="V22" s="191"/>
      <c r="W22" s="192">
        <f t="shared" si="0"/>
        <v>0.728102189781022</v>
      </c>
    </row>
    <row r="23" ht="12.95" customHeight="1" spans="1:23">
      <c r="A23" s="108">
        <v>17</v>
      </c>
      <c r="B23" s="109">
        <v>200</v>
      </c>
      <c r="C23" s="116">
        <v>102</v>
      </c>
      <c r="D23" s="111">
        <v>110</v>
      </c>
      <c r="E23" s="112">
        <v>2.46</v>
      </c>
      <c r="F23" s="110">
        <v>16.6</v>
      </c>
      <c r="G23" s="113">
        <v>22.5</v>
      </c>
      <c r="H23" s="114">
        <v>32</v>
      </c>
      <c r="I23" s="112" t="s">
        <v>143</v>
      </c>
      <c r="J23" s="114">
        <v>16</v>
      </c>
      <c r="K23" s="112">
        <v>0.21</v>
      </c>
      <c r="L23" s="166">
        <v>0.56</v>
      </c>
      <c r="M23" s="166">
        <v>7.15</v>
      </c>
      <c r="N23" s="111">
        <v>21</v>
      </c>
      <c r="O23" s="167" t="s">
        <v>143</v>
      </c>
      <c r="P23" s="111">
        <v>5</v>
      </c>
      <c r="Q23" s="166">
        <v>0.13</v>
      </c>
      <c r="R23" s="172">
        <v>0.31</v>
      </c>
      <c r="S23" s="166">
        <v>7</v>
      </c>
      <c r="T23" s="118">
        <v>77.2</v>
      </c>
      <c r="U23" s="115" t="s">
        <v>124</v>
      </c>
      <c r="V23" s="191"/>
      <c r="W23" s="192">
        <f t="shared" si="0"/>
        <v>0.688888888888889</v>
      </c>
    </row>
    <row r="24" ht="12.95" customHeight="1" spans="1:23">
      <c r="A24" s="108">
        <v>18</v>
      </c>
      <c r="B24" s="115">
        <v>120</v>
      </c>
      <c r="C24" s="110">
        <v>63.5</v>
      </c>
      <c r="D24" s="111">
        <v>88</v>
      </c>
      <c r="E24" s="112">
        <v>2.18</v>
      </c>
      <c r="F24" s="110">
        <v>17.3</v>
      </c>
      <c r="G24" s="113">
        <v>23</v>
      </c>
      <c r="H24" s="114">
        <v>34</v>
      </c>
      <c r="I24" s="112" t="s">
        <v>143</v>
      </c>
      <c r="J24" s="114">
        <v>14</v>
      </c>
      <c r="K24" s="112">
        <v>0.22</v>
      </c>
      <c r="L24" s="166">
        <v>0.38</v>
      </c>
      <c r="M24" s="110">
        <v>6.85</v>
      </c>
      <c r="N24" s="111">
        <v>26</v>
      </c>
      <c r="O24" s="167" t="s">
        <v>143</v>
      </c>
      <c r="P24" s="111">
        <v>5</v>
      </c>
      <c r="Q24" s="166">
        <v>0.13</v>
      </c>
      <c r="R24" s="172">
        <v>0.36</v>
      </c>
      <c r="S24" s="166">
        <v>6.25</v>
      </c>
      <c r="T24" s="118">
        <v>77.8</v>
      </c>
      <c r="U24" s="115">
        <v>170</v>
      </c>
      <c r="V24" s="191"/>
      <c r="W24" s="192">
        <f t="shared" si="0"/>
        <v>0.728260869565217</v>
      </c>
    </row>
    <row r="25" ht="12.95" customHeight="1" spans="1:23">
      <c r="A25" s="108">
        <v>19</v>
      </c>
      <c r="B25" s="115">
        <v>198</v>
      </c>
      <c r="C25" s="121">
        <v>105</v>
      </c>
      <c r="D25" s="111">
        <v>74</v>
      </c>
      <c r="E25" s="112">
        <v>1.87</v>
      </c>
      <c r="F25" s="113">
        <v>11.2</v>
      </c>
      <c r="G25" s="113">
        <v>17</v>
      </c>
      <c r="H25" s="114">
        <v>33</v>
      </c>
      <c r="I25" s="168" t="s">
        <v>143</v>
      </c>
      <c r="J25" s="114">
        <v>16</v>
      </c>
      <c r="K25" s="112">
        <v>0.24</v>
      </c>
      <c r="L25" s="166">
        <v>0.4</v>
      </c>
      <c r="M25" s="110">
        <v>7</v>
      </c>
      <c r="N25" s="111">
        <v>29</v>
      </c>
      <c r="O25" s="167" t="s">
        <v>143</v>
      </c>
      <c r="P25" s="111">
        <v>5</v>
      </c>
      <c r="Q25" s="166">
        <v>0.13</v>
      </c>
      <c r="R25" s="172">
        <v>0.35</v>
      </c>
      <c r="S25" s="166">
        <v>6.95</v>
      </c>
      <c r="T25" s="118">
        <v>76.6</v>
      </c>
      <c r="U25" s="115"/>
      <c r="V25" s="191"/>
      <c r="W25" s="192">
        <f t="shared" si="0"/>
        <v>0.591176470588235</v>
      </c>
    </row>
    <row r="26" ht="12.95" customHeight="1" spans="1:23">
      <c r="A26" s="108">
        <v>20</v>
      </c>
      <c r="B26" s="115">
        <v>217</v>
      </c>
      <c r="C26" s="116">
        <v>115</v>
      </c>
      <c r="D26" s="111">
        <v>87</v>
      </c>
      <c r="E26" s="112">
        <v>2.58</v>
      </c>
      <c r="F26" s="113">
        <v>17.2</v>
      </c>
      <c r="G26" s="113">
        <v>25.2</v>
      </c>
      <c r="H26" s="114">
        <v>34</v>
      </c>
      <c r="I26" s="112" t="s">
        <v>143</v>
      </c>
      <c r="J26" s="114">
        <v>15</v>
      </c>
      <c r="K26" s="112">
        <v>0.19</v>
      </c>
      <c r="L26" s="166">
        <v>0.4</v>
      </c>
      <c r="M26" s="166">
        <v>9.24</v>
      </c>
      <c r="N26" s="111">
        <v>24</v>
      </c>
      <c r="O26" s="167" t="s">
        <v>143</v>
      </c>
      <c r="P26" s="111">
        <v>5</v>
      </c>
      <c r="Q26" s="166">
        <v>0.1</v>
      </c>
      <c r="R26" s="172">
        <v>0.38</v>
      </c>
      <c r="S26" s="166">
        <v>9.04</v>
      </c>
      <c r="T26" s="118">
        <v>78.8</v>
      </c>
      <c r="U26" s="115"/>
      <c r="V26" s="191"/>
      <c r="W26" s="192">
        <f t="shared" si="0"/>
        <v>0.641269841269841</v>
      </c>
    </row>
    <row r="27" ht="12.95" customHeight="1" spans="1:23">
      <c r="A27" s="108">
        <v>21</v>
      </c>
      <c r="B27" s="115">
        <v>183</v>
      </c>
      <c r="C27" s="110">
        <v>95.9</v>
      </c>
      <c r="D27" s="111">
        <v>114</v>
      </c>
      <c r="E27" s="112">
        <v>2.06</v>
      </c>
      <c r="F27" s="118">
        <v>23.3</v>
      </c>
      <c r="G27" s="113">
        <v>29.8</v>
      </c>
      <c r="H27" s="114">
        <v>35</v>
      </c>
      <c r="I27" s="112">
        <v>2.14</v>
      </c>
      <c r="J27" s="114">
        <v>12</v>
      </c>
      <c r="K27" s="112">
        <v>0.28</v>
      </c>
      <c r="L27" s="166">
        <v>0.54</v>
      </c>
      <c r="M27" s="166">
        <v>8.74</v>
      </c>
      <c r="N27" s="111">
        <v>26</v>
      </c>
      <c r="O27" s="167" t="s">
        <v>143</v>
      </c>
      <c r="P27" s="111">
        <v>5</v>
      </c>
      <c r="Q27" s="166">
        <v>0.14</v>
      </c>
      <c r="R27" s="172">
        <v>0.44</v>
      </c>
      <c r="S27" s="166">
        <v>8.54</v>
      </c>
      <c r="T27" s="118">
        <v>77.1</v>
      </c>
      <c r="U27" s="115" t="s">
        <v>124</v>
      </c>
      <c r="V27" s="191"/>
      <c r="W27" s="192">
        <f t="shared" si="0"/>
        <v>0.713422818791946</v>
      </c>
    </row>
    <row r="28" ht="12.95" customHeight="1" spans="1:23">
      <c r="A28" s="108">
        <v>22</v>
      </c>
      <c r="B28" s="115">
        <v>124</v>
      </c>
      <c r="C28" s="110">
        <v>64.4</v>
      </c>
      <c r="D28" s="111">
        <v>74</v>
      </c>
      <c r="E28" s="112">
        <v>2.21</v>
      </c>
      <c r="F28" s="118">
        <v>21.4</v>
      </c>
      <c r="G28" s="113">
        <v>26.8</v>
      </c>
      <c r="H28" s="114">
        <v>31</v>
      </c>
      <c r="I28" s="112" t="s">
        <v>143</v>
      </c>
      <c r="J28" s="114">
        <v>15</v>
      </c>
      <c r="K28" s="112">
        <v>0.27</v>
      </c>
      <c r="L28" s="166">
        <v>0.47</v>
      </c>
      <c r="M28" s="166">
        <v>8.14</v>
      </c>
      <c r="N28" s="111">
        <v>21</v>
      </c>
      <c r="O28" s="167" t="s">
        <v>143</v>
      </c>
      <c r="P28" s="111">
        <v>5</v>
      </c>
      <c r="Q28" s="166">
        <v>0.15</v>
      </c>
      <c r="R28" s="172">
        <v>0.39</v>
      </c>
      <c r="S28" s="166">
        <v>7.7</v>
      </c>
      <c r="T28" s="118">
        <v>77.2</v>
      </c>
      <c r="U28" s="115" t="s">
        <v>124</v>
      </c>
      <c r="V28" s="191"/>
      <c r="W28" s="192">
        <f t="shared" si="0"/>
        <v>0.712686567164179</v>
      </c>
    </row>
    <row r="29" ht="12.95" customHeight="1" spans="1:23">
      <c r="A29" s="108">
        <v>23</v>
      </c>
      <c r="B29" s="115">
        <v>190</v>
      </c>
      <c r="C29" s="119">
        <v>99.9</v>
      </c>
      <c r="D29" s="111">
        <v>116</v>
      </c>
      <c r="E29" s="112">
        <v>2.38</v>
      </c>
      <c r="F29" s="118">
        <v>18.3</v>
      </c>
      <c r="G29" s="113">
        <v>24.5</v>
      </c>
      <c r="H29" s="114">
        <v>38</v>
      </c>
      <c r="I29" s="168" t="s">
        <v>143</v>
      </c>
      <c r="J29" s="114">
        <v>13</v>
      </c>
      <c r="K29" s="112">
        <v>0.32</v>
      </c>
      <c r="L29" s="166">
        <v>0.43</v>
      </c>
      <c r="M29" s="166">
        <v>9.44</v>
      </c>
      <c r="N29" s="111">
        <v>25</v>
      </c>
      <c r="O29" s="167" t="s">
        <v>143</v>
      </c>
      <c r="P29" s="111">
        <v>5</v>
      </c>
      <c r="Q29" s="166">
        <v>0.15</v>
      </c>
      <c r="R29" s="172">
        <v>0.34</v>
      </c>
      <c r="S29" s="166">
        <v>8.39</v>
      </c>
      <c r="T29" s="118">
        <v>78.9</v>
      </c>
      <c r="U29" s="115" t="s">
        <v>124</v>
      </c>
      <c r="V29" s="191"/>
      <c r="W29" s="192">
        <f t="shared" si="0"/>
        <v>0.657551020408163</v>
      </c>
    </row>
    <row r="30" ht="12.95" customHeight="1" spans="1:23">
      <c r="A30" s="108">
        <v>24</v>
      </c>
      <c r="B30" s="115">
        <v>214</v>
      </c>
      <c r="C30" s="116">
        <v>113</v>
      </c>
      <c r="D30" s="111">
        <v>76</v>
      </c>
      <c r="E30" s="112">
        <v>2.11</v>
      </c>
      <c r="F30" s="122">
        <v>15.9</v>
      </c>
      <c r="G30" s="123">
        <v>21.9</v>
      </c>
      <c r="H30" s="114">
        <v>40</v>
      </c>
      <c r="I30" s="112">
        <v>2.1</v>
      </c>
      <c r="J30" s="114">
        <v>15</v>
      </c>
      <c r="K30" s="112">
        <v>0.43</v>
      </c>
      <c r="L30" s="166">
        <v>0.35</v>
      </c>
      <c r="M30" s="166">
        <v>6.25</v>
      </c>
      <c r="N30" s="111">
        <v>25</v>
      </c>
      <c r="O30" s="167" t="s">
        <v>143</v>
      </c>
      <c r="P30" s="111">
        <v>5</v>
      </c>
      <c r="Q30" s="166">
        <v>0.15</v>
      </c>
      <c r="R30" s="166">
        <v>0.33</v>
      </c>
      <c r="S30" s="166">
        <v>5.55</v>
      </c>
      <c r="T30" s="122">
        <v>76.4</v>
      </c>
      <c r="U30" s="115" t="s">
        <v>124</v>
      </c>
      <c r="V30" s="191"/>
      <c r="W30" s="192">
        <f t="shared" si="0"/>
        <v>0.746575342465753</v>
      </c>
    </row>
    <row r="31" ht="12.95" customHeight="1" spans="1:23">
      <c r="A31" s="108">
        <v>25</v>
      </c>
      <c r="B31" s="115">
        <v>176</v>
      </c>
      <c r="C31" s="110">
        <v>95</v>
      </c>
      <c r="D31" s="111">
        <v>100</v>
      </c>
      <c r="E31" s="112">
        <v>2.26</v>
      </c>
      <c r="F31" s="113">
        <v>15.5</v>
      </c>
      <c r="G31" s="123">
        <v>22</v>
      </c>
      <c r="H31" s="114">
        <v>35</v>
      </c>
      <c r="I31" s="112" t="s">
        <v>143</v>
      </c>
      <c r="J31" s="114">
        <v>12</v>
      </c>
      <c r="K31" s="112">
        <v>0.31</v>
      </c>
      <c r="L31" s="166">
        <v>0.4</v>
      </c>
      <c r="M31" s="169">
        <v>7.4</v>
      </c>
      <c r="N31" s="111">
        <v>23</v>
      </c>
      <c r="O31" s="167" t="s">
        <v>143</v>
      </c>
      <c r="P31" s="111">
        <v>5</v>
      </c>
      <c r="Q31" s="166">
        <v>0.16</v>
      </c>
      <c r="R31" s="166">
        <v>0.36</v>
      </c>
      <c r="S31" s="169">
        <v>7.25</v>
      </c>
      <c r="T31" s="118">
        <v>77.4</v>
      </c>
      <c r="U31" s="115">
        <v>80</v>
      </c>
      <c r="V31" s="191"/>
      <c r="W31" s="192">
        <f t="shared" si="0"/>
        <v>0.670454545454545</v>
      </c>
    </row>
    <row r="32" ht="12.95" customHeight="1" spans="1:23">
      <c r="A32" s="108">
        <v>26</v>
      </c>
      <c r="B32" s="115">
        <v>186</v>
      </c>
      <c r="C32" s="110">
        <v>98.5</v>
      </c>
      <c r="D32" s="111">
        <v>162</v>
      </c>
      <c r="E32" s="112">
        <v>2.13</v>
      </c>
      <c r="F32" s="110">
        <v>15.2</v>
      </c>
      <c r="G32" s="113">
        <v>20.9</v>
      </c>
      <c r="H32" s="114">
        <v>47</v>
      </c>
      <c r="I32" s="112">
        <v>2.23</v>
      </c>
      <c r="J32" s="114">
        <v>17</v>
      </c>
      <c r="K32" s="112">
        <v>0.31</v>
      </c>
      <c r="L32" s="166">
        <v>0.45</v>
      </c>
      <c r="M32" s="166">
        <v>6.1</v>
      </c>
      <c r="N32" s="111">
        <v>29</v>
      </c>
      <c r="O32" s="167" t="s">
        <v>143</v>
      </c>
      <c r="P32" s="111">
        <v>5</v>
      </c>
      <c r="Q32" s="166">
        <v>0.16</v>
      </c>
      <c r="R32" s="166">
        <v>0.43</v>
      </c>
      <c r="S32" s="166">
        <v>5.9</v>
      </c>
      <c r="T32" s="118">
        <v>78.3</v>
      </c>
      <c r="U32" s="115"/>
      <c r="V32" s="191"/>
      <c r="W32" s="192">
        <f t="shared" si="0"/>
        <v>0.717703349282297</v>
      </c>
    </row>
    <row r="33" ht="12.95" customHeight="1" spans="1:23">
      <c r="A33" s="108">
        <v>27</v>
      </c>
      <c r="B33" s="115">
        <v>185</v>
      </c>
      <c r="C33" s="110">
        <v>96.2</v>
      </c>
      <c r="D33" s="111">
        <v>88</v>
      </c>
      <c r="E33" s="112">
        <v>2.42</v>
      </c>
      <c r="F33" s="118">
        <v>19.7</v>
      </c>
      <c r="G33" s="113">
        <v>26.9</v>
      </c>
      <c r="H33" s="114">
        <v>40</v>
      </c>
      <c r="I33" s="112" t="s">
        <v>143</v>
      </c>
      <c r="J33" s="114">
        <v>12</v>
      </c>
      <c r="K33" s="112">
        <v>0.35</v>
      </c>
      <c r="L33" s="166">
        <v>0.54</v>
      </c>
      <c r="M33" s="166">
        <v>8.29</v>
      </c>
      <c r="N33" s="111">
        <v>27</v>
      </c>
      <c r="O33" s="167" t="s">
        <v>143</v>
      </c>
      <c r="P33" s="111">
        <v>5</v>
      </c>
      <c r="Q33" s="166">
        <v>0.13</v>
      </c>
      <c r="R33" s="166">
        <v>0.5</v>
      </c>
      <c r="S33" s="166">
        <v>7.95</v>
      </c>
      <c r="T33" s="118">
        <v>78.3</v>
      </c>
      <c r="U33" s="115"/>
      <c r="V33" s="191"/>
      <c r="W33" s="192">
        <f t="shared" si="0"/>
        <v>0.704460966542751</v>
      </c>
    </row>
    <row r="34" ht="12.95" customHeight="1" spans="1:23">
      <c r="A34" s="108">
        <v>28</v>
      </c>
      <c r="B34" s="115">
        <v>246</v>
      </c>
      <c r="C34" s="116">
        <v>130</v>
      </c>
      <c r="D34" s="111">
        <v>116</v>
      </c>
      <c r="E34" s="112">
        <v>2.02</v>
      </c>
      <c r="F34" s="110">
        <v>15</v>
      </c>
      <c r="G34" s="113">
        <v>20.8</v>
      </c>
      <c r="H34" s="114">
        <v>33</v>
      </c>
      <c r="I34" s="112" t="s">
        <v>143</v>
      </c>
      <c r="J34" s="114">
        <v>16</v>
      </c>
      <c r="K34" s="112">
        <v>0.2</v>
      </c>
      <c r="L34" s="166">
        <v>0.59</v>
      </c>
      <c r="M34" s="166">
        <v>6.75</v>
      </c>
      <c r="N34" s="111">
        <v>26</v>
      </c>
      <c r="O34" s="167" t="s">
        <v>143</v>
      </c>
      <c r="P34" s="111">
        <v>6</v>
      </c>
      <c r="Q34" s="166">
        <v>0.2</v>
      </c>
      <c r="R34" s="166">
        <v>0.52</v>
      </c>
      <c r="S34" s="166">
        <v>6.28</v>
      </c>
      <c r="T34" s="118">
        <v>76.2</v>
      </c>
      <c r="U34" s="115" t="s">
        <v>124</v>
      </c>
      <c r="V34" s="191"/>
      <c r="W34" s="192">
        <f t="shared" si="0"/>
        <v>0.698076923076923</v>
      </c>
    </row>
    <row r="35" ht="12.95" customHeight="1" spans="1:23">
      <c r="A35" s="108">
        <v>29</v>
      </c>
      <c r="B35" s="115">
        <v>137</v>
      </c>
      <c r="C35" s="110">
        <v>72.5</v>
      </c>
      <c r="D35" s="111">
        <v>72</v>
      </c>
      <c r="E35" s="112">
        <v>1.79</v>
      </c>
      <c r="F35" s="110">
        <v>15.3</v>
      </c>
      <c r="G35" s="113">
        <v>21.5</v>
      </c>
      <c r="H35" s="114">
        <v>35</v>
      </c>
      <c r="I35" s="112" t="s">
        <v>143</v>
      </c>
      <c r="J35" s="114">
        <v>17</v>
      </c>
      <c r="K35" s="112">
        <v>0.33</v>
      </c>
      <c r="L35" s="166">
        <v>0.42</v>
      </c>
      <c r="M35" s="166">
        <v>9.49</v>
      </c>
      <c r="N35" s="111">
        <v>23</v>
      </c>
      <c r="O35" s="167" t="s">
        <v>143</v>
      </c>
      <c r="P35" s="111">
        <v>6</v>
      </c>
      <c r="Q35" s="166">
        <v>0.19</v>
      </c>
      <c r="R35" s="166">
        <v>0.4</v>
      </c>
      <c r="S35" s="166">
        <v>6.95</v>
      </c>
      <c r="T35" s="118">
        <v>77.3</v>
      </c>
      <c r="U35" s="115" t="s">
        <v>124</v>
      </c>
      <c r="V35" s="191"/>
      <c r="W35" s="192">
        <f t="shared" si="0"/>
        <v>0.676744186046512</v>
      </c>
    </row>
    <row r="36" ht="12.95" customHeight="1" spans="1:23">
      <c r="A36" s="108">
        <v>30</v>
      </c>
      <c r="B36" s="115">
        <v>125</v>
      </c>
      <c r="C36" s="110">
        <v>64.9</v>
      </c>
      <c r="D36" s="111">
        <v>92</v>
      </c>
      <c r="E36" s="112">
        <v>1.86</v>
      </c>
      <c r="F36" s="118">
        <v>18.2</v>
      </c>
      <c r="G36" s="113">
        <v>24.4</v>
      </c>
      <c r="H36" s="114">
        <v>34</v>
      </c>
      <c r="I36" s="112" t="s">
        <v>143</v>
      </c>
      <c r="J36" s="114">
        <v>15</v>
      </c>
      <c r="K36" s="112">
        <v>0.28</v>
      </c>
      <c r="L36" s="166">
        <v>1</v>
      </c>
      <c r="M36" s="166">
        <v>8.04</v>
      </c>
      <c r="N36" s="111">
        <v>25</v>
      </c>
      <c r="O36" s="167" t="s">
        <v>143</v>
      </c>
      <c r="P36" s="111">
        <v>5</v>
      </c>
      <c r="Q36" s="166">
        <v>0.2</v>
      </c>
      <c r="R36" s="166">
        <v>0.48</v>
      </c>
      <c r="S36" s="166">
        <v>7.65</v>
      </c>
      <c r="T36" s="118">
        <v>78.3</v>
      </c>
      <c r="U36" s="115" t="s">
        <v>124</v>
      </c>
      <c r="V36" s="191"/>
      <c r="W36" s="192">
        <f t="shared" si="0"/>
        <v>0.686475409836065</v>
      </c>
    </row>
    <row r="37" ht="12.95" customHeight="1" spans="1:21">
      <c r="A37" s="108" t="s">
        <v>63</v>
      </c>
      <c r="B37" s="111">
        <f>ROUND(AVERAGE(B7:B36),0)</f>
        <v>177</v>
      </c>
      <c r="C37" s="111">
        <f>ROUND(AVERAGE(C7:C36),0)</f>
        <v>93</v>
      </c>
      <c r="D37" s="111">
        <f>ROUND(AVERAGE(D7:D36),0)</f>
        <v>98</v>
      </c>
      <c r="E37" s="112">
        <f>ROUND(AVERAGE(E7:E36),2)</f>
        <v>2.78</v>
      </c>
      <c r="F37" s="118">
        <f>ROUND(AVERAGE(F7:F36),1)</f>
        <v>18.3</v>
      </c>
      <c r="G37" s="118">
        <f>ROUND(AVERAGE(G7:G36),1)</f>
        <v>24.6</v>
      </c>
      <c r="H37" s="124">
        <f>ROUND(AVERAGE(H7:H36),1)</f>
        <v>34.6</v>
      </c>
      <c r="I37" s="170">
        <f>ROUND(AVERAGE(I7:I36),2)</f>
        <v>2.16</v>
      </c>
      <c r="J37" s="171">
        <f>ROUND(AVERAGE(J7:J36),2)</f>
        <v>15.7</v>
      </c>
      <c r="K37" s="170">
        <f>ROUND(AVERAGE(K7:K36),2)</f>
        <v>0.26</v>
      </c>
      <c r="L37" s="170">
        <f>ROUND(AVERAGE(L7:L36),2)</f>
        <v>0.48</v>
      </c>
      <c r="M37" s="172">
        <f>ROUND(AVERAGE(M7:M36),1)</f>
        <v>7.7</v>
      </c>
      <c r="N37" s="111">
        <f>ROUND(AVERAGE(N7:N36),1)</f>
        <v>25.4</v>
      </c>
      <c r="O37" s="173" t="s">
        <v>143</v>
      </c>
      <c r="P37" s="111">
        <f>ROUND(AVERAGE(P7:P36),2)</f>
        <v>5.3</v>
      </c>
      <c r="Q37" s="166">
        <f>ROUND(AVERAGE(Q7:Q36),2)</f>
        <v>0.14</v>
      </c>
      <c r="R37" s="112">
        <f>ROUND(AVERAGE(R7:R36),2)</f>
        <v>0.41</v>
      </c>
      <c r="S37" s="172">
        <f>ROUND(AVERAGE(S7:S36),2)</f>
        <v>7.18</v>
      </c>
      <c r="T37" s="113">
        <f>ROUND(AVERAGE(T7:T36),2)</f>
        <v>77.6</v>
      </c>
      <c r="U37" s="115" t="s">
        <v>124</v>
      </c>
    </row>
    <row r="38" ht="21" customHeight="1" spans="1:21">
      <c r="A38" s="125" t="s">
        <v>66</v>
      </c>
      <c r="B38" s="126"/>
      <c r="C38" s="126"/>
      <c r="D38" s="127"/>
      <c r="E38" s="128"/>
      <c r="F38" s="129"/>
      <c r="H38"/>
      <c r="I38"/>
      <c r="J38" s="125" t="s">
        <v>67</v>
      </c>
      <c r="K38" s="174"/>
      <c r="L38" s="174"/>
      <c r="M38" s="174"/>
      <c r="N38" s="125"/>
      <c r="O38" s="175"/>
      <c r="P38" s="175"/>
      <c r="Q38" s="193" t="s">
        <v>144</v>
      </c>
      <c r="R38" s="193"/>
      <c r="S38" s="193"/>
      <c r="T38" s="193"/>
      <c r="U38" s="194"/>
    </row>
    <row r="39" ht="21" customHeight="1" spans="1:21">
      <c r="A39" s="130"/>
      <c r="B39" s="131"/>
      <c r="C39" s="132"/>
      <c r="D39" s="133"/>
      <c r="E39" s="134"/>
      <c r="F39" s="135"/>
      <c r="H39"/>
      <c r="I39"/>
      <c r="J39" s="175"/>
      <c r="K39" s="175"/>
      <c r="L39" s="175"/>
      <c r="M39" s="175"/>
      <c r="N39" s="130"/>
      <c r="O39" s="175"/>
      <c r="P39" s="175"/>
      <c r="Q39" s="195"/>
      <c r="R39" s="195"/>
      <c r="S39" s="195"/>
      <c r="T39" s="195"/>
      <c r="U39" s="194"/>
    </row>
    <row r="40" ht="17.1" spans="2:19">
      <c r="B40" s="136" t="s">
        <v>105</v>
      </c>
      <c r="C40" s="136" t="s">
        <v>145</v>
      </c>
      <c r="D40" s="137" t="s">
        <v>146</v>
      </c>
      <c r="E40" s="136" t="s">
        <v>147</v>
      </c>
      <c r="F40" s="136" t="s">
        <v>148</v>
      </c>
      <c r="G40" s="137" t="s">
        <v>146</v>
      </c>
      <c r="H40" s="136" t="s">
        <v>147</v>
      </c>
      <c r="I40" s="137" t="s">
        <v>149</v>
      </c>
      <c r="J40" s="175"/>
      <c r="K40" s="175"/>
      <c r="L40" s="175"/>
      <c r="S40" s="196"/>
    </row>
    <row r="41" ht="27.9" spans="2:20">
      <c r="B41" s="136"/>
      <c r="C41" s="136"/>
      <c r="D41" s="138" t="s">
        <v>150</v>
      </c>
      <c r="E41" s="136"/>
      <c r="F41" s="136"/>
      <c r="G41" s="138" t="s">
        <v>150</v>
      </c>
      <c r="H41" s="136"/>
      <c r="I41" s="138" t="s">
        <v>151</v>
      </c>
      <c r="J41" s="175"/>
      <c r="K41" s="175"/>
      <c r="L41" s="175"/>
      <c r="M41" s="176"/>
      <c r="N41" s="176"/>
      <c r="O41" s="176"/>
      <c r="P41" s="176"/>
      <c r="Q41" s="176"/>
      <c r="R41" s="176"/>
      <c r="S41" s="197"/>
      <c r="T41" s="197"/>
    </row>
    <row r="42" ht="18.15" spans="2:18">
      <c r="B42" s="139" t="s">
        <v>152</v>
      </c>
      <c r="C42" s="140">
        <f>B37</f>
        <v>177</v>
      </c>
      <c r="D42" s="141">
        <f>MAX(B7:B36)</f>
        <v>250</v>
      </c>
      <c r="E42" s="141">
        <f>MIN(B7:B36)</f>
        <v>103</v>
      </c>
      <c r="F42" s="142">
        <f>N37</f>
        <v>25.4</v>
      </c>
      <c r="G42" s="143">
        <f>MAX(N7:N36)</f>
        <v>30</v>
      </c>
      <c r="H42" s="141">
        <f>MIN(N7:N36)</f>
        <v>21</v>
      </c>
      <c r="I42" s="177">
        <f t="shared" ref="I42:I47" si="1">1-F42/C42</f>
        <v>0.856497175141243</v>
      </c>
      <c r="J42" s="158"/>
      <c r="K42" s="139" t="s">
        <v>153</v>
      </c>
      <c r="L42" s="178">
        <f>C43/C42</f>
        <v>0.525423728813559</v>
      </c>
      <c r="M42" s="179"/>
      <c r="N42" s="180"/>
      <c r="O42" s="180"/>
      <c r="P42" s="180"/>
      <c r="Q42" s="179"/>
      <c r="R42" s="184"/>
    </row>
    <row r="43" ht="17.4" spans="2:18">
      <c r="B43" s="144" t="s">
        <v>154</v>
      </c>
      <c r="C43" s="145">
        <f>C37</f>
        <v>93</v>
      </c>
      <c r="D43" s="146">
        <f>MAX(C7:C36)</f>
        <v>130</v>
      </c>
      <c r="E43" s="147">
        <f>MIN(C7:C36)</f>
        <v>54.4</v>
      </c>
      <c r="F43" s="148" t="s">
        <v>143</v>
      </c>
      <c r="G43" s="147" t="s">
        <v>143</v>
      </c>
      <c r="H43" s="147" t="s">
        <v>143</v>
      </c>
      <c r="I43" s="181">
        <f>1-2/C43</f>
        <v>0.978494623655914</v>
      </c>
      <c r="J43" s="158"/>
      <c r="K43" s="144" t="s">
        <v>155</v>
      </c>
      <c r="L43" s="182">
        <f>C43/C47</f>
        <v>3.78048780487805</v>
      </c>
      <c r="M43" s="179"/>
      <c r="N43" s="180"/>
      <c r="O43" s="180"/>
      <c r="P43" s="180"/>
      <c r="Q43" s="179"/>
      <c r="R43" s="184"/>
    </row>
    <row r="44" ht="17.4" spans="2:18">
      <c r="B44" s="144" t="s">
        <v>114</v>
      </c>
      <c r="C44" s="149">
        <f>D37</f>
        <v>98</v>
      </c>
      <c r="D44" s="147">
        <f>MAX(D7:D36)</f>
        <v>164</v>
      </c>
      <c r="E44" s="150">
        <f>MIN(D7:D36)</f>
        <v>66</v>
      </c>
      <c r="F44" s="151">
        <f>P37</f>
        <v>5.3</v>
      </c>
      <c r="G44" s="152">
        <f>MAX(P7:P36)</f>
        <v>7</v>
      </c>
      <c r="H44" s="152">
        <f>MIN(P7:P36)</f>
        <v>5</v>
      </c>
      <c r="I44" s="181">
        <f t="shared" si="1"/>
        <v>0.945918367346939</v>
      </c>
      <c r="J44" s="158"/>
      <c r="K44" s="144" t="s">
        <v>156</v>
      </c>
      <c r="L44" s="183">
        <f>C43/C45</f>
        <v>33.4532374100719</v>
      </c>
      <c r="M44" s="184"/>
      <c r="N44" s="184"/>
      <c r="O44" s="184"/>
      <c r="P44" s="184"/>
      <c r="Q44" s="184"/>
      <c r="R44" s="184"/>
    </row>
    <row r="45" ht="17.4" spans="2:12">
      <c r="B45" s="144" t="s">
        <v>116</v>
      </c>
      <c r="C45" s="151">
        <f>E37</f>
        <v>2.78</v>
      </c>
      <c r="D45" s="147">
        <f>MAX(E7:E36)</f>
        <v>4.86</v>
      </c>
      <c r="E45" s="147">
        <f>MIN(E7:E36)</f>
        <v>1.79</v>
      </c>
      <c r="F45" s="151">
        <f>Q37</f>
        <v>0.14</v>
      </c>
      <c r="G45" s="152">
        <f>MAX(Q7:Q36)</f>
        <v>0.2</v>
      </c>
      <c r="H45" s="152">
        <f>MIN(Q7:Q36)</f>
        <v>0.1</v>
      </c>
      <c r="I45" s="181">
        <f t="shared" si="1"/>
        <v>0.949640287769784</v>
      </c>
      <c r="J45" s="158"/>
      <c r="K45" s="144"/>
      <c r="L45" s="185"/>
    </row>
    <row r="46" ht="17.4" spans="2:12">
      <c r="B46" s="144" t="s">
        <v>157</v>
      </c>
      <c r="C46" s="145">
        <f>F37</f>
        <v>18.3</v>
      </c>
      <c r="D46" s="147">
        <f>MAX(F7:F36)</f>
        <v>25</v>
      </c>
      <c r="E46" s="147">
        <f>MIN(F7:F36)</f>
        <v>11.2</v>
      </c>
      <c r="F46" s="151">
        <f>R37</f>
        <v>0.41</v>
      </c>
      <c r="G46" s="147">
        <f>MAX(R7:R36)</f>
        <v>0.52</v>
      </c>
      <c r="H46" s="152">
        <f>MIN(R7:R36)</f>
        <v>0.31</v>
      </c>
      <c r="I46" s="181">
        <f t="shared" si="1"/>
        <v>0.977595628415301</v>
      </c>
      <c r="J46" s="158"/>
      <c r="K46" s="144"/>
      <c r="L46" s="185"/>
    </row>
    <row r="47" ht="17.4" spans="2:12">
      <c r="B47" s="153" t="s">
        <v>119</v>
      </c>
      <c r="C47" s="154">
        <f>G37</f>
        <v>24.6</v>
      </c>
      <c r="D47" s="155">
        <f>MAX(G7:G36)</f>
        <v>30.6</v>
      </c>
      <c r="E47" s="155">
        <f>MIN(G7:G36)</f>
        <v>17</v>
      </c>
      <c r="F47" s="156">
        <f>S37</f>
        <v>7.18</v>
      </c>
      <c r="G47" s="155">
        <f>MAX(S7:S36)</f>
        <v>9.04</v>
      </c>
      <c r="H47" s="155">
        <f>MIN(S7:S36)</f>
        <v>5.55</v>
      </c>
      <c r="I47" s="186">
        <f t="shared" si="1"/>
        <v>0.708130081300813</v>
      </c>
      <c r="J47" s="158"/>
      <c r="K47" s="153"/>
      <c r="L47" s="187"/>
    </row>
    <row r="48" ht="17.4" spans="2:12">
      <c r="B48" s="157"/>
      <c r="C48" s="158"/>
      <c r="D48" s="158"/>
      <c r="E48" s="158"/>
      <c r="F48" s="158"/>
      <c r="G48" s="158"/>
      <c r="H48" s="159"/>
      <c r="I48" s="158"/>
      <c r="J48" s="158"/>
      <c r="K48" s="159"/>
      <c r="L48" s="158"/>
    </row>
    <row r="49" spans="2:2">
      <c r="B49" s="160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5"/>
  <sheetViews>
    <sheetView topLeftCell="A175" workbookViewId="0">
      <selection activeCell="H314" sqref="A180:J314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158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44348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59" t="s">
        <v>163</v>
      </c>
      <c r="F3" s="59" t="s">
        <v>164</v>
      </c>
      <c r="G3" s="60" t="s">
        <v>165</v>
      </c>
      <c r="H3" s="61" t="s">
        <v>166</v>
      </c>
      <c r="I3" s="59" t="s">
        <v>167</v>
      </c>
      <c r="J3" s="6" t="s">
        <v>168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169</v>
      </c>
      <c r="E5" s="59" t="s">
        <v>170</v>
      </c>
      <c r="F5" s="59" t="s">
        <v>171</v>
      </c>
      <c r="G5" s="60" t="s">
        <v>171</v>
      </c>
      <c r="H5" s="61" t="s">
        <v>172</v>
      </c>
      <c r="I5" s="59" t="s">
        <v>172</v>
      </c>
      <c r="J5" s="6"/>
    </row>
    <row r="6" customHeight="1" spans="1:10">
      <c r="A6" s="63" t="s">
        <v>173</v>
      </c>
      <c r="B6" s="64" t="s">
        <v>174</v>
      </c>
      <c r="C6" s="64" t="s">
        <v>175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176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177</v>
      </c>
      <c r="C8" s="64" t="s">
        <v>64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178</v>
      </c>
      <c r="C9" s="64" t="s">
        <v>64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179</v>
      </c>
      <c r="C10" s="64" t="s">
        <v>175</v>
      </c>
      <c r="D10" s="64">
        <v>30</v>
      </c>
      <c r="E10" s="64">
        <v>24</v>
      </c>
      <c r="F10" s="64">
        <v>720</v>
      </c>
      <c r="G10" s="64">
        <v>592</v>
      </c>
      <c r="H10" s="65">
        <v>0.822222222222222</v>
      </c>
      <c r="I10" s="65">
        <v>1</v>
      </c>
      <c r="J10" s="64" t="s">
        <v>180</v>
      </c>
    </row>
    <row r="11" customHeight="1" spans="1:10">
      <c r="A11" s="63"/>
      <c r="B11" s="64"/>
      <c r="C11" s="64" t="s">
        <v>176</v>
      </c>
      <c r="D11" s="64">
        <v>30</v>
      </c>
      <c r="E11" s="64">
        <v>24</v>
      </c>
      <c r="F11" s="64">
        <v>720</v>
      </c>
      <c r="G11" s="64">
        <v>402</v>
      </c>
      <c r="H11" s="65">
        <v>0.558333333333333</v>
      </c>
      <c r="I11" s="65">
        <v>1</v>
      </c>
      <c r="J11" s="64" t="s">
        <v>180</v>
      </c>
    </row>
    <row r="12" customHeight="1" spans="1:10">
      <c r="A12" s="63"/>
      <c r="B12" s="64"/>
      <c r="C12" s="64" t="s">
        <v>181</v>
      </c>
      <c r="D12" s="64">
        <v>30</v>
      </c>
      <c r="E12" s="64">
        <v>24</v>
      </c>
      <c r="F12" s="64">
        <v>720</v>
      </c>
      <c r="G12" s="64">
        <v>432</v>
      </c>
      <c r="H12" s="65">
        <v>0.6</v>
      </c>
      <c r="I12" s="65">
        <v>1</v>
      </c>
      <c r="J12" s="64" t="s">
        <v>180</v>
      </c>
    </row>
    <row r="13" customHeight="1" spans="1:10">
      <c r="A13" s="63"/>
      <c r="B13" s="64"/>
      <c r="C13" s="64" t="s">
        <v>182</v>
      </c>
      <c r="D13" s="64">
        <v>30</v>
      </c>
      <c r="E13" s="64">
        <v>24</v>
      </c>
      <c r="F13" s="64">
        <v>720</v>
      </c>
      <c r="G13" s="64">
        <v>110</v>
      </c>
      <c r="H13" s="65">
        <v>0.152777777777778</v>
      </c>
      <c r="I13" s="65">
        <v>1</v>
      </c>
      <c r="J13" s="64"/>
    </row>
    <row r="14" customHeight="1" spans="1:10">
      <c r="A14" s="63"/>
      <c r="B14" s="64"/>
      <c r="C14" s="64" t="s">
        <v>183</v>
      </c>
      <c r="D14" s="64">
        <v>30</v>
      </c>
      <c r="E14" s="64">
        <v>24</v>
      </c>
      <c r="F14" s="64">
        <v>720</v>
      </c>
      <c r="G14" s="64">
        <v>718</v>
      </c>
      <c r="H14" s="65">
        <v>0.992222</v>
      </c>
      <c r="I14" s="65">
        <v>1</v>
      </c>
      <c r="J14" s="64"/>
    </row>
    <row r="15" customHeight="1" spans="1:10">
      <c r="A15" s="63"/>
      <c r="B15" s="64" t="s">
        <v>184</v>
      </c>
      <c r="C15" s="64" t="s">
        <v>175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176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 t="s">
        <v>185</v>
      </c>
    </row>
    <row r="17" customHeight="1" spans="1:10">
      <c r="A17" s="63"/>
      <c r="B17" s="64"/>
      <c r="C17" s="64" t="s">
        <v>181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182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183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186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177</v>
      </c>
      <c r="C21" s="64" t="s">
        <v>175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176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/>
    </row>
    <row r="23" customHeight="1" spans="1:10">
      <c r="A23" s="63"/>
      <c r="B23" s="64" t="s">
        <v>178</v>
      </c>
      <c r="C23" s="64" t="s">
        <v>175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176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/>
    </row>
    <row r="25" customHeight="1" spans="1:10">
      <c r="A25" s="63"/>
      <c r="B25" s="64" t="s">
        <v>187</v>
      </c>
      <c r="C25" s="64" t="s">
        <v>175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1</v>
      </c>
      <c r="J25" s="64"/>
    </row>
    <row r="26" customHeight="1" spans="1:10">
      <c r="A26" s="63"/>
      <c r="B26" s="64" t="s">
        <v>188</v>
      </c>
      <c r="C26" s="64" t="s">
        <v>175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187</v>
      </c>
      <c r="C27" s="64" t="s">
        <v>176</v>
      </c>
      <c r="D27" s="64">
        <v>30</v>
      </c>
      <c r="E27" s="64">
        <v>24</v>
      </c>
      <c r="F27" s="64">
        <v>720</v>
      </c>
      <c r="G27" s="64">
        <v>720</v>
      </c>
      <c r="H27" s="65">
        <v>1</v>
      </c>
      <c r="I27" s="65">
        <v>1</v>
      </c>
      <c r="J27" s="64"/>
    </row>
    <row r="28" customHeight="1" spans="1:10">
      <c r="A28" s="63"/>
      <c r="B28" s="64" t="s">
        <v>188</v>
      </c>
      <c r="C28" s="64" t="s">
        <v>176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187</v>
      </c>
      <c r="C29" s="64" t="s">
        <v>181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188</v>
      </c>
      <c r="C30" s="64" t="s">
        <v>181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187</v>
      </c>
      <c r="C31" s="64" t="s">
        <v>182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1</v>
      </c>
      <c r="J31" s="64"/>
    </row>
    <row r="32" customHeight="1" spans="1:10">
      <c r="A32" s="63"/>
      <c r="B32" s="64" t="s">
        <v>188</v>
      </c>
      <c r="C32" s="64" t="s">
        <v>182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189</v>
      </c>
      <c r="C33" s="64" t="s">
        <v>175</v>
      </c>
      <c r="D33" s="64">
        <v>30</v>
      </c>
      <c r="E33" s="64">
        <v>24</v>
      </c>
      <c r="F33" s="64">
        <v>720</v>
      </c>
      <c r="G33" s="64">
        <v>304</v>
      </c>
      <c r="H33" s="65">
        <v>0.422222222222222</v>
      </c>
      <c r="I33" s="65">
        <v>1</v>
      </c>
      <c r="J33" s="64" t="s">
        <v>190</v>
      </c>
    </row>
    <row r="34" customHeight="1" spans="1:10">
      <c r="A34" s="63"/>
      <c r="B34" s="64"/>
      <c r="C34" s="64" t="s">
        <v>176</v>
      </c>
      <c r="D34" s="64">
        <v>30</v>
      </c>
      <c r="E34" s="64">
        <v>24</v>
      </c>
      <c r="F34" s="64">
        <v>720</v>
      </c>
      <c r="G34" s="64">
        <v>8</v>
      </c>
      <c r="H34" s="65">
        <v>0.0111111111111111</v>
      </c>
      <c r="I34" s="65">
        <v>1</v>
      </c>
      <c r="J34" s="64" t="s">
        <v>191</v>
      </c>
    </row>
    <row r="35" customHeight="1" spans="1:10">
      <c r="A35" s="63"/>
      <c r="B35" s="64"/>
      <c r="C35" s="64" t="s">
        <v>181</v>
      </c>
      <c r="D35" s="64">
        <v>30</v>
      </c>
      <c r="E35" s="64">
        <v>24</v>
      </c>
      <c r="F35" s="64">
        <v>720</v>
      </c>
      <c r="G35" s="64">
        <v>380</v>
      </c>
      <c r="H35" s="65">
        <v>0.527777777777778</v>
      </c>
      <c r="I35" s="65">
        <v>1</v>
      </c>
      <c r="J35" s="64" t="s">
        <v>191</v>
      </c>
    </row>
    <row r="36" customHeight="1" spans="1:10">
      <c r="A36" s="63"/>
      <c r="B36" s="64"/>
      <c r="C36" s="64" t="s">
        <v>182</v>
      </c>
      <c r="D36" s="64">
        <v>30</v>
      </c>
      <c r="E36" s="64">
        <v>24</v>
      </c>
      <c r="F36" s="64">
        <v>720</v>
      </c>
      <c r="G36" s="64">
        <v>366</v>
      </c>
      <c r="H36" s="65">
        <v>0.508333333333333</v>
      </c>
      <c r="I36" s="65">
        <v>1</v>
      </c>
      <c r="J36" s="64" t="s">
        <v>191</v>
      </c>
    </row>
    <row r="37" customHeight="1" spans="1:10">
      <c r="A37" s="63"/>
      <c r="B37" s="64"/>
      <c r="C37" s="64" t="s">
        <v>183</v>
      </c>
      <c r="D37" s="64">
        <v>30</v>
      </c>
      <c r="E37" s="64">
        <v>24</v>
      </c>
      <c r="F37" s="64">
        <v>720</v>
      </c>
      <c r="G37" s="64">
        <v>384</v>
      </c>
      <c r="H37" s="65">
        <v>0.533333333333333</v>
      </c>
      <c r="I37" s="65">
        <v>1</v>
      </c>
      <c r="J37" s="64" t="s">
        <v>192</v>
      </c>
    </row>
    <row r="38" customHeight="1" spans="1:10">
      <c r="A38" s="66" t="s">
        <v>66</v>
      </c>
      <c r="B38" s="66"/>
      <c r="C38" s="15"/>
      <c r="D38" s="15"/>
      <c r="E38" s="67" t="s">
        <v>67</v>
      </c>
      <c r="F38" s="67"/>
      <c r="G38" s="68"/>
      <c r="H38" s="10" t="s">
        <v>193</v>
      </c>
      <c r="I38" s="10"/>
      <c r="J38" s="10"/>
    </row>
    <row r="39" ht="34" customHeight="1"/>
    <row r="46" ht="33" customHeight="1" spans="1:10">
      <c r="A46" s="56" t="s">
        <v>158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v>44348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59" t="s">
        <v>163</v>
      </c>
      <c r="F48" s="59" t="s">
        <v>164</v>
      </c>
      <c r="G48" s="60" t="s">
        <v>165</v>
      </c>
      <c r="H48" s="61" t="s">
        <v>166</v>
      </c>
      <c r="I48" s="59" t="s">
        <v>167</v>
      </c>
      <c r="J48" s="6" t="s">
        <v>168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169</v>
      </c>
      <c r="E50" s="71" t="s">
        <v>170</v>
      </c>
      <c r="F50" s="71" t="s">
        <v>171</v>
      </c>
      <c r="G50" s="72" t="s">
        <v>171</v>
      </c>
      <c r="H50" s="73" t="s">
        <v>172</v>
      </c>
      <c r="I50" s="59" t="s">
        <v>172</v>
      </c>
      <c r="J50" s="6"/>
    </row>
    <row r="51" customHeight="1" spans="1:10">
      <c r="A51" s="74" t="s">
        <v>194</v>
      </c>
      <c r="B51" s="63" t="s">
        <v>195</v>
      </c>
      <c r="C51" s="64" t="s">
        <v>175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176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181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182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183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186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196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197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198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199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200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201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202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203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204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205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206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207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208</v>
      </c>
      <c r="C69" s="64" t="s">
        <v>209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210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211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212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213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214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215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216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217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218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219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220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221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222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223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224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225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226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66</v>
      </c>
      <c r="B87" s="66"/>
      <c r="C87" s="15"/>
      <c r="D87" s="15"/>
      <c r="E87" s="67" t="s">
        <v>67</v>
      </c>
      <c r="F87" s="67"/>
      <c r="G87" s="68"/>
      <c r="H87" s="10" t="s">
        <v>193</v>
      </c>
      <c r="I87" s="10"/>
      <c r="J87" s="10"/>
    </row>
    <row r="88" ht="16" customHeight="1"/>
    <row r="89" ht="20.1" customHeight="1"/>
    <row r="90" ht="34" customHeight="1" spans="1:10">
      <c r="A90" s="56" t="s">
        <v>158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v>44348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159</v>
      </c>
      <c r="B92" s="6" t="s">
        <v>160</v>
      </c>
      <c r="C92" s="6" t="s">
        <v>161</v>
      </c>
      <c r="D92" s="6" t="s">
        <v>162</v>
      </c>
      <c r="E92" s="59" t="s">
        <v>163</v>
      </c>
      <c r="F92" s="59" t="s">
        <v>164</v>
      </c>
      <c r="G92" s="60" t="s">
        <v>165</v>
      </c>
      <c r="H92" s="61" t="s">
        <v>166</v>
      </c>
      <c r="I92" s="59" t="s">
        <v>167</v>
      </c>
      <c r="J92" s="6" t="s">
        <v>168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169</v>
      </c>
      <c r="E94" s="59" t="s">
        <v>170</v>
      </c>
      <c r="F94" s="59" t="s">
        <v>171</v>
      </c>
      <c r="G94" s="60" t="s">
        <v>171</v>
      </c>
      <c r="H94" s="61" t="s">
        <v>172</v>
      </c>
      <c r="I94" s="59" t="s">
        <v>172</v>
      </c>
      <c r="J94" s="6"/>
    </row>
    <row r="95" customHeight="1" spans="1:10">
      <c r="A95" s="63" t="s">
        <v>194</v>
      </c>
      <c r="B95" s="63" t="s">
        <v>227</v>
      </c>
      <c r="C95" s="64" t="s">
        <v>175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176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228</v>
      </c>
      <c r="C97" s="64" t="s">
        <v>175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176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181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182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183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186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229</v>
      </c>
      <c r="C103" s="64" t="s">
        <v>175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176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181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230</v>
      </c>
      <c r="C106" s="64" t="s">
        <v>175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176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181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182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231</v>
      </c>
      <c r="B110" s="79" t="s">
        <v>232</v>
      </c>
      <c r="C110" s="64" t="s">
        <v>175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176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181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182</v>
      </c>
      <c r="D113" s="64">
        <v>30</v>
      </c>
      <c r="E113" s="64">
        <v>24</v>
      </c>
      <c r="F113" s="64">
        <v>720</v>
      </c>
      <c r="G113" s="64">
        <v>720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183</v>
      </c>
      <c r="D114" s="64">
        <v>30</v>
      </c>
      <c r="E114" s="64">
        <v>24</v>
      </c>
      <c r="F114" s="64">
        <v>720</v>
      </c>
      <c r="G114" s="64">
        <v>0</v>
      </c>
      <c r="H114" s="65">
        <v>0</v>
      </c>
      <c r="I114" s="65">
        <v>0</v>
      </c>
      <c r="J114" s="64"/>
    </row>
    <row r="115" customHeight="1" spans="1:10">
      <c r="A115" s="80"/>
      <c r="B115" s="81"/>
      <c r="C115" s="64" t="s">
        <v>186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196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197</v>
      </c>
      <c r="D117" s="64">
        <v>30</v>
      </c>
      <c r="E117" s="64">
        <v>24</v>
      </c>
      <c r="F117" s="64">
        <v>720</v>
      </c>
      <c r="G117" s="64">
        <v>720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198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199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0</v>
      </c>
      <c r="J119" s="64"/>
    </row>
    <row r="120" customHeight="1" spans="1:10">
      <c r="A120" s="80"/>
      <c r="B120" s="81"/>
      <c r="C120" s="64" t="s">
        <v>200</v>
      </c>
      <c r="D120" s="64">
        <v>30</v>
      </c>
      <c r="E120" s="64">
        <v>24</v>
      </c>
      <c r="F120" s="64">
        <v>720</v>
      </c>
      <c r="G120" s="64">
        <v>720</v>
      </c>
      <c r="H120" s="65">
        <v>1</v>
      </c>
      <c r="I120" s="65">
        <v>1</v>
      </c>
      <c r="J120" s="64"/>
    </row>
    <row r="121" customHeight="1" spans="1:10">
      <c r="A121" s="80"/>
      <c r="B121" s="81"/>
      <c r="C121" s="64" t="s">
        <v>201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202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203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204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205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206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207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209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210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211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212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5.6" spans="1:10">
      <c r="A132" s="66" t="s">
        <v>66</v>
      </c>
      <c r="B132" s="66"/>
      <c r="C132" s="15"/>
      <c r="D132" s="15"/>
      <c r="E132" s="67" t="s">
        <v>67</v>
      </c>
      <c r="F132" s="67"/>
      <c r="G132" s="68"/>
      <c r="H132" s="10" t="s">
        <v>193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158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v>44013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159</v>
      </c>
      <c r="B137" s="6" t="s">
        <v>160</v>
      </c>
      <c r="C137" s="6" t="s">
        <v>161</v>
      </c>
      <c r="D137" s="6" t="s">
        <v>162</v>
      </c>
      <c r="E137" s="59" t="s">
        <v>163</v>
      </c>
      <c r="F137" s="59" t="s">
        <v>164</v>
      </c>
      <c r="G137" s="60" t="s">
        <v>165</v>
      </c>
      <c r="H137" s="61" t="s">
        <v>166</v>
      </c>
      <c r="I137" s="59" t="s">
        <v>167</v>
      </c>
      <c r="J137" s="6" t="s">
        <v>168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169</v>
      </c>
      <c r="E139" s="59" t="s">
        <v>170</v>
      </c>
      <c r="F139" s="59" t="s">
        <v>171</v>
      </c>
      <c r="G139" s="60" t="s">
        <v>171</v>
      </c>
      <c r="H139" s="61" t="s">
        <v>172</v>
      </c>
      <c r="I139" s="59" t="s">
        <v>172</v>
      </c>
      <c r="J139" s="6"/>
    </row>
    <row r="140" customHeight="1" spans="1:10">
      <c r="A140" s="63" t="s">
        <v>231</v>
      </c>
      <c r="B140" s="63" t="s">
        <v>233</v>
      </c>
      <c r="C140" s="64" t="s">
        <v>213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214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215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216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217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218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234</v>
      </c>
      <c r="C146" s="64" t="s">
        <v>175</v>
      </c>
      <c r="D146" s="64">
        <v>30</v>
      </c>
      <c r="E146" s="64">
        <v>24</v>
      </c>
      <c r="F146" s="64">
        <v>720</v>
      </c>
      <c r="G146" s="64">
        <v>720</v>
      </c>
      <c r="H146" s="78">
        <v>1</v>
      </c>
      <c r="I146" s="78">
        <v>1</v>
      </c>
      <c r="J146" s="64"/>
    </row>
    <row r="147" customHeight="1" spans="1:10">
      <c r="A147" s="64"/>
      <c r="B147" s="64"/>
      <c r="C147" s="64" t="s">
        <v>176</v>
      </c>
      <c r="D147" s="64">
        <v>30</v>
      </c>
      <c r="E147" s="64">
        <v>24</v>
      </c>
      <c r="F147" s="64">
        <v>720</v>
      </c>
      <c r="G147" s="64">
        <v>720</v>
      </c>
      <c r="H147" s="78">
        <v>1</v>
      </c>
      <c r="I147" s="78">
        <v>1</v>
      </c>
      <c r="J147" s="64"/>
    </row>
    <row r="148" customHeight="1" spans="1:10">
      <c r="A148" s="64"/>
      <c r="B148" s="63" t="s">
        <v>235</v>
      </c>
      <c r="C148" s="64" t="s">
        <v>175</v>
      </c>
      <c r="D148" s="64">
        <v>30</v>
      </c>
      <c r="E148" s="64">
        <v>24</v>
      </c>
      <c r="F148" s="64">
        <v>720</v>
      </c>
      <c r="G148" s="64">
        <v>330</v>
      </c>
      <c r="H148" s="65">
        <v>0.458333333333333</v>
      </c>
      <c r="I148" s="65">
        <v>1</v>
      </c>
      <c r="J148" s="64"/>
    </row>
    <row r="149" customHeight="1" spans="1:10">
      <c r="A149" s="64"/>
      <c r="B149" s="64"/>
      <c r="C149" s="64" t="s">
        <v>176</v>
      </c>
      <c r="D149" s="64">
        <v>30</v>
      </c>
      <c r="E149" s="64">
        <v>24</v>
      </c>
      <c r="F149" s="64">
        <v>720</v>
      </c>
      <c r="G149" s="64">
        <v>0</v>
      </c>
      <c r="H149" s="65">
        <v>0</v>
      </c>
      <c r="I149" s="65">
        <v>1</v>
      </c>
      <c r="J149" s="64"/>
    </row>
    <row r="150" customHeight="1" spans="1:10">
      <c r="A150" s="64"/>
      <c r="B150" s="64"/>
      <c r="C150" s="64" t="s">
        <v>181</v>
      </c>
      <c r="D150" s="64">
        <v>30</v>
      </c>
      <c r="E150" s="64">
        <v>24</v>
      </c>
      <c r="F150" s="64">
        <v>720</v>
      </c>
      <c r="G150" s="64">
        <v>316</v>
      </c>
      <c r="H150" s="65">
        <v>0.438888888888889</v>
      </c>
      <c r="I150" s="65">
        <v>1</v>
      </c>
      <c r="J150" s="64"/>
    </row>
    <row r="151" customHeight="1" spans="1:10">
      <c r="A151" s="64"/>
      <c r="B151" s="63" t="s">
        <v>236</v>
      </c>
      <c r="C151" s="64" t="s">
        <v>175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/>
    </row>
    <row r="152" customHeight="1" spans="1:10">
      <c r="A152" s="64"/>
      <c r="B152" s="64"/>
      <c r="C152" s="64" t="s">
        <v>176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181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237</v>
      </c>
      <c r="C154" s="87" t="s">
        <v>175</v>
      </c>
      <c r="D154" s="87">
        <v>30</v>
      </c>
      <c r="E154" s="87">
        <v>24</v>
      </c>
      <c r="F154" s="87">
        <v>720</v>
      </c>
      <c r="G154" s="87">
        <v>719</v>
      </c>
      <c r="H154" s="88">
        <v>0.99</v>
      </c>
      <c r="I154" s="88">
        <v>1</v>
      </c>
      <c r="J154" s="64" t="s">
        <v>238</v>
      </c>
    </row>
    <row r="155" customHeight="1" spans="1:10">
      <c r="A155" s="64"/>
      <c r="B155" s="87"/>
      <c r="C155" s="87" t="s">
        <v>176</v>
      </c>
      <c r="D155" s="87">
        <v>30</v>
      </c>
      <c r="E155" s="87">
        <v>24</v>
      </c>
      <c r="F155" s="87">
        <v>720</v>
      </c>
      <c r="G155" s="87">
        <v>719</v>
      </c>
      <c r="H155" s="88">
        <v>0.99</v>
      </c>
      <c r="I155" s="88">
        <v>1</v>
      </c>
      <c r="J155" s="64" t="s">
        <v>238</v>
      </c>
    </row>
    <row r="156" customHeight="1" spans="1:10">
      <c r="A156" s="64"/>
      <c r="B156" s="87"/>
      <c r="C156" s="87" t="s">
        <v>181</v>
      </c>
      <c r="D156" s="87">
        <v>30</v>
      </c>
      <c r="E156" s="87">
        <v>24</v>
      </c>
      <c r="F156" s="87">
        <v>720</v>
      </c>
      <c r="G156" s="87">
        <v>719</v>
      </c>
      <c r="H156" s="88">
        <v>0.99</v>
      </c>
      <c r="I156" s="88">
        <v>1</v>
      </c>
      <c r="J156" s="64" t="s">
        <v>238</v>
      </c>
    </row>
    <row r="157" customHeight="1" spans="1:10">
      <c r="A157" s="64"/>
      <c r="B157" s="87"/>
      <c r="C157" s="87" t="s">
        <v>182</v>
      </c>
      <c r="D157" s="87">
        <v>30</v>
      </c>
      <c r="E157" s="87">
        <v>24</v>
      </c>
      <c r="F157" s="87">
        <v>720</v>
      </c>
      <c r="G157" s="87">
        <v>719</v>
      </c>
      <c r="H157" s="88">
        <v>0.99</v>
      </c>
      <c r="I157" s="88">
        <v>1</v>
      </c>
      <c r="J157" s="64" t="s">
        <v>238</v>
      </c>
    </row>
    <row r="158" customHeight="1" spans="1:10">
      <c r="A158" s="64"/>
      <c r="B158" s="87"/>
      <c r="C158" s="87" t="s">
        <v>183</v>
      </c>
      <c r="D158" s="87">
        <v>30</v>
      </c>
      <c r="E158" s="87">
        <v>24</v>
      </c>
      <c r="F158" s="87">
        <v>720</v>
      </c>
      <c r="G158" s="87">
        <v>719</v>
      </c>
      <c r="H158" s="88">
        <v>0.99</v>
      </c>
      <c r="I158" s="88">
        <v>1</v>
      </c>
      <c r="J158" s="64" t="s">
        <v>238</v>
      </c>
    </row>
    <row r="159" customHeight="1" spans="1:10">
      <c r="A159" s="64"/>
      <c r="B159" s="87"/>
      <c r="C159" s="87" t="s">
        <v>186</v>
      </c>
      <c r="D159" s="87">
        <v>30</v>
      </c>
      <c r="E159" s="87">
        <v>24</v>
      </c>
      <c r="F159" s="87">
        <v>720</v>
      </c>
      <c r="G159" s="87">
        <v>719</v>
      </c>
      <c r="H159" s="88">
        <v>0.99</v>
      </c>
      <c r="I159" s="88">
        <v>1</v>
      </c>
      <c r="J159" s="64" t="s">
        <v>238</v>
      </c>
    </row>
    <row r="160" customHeight="1" spans="1:10">
      <c r="A160" s="63" t="s">
        <v>239</v>
      </c>
      <c r="B160" s="63" t="s">
        <v>240</v>
      </c>
      <c r="C160" s="64" t="s">
        <v>175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176</v>
      </c>
      <c r="D161" s="64">
        <v>30</v>
      </c>
      <c r="E161" s="64">
        <v>24</v>
      </c>
      <c r="F161" s="64">
        <v>720</v>
      </c>
      <c r="G161" s="64">
        <v>720</v>
      </c>
      <c r="H161" s="65">
        <v>1</v>
      </c>
      <c r="I161" s="65">
        <v>1</v>
      </c>
      <c r="J161" s="64"/>
    </row>
    <row r="162" customHeight="1" spans="1:10">
      <c r="A162" s="64"/>
      <c r="B162" s="64"/>
      <c r="C162" s="64" t="s">
        <v>181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182</v>
      </c>
      <c r="D163" s="64">
        <v>30</v>
      </c>
      <c r="E163" s="64">
        <v>24</v>
      </c>
      <c r="F163" s="64">
        <v>720</v>
      </c>
      <c r="G163" s="64">
        <v>331</v>
      </c>
      <c r="H163" s="65">
        <v>0.46</v>
      </c>
      <c r="I163" s="65">
        <v>0.46</v>
      </c>
      <c r="J163" s="64" t="s">
        <v>241</v>
      </c>
    </row>
    <row r="164" customHeight="1" spans="1:10">
      <c r="A164" s="64"/>
      <c r="B164" s="64"/>
      <c r="C164" s="64" t="s">
        <v>183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186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196</v>
      </c>
      <c r="D166" s="64">
        <v>30</v>
      </c>
      <c r="E166" s="64">
        <v>24</v>
      </c>
      <c r="F166" s="64">
        <v>720</v>
      </c>
      <c r="G166" s="64">
        <v>720</v>
      </c>
      <c r="H166" s="65">
        <v>1</v>
      </c>
      <c r="I166" s="65">
        <v>1</v>
      </c>
      <c r="J166" s="64"/>
    </row>
    <row r="167" customHeight="1" spans="1:10">
      <c r="A167" s="64"/>
      <c r="B167" s="64"/>
      <c r="C167" s="64" t="s">
        <v>197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198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199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200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201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202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203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204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205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5.6" spans="1:10">
      <c r="A176" s="64"/>
      <c r="B176" s="64"/>
      <c r="C176" s="64" t="s">
        <v>206</v>
      </c>
      <c r="D176" s="64">
        <v>30</v>
      </c>
      <c r="E176" s="64">
        <v>24</v>
      </c>
      <c r="F176" s="64">
        <v>720</v>
      </c>
      <c r="G176" s="64">
        <v>718</v>
      </c>
      <c r="H176" s="65">
        <v>0.99</v>
      </c>
      <c r="I176" s="65">
        <v>1</v>
      </c>
      <c r="J176" s="64" t="s">
        <v>242</v>
      </c>
    </row>
    <row r="177" ht="15.6" spans="1:10">
      <c r="A177" s="64"/>
      <c r="B177" s="64"/>
      <c r="C177" s="64" t="s">
        <v>207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66</v>
      </c>
      <c r="B178" s="66"/>
      <c r="C178" s="15"/>
      <c r="D178" s="15"/>
      <c r="E178" s="67" t="s">
        <v>67</v>
      </c>
      <c r="F178" s="67"/>
      <c r="G178" s="68"/>
      <c r="H178" s="10" t="s">
        <v>193</v>
      </c>
      <c r="I178" s="10"/>
      <c r="J178" s="10"/>
    </row>
    <row r="179" ht="23" customHeight="1"/>
    <row r="180" ht="28" customHeight="1" spans="1:10">
      <c r="A180" s="56" t="s">
        <v>158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v>44348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159</v>
      </c>
      <c r="B182" s="6" t="s">
        <v>160</v>
      </c>
      <c r="C182" s="6" t="s">
        <v>161</v>
      </c>
      <c r="D182" s="6" t="s">
        <v>162</v>
      </c>
      <c r="E182" s="59" t="s">
        <v>163</v>
      </c>
      <c r="F182" s="59" t="s">
        <v>164</v>
      </c>
      <c r="G182" s="60" t="s">
        <v>165</v>
      </c>
      <c r="H182" s="61" t="s">
        <v>166</v>
      </c>
      <c r="I182" s="59" t="s">
        <v>167</v>
      </c>
      <c r="J182" s="6" t="s">
        <v>168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169</v>
      </c>
      <c r="E184" s="59" t="s">
        <v>170</v>
      </c>
      <c r="F184" s="59" t="s">
        <v>171</v>
      </c>
      <c r="G184" s="60" t="s">
        <v>171</v>
      </c>
      <c r="H184" s="61" t="s">
        <v>172</v>
      </c>
      <c r="I184" s="59" t="s">
        <v>172</v>
      </c>
      <c r="J184" s="6"/>
    </row>
    <row r="185" customHeight="1" spans="1:10">
      <c r="A185" s="63" t="s">
        <v>239</v>
      </c>
      <c r="B185" s="63" t="s">
        <v>240</v>
      </c>
      <c r="C185" s="64" t="s">
        <v>209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210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211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212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213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214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215</v>
      </c>
      <c r="D191" s="64">
        <v>30</v>
      </c>
      <c r="E191" s="64">
        <v>24</v>
      </c>
      <c r="F191" s="64">
        <v>720</v>
      </c>
      <c r="G191" s="64">
        <v>720</v>
      </c>
      <c r="H191" s="65">
        <v>1</v>
      </c>
      <c r="I191" s="65">
        <v>1</v>
      </c>
      <c r="J191" s="64"/>
    </row>
    <row r="192" customHeight="1" spans="1:10">
      <c r="A192" s="64"/>
      <c r="B192" s="64"/>
      <c r="C192" s="64" t="s">
        <v>216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217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218</v>
      </c>
      <c r="D194" s="64">
        <v>30</v>
      </c>
      <c r="E194" s="64">
        <v>24</v>
      </c>
      <c r="F194" s="64">
        <v>720</v>
      </c>
      <c r="G194" s="64">
        <v>720</v>
      </c>
      <c r="H194" s="65">
        <v>1</v>
      </c>
      <c r="I194" s="65">
        <v>1</v>
      </c>
      <c r="J194" s="64"/>
    </row>
    <row r="195" customHeight="1" spans="1:10">
      <c r="A195" s="64"/>
      <c r="B195" s="64"/>
      <c r="C195" s="64" t="s">
        <v>219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220</v>
      </c>
      <c r="D196" s="64">
        <v>30</v>
      </c>
      <c r="E196" s="64">
        <v>24</v>
      </c>
      <c r="F196" s="64">
        <v>720</v>
      </c>
      <c r="G196" s="64">
        <v>720</v>
      </c>
      <c r="H196" s="65">
        <v>1</v>
      </c>
      <c r="I196" s="65">
        <v>1</v>
      </c>
      <c r="J196" s="64"/>
    </row>
    <row r="197" customHeight="1" spans="1:10">
      <c r="A197" s="64"/>
      <c r="B197" s="64"/>
      <c r="C197" s="64" t="s">
        <v>221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222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223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224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225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226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234</v>
      </c>
      <c r="C203" s="64" t="s">
        <v>181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182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236</v>
      </c>
      <c r="C205" s="64" t="s">
        <v>182</v>
      </c>
      <c r="D205" s="64">
        <v>30</v>
      </c>
      <c r="E205" s="64">
        <v>24</v>
      </c>
      <c r="F205" s="64">
        <v>720</v>
      </c>
      <c r="G205" s="64">
        <v>720</v>
      </c>
      <c r="H205" s="65">
        <v>1</v>
      </c>
      <c r="I205" s="65">
        <v>1</v>
      </c>
      <c r="J205" s="64"/>
    </row>
    <row r="206" customHeight="1" spans="1:10">
      <c r="A206" s="64"/>
      <c r="B206" s="64"/>
      <c r="C206" s="64" t="s">
        <v>183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186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237</v>
      </c>
      <c r="C208" s="64" t="s">
        <v>175</v>
      </c>
      <c r="D208" s="64">
        <v>30</v>
      </c>
      <c r="E208" s="64">
        <v>24</v>
      </c>
      <c r="F208" s="64">
        <v>720</v>
      </c>
      <c r="G208" s="64">
        <v>336</v>
      </c>
      <c r="H208" s="65">
        <v>0.466666666666667</v>
      </c>
      <c r="I208" s="65">
        <v>1</v>
      </c>
      <c r="J208" s="64"/>
    </row>
    <row r="209" customHeight="1" spans="1:10">
      <c r="A209" s="64"/>
      <c r="B209" s="64"/>
      <c r="C209" s="64" t="s">
        <v>176</v>
      </c>
      <c r="D209" s="64">
        <v>30</v>
      </c>
      <c r="E209" s="64">
        <v>24</v>
      </c>
      <c r="F209" s="64">
        <v>720</v>
      </c>
      <c r="G209" s="64">
        <v>384</v>
      </c>
      <c r="H209" s="65">
        <v>0.533333333333333</v>
      </c>
      <c r="I209" s="65">
        <v>1</v>
      </c>
      <c r="J209" s="64"/>
    </row>
    <row r="210" customHeight="1" spans="1:10">
      <c r="A210" s="64"/>
      <c r="B210" s="64"/>
      <c r="C210" s="64" t="s">
        <v>181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182</v>
      </c>
      <c r="D211" s="64">
        <v>30</v>
      </c>
      <c r="E211" s="64">
        <v>24</v>
      </c>
      <c r="F211" s="64">
        <v>720</v>
      </c>
      <c r="G211" s="64">
        <v>0</v>
      </c>
      <c r="H211" s="65">
        <v>0</v>
      </c>
      <c r="I211" s="65">
        <v>1</v>
      </c>
      <c r="J211" s="64"/>
    </row>
    <row r="212" customHeight="1" spans="1:10">
      <c r="A212" s="64"/>
      <c r="B212" s="64"/>
      <c r="C212" s="64" t="s">
        <v>183</v>
      </c>
      <c r="D212" s="64">
        <v>30</v>
      </c>
      <c r="E212" s="64">
        <v>24</v>
      </c>
      <c r="F212" s="64">
        <v>720</v>
      </c>
      <c r="G212" s="64">
        <v>720</v>
      </c>
      <c r="H212" s="65">
        <v>1</v>
      </c>
      <c r="I212" s="65">
        <v>1</v>
      </c>
      <c r="J212" s="64"/>
    </row>
    <row r="213" customHeight="1" spans="1:10">
      <c r="A213" s="64"/>
      <c r="B213" s="64"/>
      <c r="C213" s="64" t="s">
        <v>186</v>
      </c>
      <c r="D213" s="64">
        <v>30</v>
      </c>
      <c r="E213" s="64">
        <v>24</v>
      </c>
      <c r="F213" s="64">
        <v>720</v>
      </c>
      <c r="G213" s="64">
        <v>720</v>
      </c>
      <c r="H213" s="65">
        <v>1</v>
      </c>
      <c r="I213" s="65">
        <v>1</v>
      </c>
      <c r="J213" s="64"/>
    </row>
    <row r="214" customHeight="1" spans="1:10">
      <c r="A214" s="79" t="s">
        <v>243</v>
      </c>
      <c r="B214" s="63" t="s">
        <v>244</v>
      </c>
      <c r="C214" s="89" t="s">
        <v>175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 t="s">
        <v>245</v>
      </c>
    </row>
    <row r="215" customHeight="1" spans="1:10">
      <c r="A215" s="80"/>
      <c r="B215" s="64"/>
      <c r="C215" s="64" t="s">
        <v>176</v>
      </c>
      <c r="D215" s="64">
        <v>30</v>
      </c>
      <c r="E215" s="64">
        <v>24</v>
      </c>
      <c r="F215" s="64">
        <v>720</v>
      </c>
      <c r="G215" s="64">
        <v>192</v>
      </c>
      <c r="H215" s="65">
        <v>0.266666666666667</v>
      </c>
      <c r="I215" s="65">
        <v>1</v>
      </c>
      <c r="J215" s="64"/>
    </row>
    <row r="216" customHeight="1" spans="1:10">
      <c r="A216" s="80"/>
      <c r="B216" s="64"/>
      <c r="C216" s="64" t="s">
        <v>181</v>
      </c>
      <c r="D216" s="64">
        <v>30</v>
      </c>
      <c r="E216" s="64">
        <v>24</v>
      </c>
      <c r="F216" s="64">
        <v>720</v>
      </c>
      <c r="G216" s="64">
        <v>528</v>
      </c>
      <c r="H216" s="65">
        <v>0.733333333333333</v>
      </c>
      <c r="I216" s="65">
        <v>1</v>
      </c>
      <c r="J216" s="64" t="s">
        <v>246</v>
      </c>
    </row>
    <row r="217" customHeight="1" spans="1:10">
      <c r="A217" s="80"/>
      <c r="B217" s="64"/>
      <c r="C217" s="64" t="s">
        <v>182</v>
      </c>
      <c r="D217" s="64">
        <v>30</v>
      </c>
      <c r="E217" s="64">
        <v>24</v>
      </c>
      <c r="F217" s="64">
        <v>720</v>
      </c>
      <c r="G217" s="64">
        <v>720</v>
      </c>
      <c r="H217" s="65">
        <v>1</v>
      </c>
      <c r="I217" s="65">
        <v>1</v>
      </c>
      <c r="J217" s="64"/>
    </row>
    <row r="218" customHeight="1" spans="1:10">
      <c r="A218" s="80"/>
      <c r="B218" s="63" t="s">
        <v>247</v>
      </c>
      <c r="C218" s="64" t="s">
        <v>175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/>
    </row>
    <row r="219" customHeight="1" spans="1:10">
      <c r="A219" s="80"/>
      <c r="B219" s="64"/>
      <c r="C219" s="64" t="s">
        <v>176</v>
      </c>
      <c r="D219" s="64">
        <v>30</v>
      </c>
      <c r="E219" s="64">
        <v>24</v>
      </c>
      <c r="F219" s="64">
        <v>720</v>
      </c>
      <c r="G219" s="64">
        <v>720</v>
      </c>
      <c r="H219" s="78">
        <v>1</v>
      </c>
      <c r="I219" s="78">
        <v>1</v>
      </c>
      <c r="J219" s="5"/>
    </row>
    <row r="220" customHeight="1" spans="1:10">
      <c r="A220" s="80"/>
      <c r="B220" s="64"/>
      <c r="C220" s="64" t="s">
        <v>181</v>
      </c>
      <c r="D220" s="64">
        <v>30</v>
      </c>
      <c r="E220" s="64">
        <v>24</v>
      </c>
      <c r="F220" s="64">
        <v>720</v>
      </c>
      <c r="G220" s="64">
        <v>720</v>
      </c>
      <c r="H220" s="78">
        <v>1</v>
      </c>
      <c r="I220" s="78">
        <v>1</v>
      </c>
      <c r="J220" s="5"/>
    </row>
    <row r="221" ht="15.6" spans="1:10">
      <c r="A221" s="82"/>
      <c r="B221" s="64"/>
      <c r="C221" s="64" t="s">
        <v>182</v>
      </c>
      <c r="D221" s="64">
        <v>30</v>
      </c>
      <c r="E221" s="64">
        <v>24</v>
      </c>
      <c r="F221" s="64">
        <v>720</v>
      </c>
      <c r="G221" s="64">
        <v>720</v>
      </c>
      <c r="H221" s="78">
        <v>1</v>
      </c>
      <c r="I221" s="78">
        <v>1</v>
      </c>
      <c r="J221" s="5"/>
    </row>
    <row r="222" customHeight="1" spans="1:10">
      <c r="A222" s="66" t="s">
        <v>66</v>
      </c>
      <c r="B222" s="66"/>
      <c r="C222" s="15"/>
      <c r="D222" s="15"/>
      <c r="E222" s="67" t="s">
        <v>67</v>
      </c>
      <c r="F222" s="67"/>
      <c r="G222" s="68"/>
      <c r="H222" s="10" t="s">
        <v>193</v>
      </c>
      <c r="I222" s="10"/>
      <c r="J222" s="10"/>
    </row>
    <row r="223" ht="17" customHeight="1"/>
    <row r="224" ht="16" customHeight="1"/>
    <row r="225" ht="27" customHeight="1" spans="1:10">
      <c r="A225" s="56" t="s">
        <v>158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v>44348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159</v>
      </c>
      <c r="B227" s="6" t="s">
        <v>160</v>
      </c>
      <c r="C227" s="6" t="s">
        <v>161</v>
      </c>
      <c r="D227" s="6" t="s">
        <v>162</v>
      </c>
      <c r="E227" s="59" t="s">
        <v>163</v>
      </c>
      <c r="F227" s="59" t="s">
        <v>164</v>
      </c>
      <c r="G227" s="60" t="s">
        <v>165</v>
      </c>
      <c r="H227" s="61" t="s">
        <v>166</v>
      </c>
      <c r="I227" s="59" t="s">
        <v>167</v>
      </c>
      <c r="J227" s="6" t="s">
        <v>168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169</v>
      </c>
      <c r="E229" s="59" t="s">
        <v>170</v>
      </c>
      <c r="F229" s="59" t="s">
        <v>171</v>
      </c>
      <c r="G229" s="60" t="s">
        <v>171</v>
      </c>
      <c r="H229" s="61" t="s">
        <v>172</v>
      </c>
      <c r="I229" s="59" t="s">
        <v>172</v>
      </c>
      <c r="J229" s="6"/>
    </row>
    <row r="230" customHeight="1" spans="1:10">
      <c r="A230" s="63" t="s">
        <v>243</v>
      </c>
      <c r="B230" s="63" t="s">
        <v>248</v>
      </c>
      <c r="C230" s="64" t="s">
        <v>175</v>
      </c>
      <c r="D230" s="64">
        <v>30</v>
      </c>
      <c r="E230" s="64">
        <v>24</v>
      </c>
      <c r="F230" s="64">
        <v>720</v>
      </c>
      <c r="G230" s="64">
        <v>718</v>
      </c>
      <c r="H230" s="65">
        <v>0.161111111111111</v>
      </c>
      <c r="I230" s="65">
        <v>1</v>
      </c>
      <c r="J230" s="64"/>
    </row>
    <row r="231" customHeight="1" spans="1:10">
      <c r="A231" s="63"/>
      <c r="B231" s="64"/>
      <c r="C231" s="64" t="s">
        <v>176</v>
      </c>
      <c r="D231" s="64">
        <v>30</v>
      </c>
      <c r="E231" s="64">
        <v>24</v>
      </c>
      <c r="F231" s="64">
        <v>720</v>
      </c>
      <c r="G231" s="64">
        <v>116</v>
      </c>
      <c r="H231" s="65">
        <v>0.161111111111111</v>
      </c>
      <c r="I231" s="65">
        <v>1</v>
      </c>
      <c r="J231" s="64"/>
    </row>
    <row r="232" customHeight="1" spans="1:10">
      <c r="A232" s="63"/>
      <c r="B232" s="64"/>
      <c r="C232" s="64" t="s">
        <v>181</v>
      </c>
      <c r="D232" s="64">
        <v>30</v>
      </c>
      <c r="E232" s="64">
        <v>24</v>
      </c>
      <c r="F232" s="64">
        <v>720</v>
      </c>
      <c r="G232" s="64">
        <v>116</v>
      </c>
      <c r="H232" s="65">
        <v>0.161111111111111</v>
      </c>
      <c r="I232" s="65">
        <v>1</v>
      </c>
      <c r="J232" s="64"/>
    </row>
    <row r="233" customHeight="1" spans="1:10">
      <c r="A233" s="63"/>
      <c r="B233" s="64"/>
      <c r="C233" s="64" t="s">
        <v>182</v>
      </c>
      <c r="D233" s="64">
        <v>30</v>
      </c>
      <c r="E233" s="64">
        <v>24</v>
      </c>
      <c r="F233" s="64">
        <v>720</v>
      </c>
      <c r="G233" s="64">
        <v>116</v>
      </c>
      <c r="H233" s="65">
        <v>0.161111111111111</v>
      </c>
      <c r="I233" s="65">
        <v>1</v>
      </c>
      <c r="J233" s="64"/>
    </row>
    <row r="234" customHeight="1" spans="1:10">
      <c r="A234" s="63"/>
      <c r="B234" s="63" t="s">
        <v>249</v>
      </c>
      <c r="C234" s="64" t="s">
        <v>175</v>
      </c>
      <c r="D234" s="64">
        <v>30</v>
      </c>
      <c r="E234" s="64">
        <v>24</v>
      </c>
      <c r="F234" s="64">
        <v>720</v>
      </c>
      <c r="G234" s="64">
        <v>116</v>
      </c>
      <c r="H234" s="65">
        <v>0.161111111111111</v>
      </c>
      <c r="I234" s="65">
        <v>1</v>
      </c>
      <c r="J234" s="64"/>
    </row>
    <row r="235" customHeight="1" spans="1:10">
      <c r="A235" s="63"/>
      <c r="B235" s="64"/>
      <c r="C235" s="64" t="s">
        <v>176</v>
      </c>
      <c r="D235" s="64">
        <v>30</v>
      </c>
      <c r="E235" s="64">
        <v>24</v>
      </c>
      <c r="F235" s="64">
        <v>720</v>
      </c>
      <c r="G235" s="64">
        <v>116</v>
      </c>
      <c r="H235" s="65">
        <v>0.161111111111111</v>
      </c>
      <c r="I235" s="65">
        <v>1</v>
      </c>
      <c r="J235" s="64"/>
    </row>
    <row r="236" customHeight="1" spans="1:10">
      <c r="A236" s="63"/>
      <c r="B236" s="64"/>
      <c r="C236" s="64" t="s">
        <v>181</v>
      </c>
      <c r="D236" s="64">
        <v>30</v>
      </c>
      <c r="E236" s="64">
        <v>24</v>
      </c>
      <c r="F236" s="64">
        <v>720</v>
      </c>
      <c r="G236" s="64">
        <v>716</v>
      </c>
      <c r="H236" s="65">
        <v>0.161111111111111</v>
      </c>
      <c r="I236" s="65">
        <v>1</v>
      </c>
      <c r="J236" s="64"/>
    </row>
    <row r="237" customHeight="1" spans="1:10">
      <c r="A237" s="63"/>
      <c r="B237" s="64"/>
      <c r="C237" s="64" t="s">
        <v>182</v>
      </c>
      <c r="D237" s="64">
        <v>30</v>
      </c>
      <c r="E237" s="64">
        <v>24</v>
      </c>
      <c r="F237" s="64">
        <v>720</v>
      </c>
      <c r="G237" s="64">
        <v>116</v>
      </c>
      <c r="H237" s="65">
        <v>0.161111111111111</v>
      </c>
      <c r="I237" s="65">
        <v>1</v>
      </c>
      <c r="J237" s="64"/>
    </row>
    <row r="238" customHeight="1" spans="1:10">
      <c r="A238" s="63"/>
      <c r="B238" s="64"/>
      <c r="C238" s="64" t="s">
        <v>183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186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250</v>
      </c>
      <c r="C240" s="64" t="s">
        <v>175</v>
      </c>
      <c r="D240" s="64">
        <v>30</v>
      </c>
      <c r="E240" s="64">
        <v>24</v>
      </c>
      <c r="F240" s="64">
        <v>720</v>
      </c>
      <c r="G240" s="64">
        <v>78</v>
      </c>
      <c r="H240" s="65">
        <v>0.108333333333333</v>
      </c>
      <c r="I240" s="65">
        <v>1</v>
      </c>
      <c r="J240" s="64"/>
    </row>
    <row r="241" customHeight="1" spans="1:10">
      <c r="A241" s="63"/>
      <c r="B241" s="64"/>
      <c r="C241" s="64" t="s">
        <v>176</v>
      </c>
      <c r="D241" s="64">
        <v>30</v>
      </c>
      <c r="E241" s="64">
        <v>24</v>
      </c>
      <c r="F241" s="64">
        <v>720</v>
      </c>
      <c r="G241" s="64">
        <v>78</v>
      </c>
      <c r="H241" s="65">
        <v>0.108333333333333</v>
      </c>
      <c r="I241" s="65">
        <v>1</v>
      </c>
      <c r="J241" s="64"/>
    </row>
    <row r="242" customHeight="1" spans="1:10">
      <c r="A242" s="63"/>
      <c r="B242" s="64"/>
      <c r="C242" s="64" t="s">
        <v>181</v>
      </c>
      <c r="D242" s="64">
        <v>30</v>
      </c>
      <c r="E242" s="64">
        <v>24</v>
      </c>
      <c r="F242" s="64">
        <v>720</v>
      </c>
      <c r="G242" s="64">
        <v>78</v>
      </c>
      <c r="H242" s="65">
        <v>0.108333333333333</v>
      </c>
      <c r="I242" s="65">
        <v>1</v>
      </c>
      <c r="J242" s="64"/>
    </row>
    <row r="243" customHeight="1" spans="1:10">
      <c r="A243" s="63"/>
      <c r="B243" s="64"/>
      <c r="C243" s="64" t="s">
        <v>182</v>
      </c>
      <c r="D243" s="64">
        <v>30</v>
      </c>
      <c r="E243" s="64">
        <v>24</v>
      </c>
      <c r="F243" s="64">
        <v>720</v>
      </c>
      <c r="G243" s="64">
        <v>78</v>
      </c>
      <c r="H243" s="65">
        <v>0.108333333333333</v>
      </c>
      <c r="I243" s="65">
        <v>1</v>
      </c>
      <c r="J243" s="64"/>
    </row>
    <row r="244" customHeight="1" spans="1:10">
      <c r="A244" s="63"/>
      <c r="B244" s="63" t="s">
        <v>251</v>
      </c>
      <c r="C244" s="64" t="s">
        <v>175</v>
      </c>
      <c r="D244" s="64">
        <v>30</v>
      </c>
      <c r="E244" s="64">
        <v>24</v>
      </c>
      <c r="F244" s="64">
        <v>720</v>
      </c>
      <c r="G244" s="64">
        <v>116</v>
      </c>
      <c r="H244" s="65">
        <v>0.161111111111111</v>
      </c>
      <c r="I244" s="65">
        <v>1</v>
      </c>
      <c r="J244" s="64"/>
    </row>
    <row r="245" customHeight="1" spans="1:10">
      <c r="A245" s="63"/>
      <c r="B245" s="64"/>
      <c r="C245" s="64" t="s">
        <v>176</v>
      </c>
      <c r="D245" s="64">
        <v>30</v>
      </c>
      <c r="E245" s="64">
        <v>24</v>
      </c>
      <c r="F245" s="64">
        <v>720</v>
      </c>
      <c r="G245" s="64">
        <v>80</v>
      </c>
      <c r="H245" s="65">
        <v>0.111111111111111</v>
      </c>
      <c r="I245" s="65">
        <v>1</v>
      </c>
      <c r="J245" s="64"/>
    </row>
    <row r="246" customHeight="1" spans="1:10">
      <c r="A246" s="63"/>
      <c r="B246" s="64"/>
      <c r="C246" s="64" t="s">
        <v>181</v>
      </c>
      <c r="D246" s="64">
        <v>30</v>
      </c>
      <c r="E246" s="64">
        <v>24</v>
      </c>
      <c r="F246" s="64">
        <v>720</v>
      </c>
      <c r="G246" s="64">
        <v>36</v>
      </c>
      <c r="H246" s="65">
        <v>0.05</v>
      </c>
      <c r="I246" s="65">
        <v>1</v>
      </c>
      <c r="J246" s="64"/>
    </row>
    <row r="247" customHeight="1" spans="1:10">
      <c r="A247" s="63"/>
      <c r="B247" s="64"/>
      <c r="C247" s="64" t="s">
        <v>182</v>
      </c>
      <c r="D247" s="64">
        <v>30</v>
      </c>
      <c r="E247" s="64">
        <v>24</v>
      </c>
      <c r="F247" s="64">
        <v>720</v>
      </c>
      <c r="G247" s="64">
        <v>0</v>
      </c>
      <c r="H247" s="65">
        <v>0</v>
      </c>
      <c r="I247" s="65">
        <v>1</v>
      </c>
      <c r="J247" s="64"/>
    </row>
    <row r="248" customHeight="1" spans="1:10">
      <c r="A248" s="63"/>
      <c r="B248" s="64"/>
      <c r="C248" s="64" t="s">
        <v>183</v>
      </c>
      <c r="D248" s="64">
        <v>30</v>
      </c>
      <c r="E248" s="64">
        <v>24</v>
      </c>
      <c r="F248" s="64">
        <v>720</v>
      </c>
      <c r="G248" s="64">
        <v>116</v>
      </c>
      <c r="H248" s="65">
        <v>0.161111111111111</v>
      </c>
      <c r="I248" s="65">
        <v>1</v>
      </c>
      <c r="J248" s="64"/>
    </row>
    <row r="249" customHeight="1" spans="1:10">
      <c r="A249" s="63"/>
      <c r="B249" s="64"/>
      <c r="C249" s="64" t="s">
        <v>186</v>
      </c>
      <c r="D249" s="64">
        <v>30</v>
      </c>
      <c r="E249" s="64">
        <v>24</v>
      </c>
      <c r="F249" s="64">
        <v>720</v>
      </c>
      <c r="G249" s="64">
        <v>116</v>
      </c>
      <c r="H249" s="65">
        <v>0.161111111111111</v>
      </c>
      <c r="I249" s="65">
        <v>1</v>
      </c>
      <c r="J249" s="64"/>
    </row>
    <row r="250" customHeight="1" spans="1:10">
      <c r="A250" s="63"/>
      <c r="B250" s="64"/>
      <c r="C250" s="64" t="s">
        <v>196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64"/>
      <c r="C251" s="64" t="s">
        <v>197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64"/>
      <c r="C252" s="64" t="s">
        <v>198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63" t="s">
        <v>252</v>
      </c>
      <c r="C253" s="64" t="s">
        <v>175</v>
      </c>
      <c r="D253" s="64">
        <v>30</v>
      </c>
      <c r="E253" s="64">
        <v>24</v>
      </c>
      <c r="F253" s="64">
        <v>720</v>
      </c>
      <c r="G253" s="64">
        <v>116</v>
      </c>
      <c r="H253" s="65">
        <v>0.161111111111111</v>
      </c>
      <c r="I253" s="65">
        <v>1</v>
      </c>
      <c r="J253" s="64"/>
    </row>
    <row r="254" customHeight="1" spans="1:10">
      <c r="A254" s="63"/>
      <c r="B254" s="64"/>
      <c r="C254" s="64" t="s">
        <v>176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64"/>
      <c r="C255" s="64" t="s">
        <v>181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64"/>
      <c r="C256" s="64" t="s">
        <v>182</v>
      </c>
      <c r="D256" s="64">
        <v>30</v>
      </c>
      <c r="E256" s="64">
        <v>24</v>
      </c>
      <c r="F256" s="64">
        <v>720</v>
      </c>
      <c r="G256" s="64">
        <v>116</v>
      </c>
      <c r="H256" s="65">
        <v>0.161111111111111</v>
      </c>
      <c r="I256" s="65">
        <v>1</v>
      </c>
      <c r="J256" s="64"/>
    </row>
    <row r="257" customHeight="1" spans="1:10">
      <c r="A257" s="63"/>
      <c r="B257" s="64"/>
      <c r="C257" s="64" t="s">
        <v>183</v>
      </c>
      <c r="D257" s="64">
        <v>30</v>
      </c>
      <c r="E257" s="64">
        <v>24</v>
      </c>
      <c r="F257" s="64">
        <v>720</v>
      </c>
      <c r="G257" s="64">
        <v>116</v>
      </c>
      <c r="H257" s="65">
        <v>0.161111111111111</v>
      </c>
      <c r="I257" s="65">
        <v>1</v>
      </c>
      <c r="J257" s="64"/>
    </row>
    <row r="258" customHeight="1" spans="1:10">
      <c r="A258" s="63"/>
      <c r="B258" s="64"/>
      <c r="C258" s="64" t="s">
        <v>186</v>
      </c>
      <c r="D258" s="64">
        <v>30</v>
      </c>
      <c r="E258" s="64">
        <v>24</v>
      </c>
      <c r="F258" s="64">
        <v>720</v>
      </c>
      <c r="G258" s="64">
        <v>0</v>
      </c>
      <c r="H258" s="65">
        <v>0</v>
      </c>
      <c r="I258" s="65">
        <v>1</v>
      </c>
      <c r="J258" s="64"/>
    </row>
    <row r="259" customHeight="1" spans="1:10">
      <c r="A259" s="63"/>
      <c r="B259" s="64"/>
      <c r="C259" s="64" t="s">
        <v>196</v>
      </c>
      <c r="D259" s="64">
        <v>30</v>
      </c>
      <c r="E259" s="64">
        <v>24</v>
      </c>
      <c r="F259" s="64">
        <v>720</v>
      </c>
      <c r="G259" s="64">
        <v>0</v>
      </c>
      <c r="H259" s="65">
        <v>0</v>
      </c>
      <c r="I259" s="65">
        <v>1</v>
      </c>
      <c r="J259" s="64"/>
    </row>
    <row r="260" customHeight="1" spans="1:10">
      <c r="A260" s="63"/>
      <c r="B260" s="64"/>
      <c r="C260" s="64" t="s">
        <v>197</v>
      </c>
      <c r="D260" s="64">
        <v>30</v>
      </c>
      <c r="E260" s="64">
        <v>24</v>
      </c>
      <c r="F260" s="64">
        <v>720</v>
      </c>
      <c r="G260" s="64">
        <v>114</v>
      </c>
      <c r="H260" s="65">
        <v>0.158333333333333</v>
      </c>
      <c r="I260" s="65">
        <v>1</v>
      </c>
      <c r="J260" s="64"/>
    </row>
    <row r="261" customHeight="1" spans="1:10">
      <c r="A261" s="63"/>
      <c r="B261" s="6" t="s">
        <v>253</v>
      </c>
      <c r="C261" s="64" t="s">
        <v>175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/>
    </row>
    <row r="262" customHeight="1" spans="1:10">
      <c r="A262" s="63"/>
      <c r="B262" s="5"/>
      <c r="C262" s="64" t="s">
        <v>176</v>
      </c>
      <c r="D262" s="64">
        <v>31</v>
      </c>
      <c r="E262" s="64">
        <v>24</v>
      </c>
      <c r="F262" s="64">
        <v>720</v>
      </c>
      <c r="G262" s="64">
        <v>720</v>
      </c>
      <c r="H262" s="65">
        <v>0.97</v>
      </c>
      <c r="I262" s="65">
        <v>1</v>
      </c>
      <c r="J262" s="64"/>
    </row>
    <row r="263" customHeight="1" spans="1:10">
      <c r="A263" s="63"/>
      <c r="B263" s="5"/>
      <c r="C263" s="64" t="s">
        <v>181</v>
      </c>
      <c r="D263" s="64">
        <v>30</v>
      </c>
      <c r="E263" s="64">
        <v>24</v>
      </c>
      <c r="F263" s="64">
        <v>720</v>
      </c>
      <c r="G263" s="64">
        <v>0</v>
      </c>
      <c r="H263" s="65">
        <v>0</v>
      </c>
      <c r="I263" s="65">
        <v>1</v>
      </c>
      <c r="J263" s="64"/>
    </row>
    <row r="264" customHeight="1" spans="1:10">
      <c r="A264" s="63"/>
      <c r="B264" s="6" t="s">
        <v>254</v>
      </c>
      <c r="C264" s="64" t="s">
        <v>175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 t="s">
        <v>255</v>
      </c>
    </row>
    <row r="265" customHeight="1" spans="1:10">
      <c r="A265" s="63"/>
      <c r="B265" s="5"/>
      <c r="C265" s="64" t="s">
        <v>176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255</v>
      </c>
    </row>
    <row r="266" customHeight="1" spans="1:10">
      <c r="A266" s="63"/>
      <c r="B266" s="5"/>
      <c r="C266" s="64" t="s">
        <v>181</v>
      </c>
      <c r="D266" s="64">
        <v>30</v>
      </c>
      <c r="E266" s="64">
        <v>24</v>
      </c>
      <c r="F266" s="64">
        <v>720</v>
      </c>
      <c r="G266" s="64">
        <v>720</v>
      </c>
      <c r="H266" s="65">
        <v>1</v>
      </c>
      <c r="I266" s="65">
        <v>1</v>
      </c>
      <c r="J266" s="64" t="s">
        <v>255</v>
      </c>
    </row>
    <row r="267" customHeight="1" spans="1:10">
      <c r="A267" s="63"/>
      <c r="B267" s="5"/>
      <c r="C267" s="64" t="s">
        <v>182</v>
      </c>
      <c r="D267" s="64">
        <v>30</v>
      </c>
      <c r="E267" s="64">
        <v>24</v>
      </c>
      <c r="F267" s="64">
        <v>720</v>
      </c>
      <c r="G267" s="64">
        <v>720</v>
      </c>
      <c r="H267" s="65">
        <v>1</v>
      </c>
      <c r="I267" s="65">
        <v>1</v>
      </c>
      <c r="J267" s="64" t="s">
        <v>255</v>
      </c>
    </row>
    <row r="268" customHeight="1" spans="1:10">
      <c r="A268" s="63"/>
      <c r="B268" s="5"/>
      <c r="C268" s="64" t="s">
        <v>183</v>
      </c>
      <c r="D268" s="64">
        <v>30</v>
      </c>
      <c r="E268" s="64">
        <v>24</v>
      </c>
      <c r="F268" s="64">
        <v>720</v>
      </c>
      <c r="G268" s="64">
        <v>720</v>
      </c>
      <c r="H268" s="65">
        <v>1</v>
      </c>
      <c r="I268" s="65">
        <v>1</v>
      </c>
      <c r="J268" s="64" t="s">
        <v>255</v>
      </c>
    </row>
    <row r="269" ht="19" customHeight="1" spans="1:10">
      <c r="A269" s="66" t="s">
        <v>66</v>
      </c>
      <c r="B269" s="66"/>
      <c r="C269" s="15"/>
      <c r="D269" s="15"/>
      <c r="E269" s="67" t="s">
        <v>67</v>
      </c>
      <c r="F269" s="67"/>
      <c r="G269" s="68"/>
      <c r="H269" s="10" t="s">
        <v>193</v>
      </c>
      <c r="I269" s="10"/>
      <c r="J269" s="10"/>
    </row>
    <row r="270" ht="17" customHeight="1" spans="1:10">
      <c r="A270" s="56" t="s">
        <v>158</v>
      </c>
      <c r="B270" s="56"/>
      <c r="C270" s="56"/>
      <c r="D270" s="56"/>
      <c r="E270" s="56"/>
      <c r="F270" s="56"/>
      <c r="G270" s="56"/>
      <c r="H270" s="57"/>
      <c r="I270" s="56"/>
      <c r="J270" s="56"/>
    </row>
    <row r="271" customHeight="1" spans="1:10">
      <c r="A271" s="58">
        <v>44348</v>
      </c>
      <c r="B271" s="58"/>
      <c r="C271" s="58"/>
      <c r="D271" s="58"/>
      <c r="E271" s="58"/>
      <c r="F271" s="58"/>
      <c r="G271" s="58"/>
      <c r="H271" s="58"/>
      <c r="I271" s="58"/>
      <c r="J271" s="58"/>
    </row>
    <row r="272" customHeight="1" spans="1:10">
      <c r="A272" s="6" t="s">
        <v>159</v>
      </c>
      <c r="B272" s="6" t="s">
        <v>160</v>
      </c>
      <c r="C272" s="6" t="s">
        <v>161</v>
      </c>
      <c r="D272" s="6" t="s">
        <v>162</v>
      </c>
      <c r="E272" s="59" t="s">
        <v>163</v>
      </c>
      <c r="F272" s="59" t="s">
        <v>164</v>
      </c>
      <c r="G272" s="60" t="s">
        <v>165</v>
      </c>
      <c r="H272" s="61" t="s">
        <v>166</v>
      </c>
      <c r="I272" s="59" t="s">
        <v>167</v>
      </c>
      <c r="J272" s="6" t="s">
        <v>168</v>
      </c>
    </row>
    <row r="273" customHeight="1" spans="1:10">
      <c r="A273" s="6"/>
      <c r="B273" s="6"/>
      <c r="C273" s="6"/>
      <c r="D273" s="6"/>
      <c r="E273" s="59"/>
      <c r="F273" s="59"/>
      <c r="G273" s="60"/>
      <c r="H273" s="61"/>
      <c r="I273" s="59"/>
      <c r="J273" s="6"/>
    </row>
    <row r="274" customHeight="1" spans="1:10">
      <c r="A274" s="62"/>
      <c r="B274" s="6"/>
      <c r="C274" s="62"/>
      <c r="D274" s="6" t="s">
        <v>169</v>
      </c>
      <c r="E274" s="59" t="s">
        <v>170</v>
      </c>
      <c r="F274" s="59" t="s">
        <v>171</v>
      </c>
      <c r="G274" s="60" t="s">
        <v>171</v>
      </c>
      <c r="H274" s="61" t="s">
        <v>172</v>
      </c>
      <c r="I274" s="59" t="s">
        <v>172</v>
      </c>
      <c r="J274" s="6"/>
    </row>
    <row r="275" customHeight="1" spans="1:10">
      <c r="A275" s="63" t="s">
        <v>243</v>
      </c>
      <c r="B275" s="63" t="s">
        <v>254</v>
      </c>
      <c r="C275" s="64" t="s">
        <v>186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255</v>
      </c>
    </row>
    <row r="276" customHeight="1" spans="1:10">
      <c r="A276" s="64"/>
      <c r="B276" s="63"/>
      <c r="C276" s="64" t="s">
        <v>196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 t="s">
        <v>255</v>
      </c>
    </row>
    <row r="277" customHeight="1" spans="1:10">
      <c r="A277" s="64"/>
      <c r="B277" s="63"/>
      <c r="C277" s="64" t="s">
        <v>197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 t="s">
        <v>255</v>
      </c>
    </row>
    <row r="278" customHeight="1" spans="1:10">
      <c r="A278" s="64"/>
      <c r="B278" s="63" t="s">
        <v>256</v>
      </c>
      <c r="C278" s="64" t="s">
        <v>198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255</v>
      </c>
    </row>
    <row r="279" customHeight="1" spans="1:10">
      <c r="A279" s="64"/>
      <c r="B279" s="64"/>
      <c r="C279" s="64" t="s">
        <v>199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 t="s">
        <v>255</v>
      </c>
    </row>
    <row r="280" customHeight="1" spans="1:10">
      <c r="A280" s="64"/>
      <c r="B280" s="64"/>
      <c r="C280" s="64" t="s">
        <v>200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 t="s">
        <v>255</v>
      </c>
    </row>
    <row r="281" customHeight="1" spans="1:10">
      <c r="A281" s="64"/>
      <c r="B281" s="64"/>
      <c r="C281" s="64" t="s">
        <v>201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 t="s">
        <v>255</v>
      </c>
    </row>
    <row r="282" customHeight="1" spans="1:10">
      <c r="A282" s="64"/>
      <c r="B282" s="64"/>
      <c r="C282" s="64" t="s">
        <v>202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255</v>
      </c>
    </row>
    <row r="283" customHeight="1" spans="1:10">
      <c r="A283" s="64"/>
      <c r="B283" s="64"/>
      <c r="C283" s="64" t="s">
        <v>203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 t="s">
        <v>255</v>
      </c>
    </row>
    <row r="284" customHeight="1" spans="1:10">
      <c r="A284" s="64"/>
      <c r="B284" s="64"/>
      <c r="C284" s="64" t="s">
        <v>204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 t="s">
        <v>255</v>
      </c>
    </row>
    <row r="285" customHeight="1" spans="1:10">
      <c r="A285" s="64"/>
      <c r="B285" s="64"/>
      <c r="C285" s="64" t="s">
        <v>205</v>
      </c>
      <c r="D285" s="64">
        <v>30</v>
      </c>
      <c r="E285" s="64">
        <v>24</v>
      </c>
      <c r="F285" s="64">
        <v>720</v>
      </c>
      <c r="G285" s="64">
        <v>720</v>
      </c>
      <c r="H285" s="65">
        <v>1</v>
      </c>
      <c r="I285" s="65">
        <v>1</v>
      </c>
      <c r="J285" s="64" t="s">
        <v>255</v>
      </c>
    </row>
    <row r="286" customHeight="1" spans="1:10">
      <c r="A286" s="64"/>
      <c r="B286" s="64" t="s">
        <v>257</v>
      </c>
      <c r="C286" s="64" t="s">
        <v>175</v>
      </c>
      <c r="D286" s="64">
        <v>30</v>
      </c>
      <c r="E286" s="64">
        <v>24</v>
      </c>
      <c r="F286" s="64">
        <v>720</v>
      </c>
      <c r="G286" s="64">
        <v>48.2</v>
      </c>
      <c r="H286" s="65">
        <v>0.0669444444444444</v>
      </c>
      <c r="I286" s="65">
        <v>1</v>
      </c>
      <c r="J286" s="64"/>
    </row>
    <row r="287" customHeight="1" spans="1:10">
      <c r="A287" s="64"/>
      <c r="B287" s="64"/>
      <c r="C287" s="64" t="s">
        <v>176</v>
      </c>
      <c r="D287" s="64">
        <v>30</v>
      </c>
      <c r="E287" s="64">
        <v>24</v>
      </c>
      <c r="F287" s="64">
        <v>720</v>
      </c>
      <c r="G287" s="64">
        <v>0</v>
      </c>
      <c r="H287" s="65">
        <v>0</v>
      </c>
      <c r="I287" s="65">
        <v>1</v>
      </c>
      <c r="J287" s="64"/>
    </row>
    <row r="288" customHeight="1" spans="1:10">
      <c r="A288" s="64"/>
      <c r="B288" s="64"/>
      <c r="C288" s="64" t="s">
        <v>181</v>
      </c>
      <c r="D288" s="64">
        <v>30</v>
      </c>
      <c r="E288" s="64">
        <v>24</v>
      </c>
      <c r="F288" s="64">
        <v>720</v>
      </c>
      <c r="G288" s="64">
        <v>47.1</v>
      </c>
      <c r="H288" s="65">
        <v>0.0654166666666667</v>
      </c>
      <c r="I288" s="65">
        <v>1</v>
      </c>
      <c r="J288" s="64"/>
    </row>
    <row r="289" customHeight="1" spans="1:10">
      <c r="A289" s="64"/>
      <c r="B289" s="64" t="s">
        <v>258</v>
      </c>
      <c r="C289" s="64" t="s">
        <v>175</v>
      </c>
      <c r="D289" s="64">
        <v>30</v>
      </c>
      <c r="E289" s="64">
        <v>24</v>
      </c>
      <c r="F289" s="64">
        <v>720</v>
      </c>
      <c r="G289" s="64">
        <v>39.9</v>
      </c>
      <c r="H289" s="65">
        <v>0.0554166666666667</v>
      </c>
      <c r="I289" s="65">
        <v>1</v>
      </c>
      <c r="J289" s="64"/>
    </row>
    <row r="290" customHeight="1" spans="1:10">
      <c r="A290" s="64"/>
      <c r="B290" s="64"/>
      <c r="C290" s="64" t="s">
        <v>176</v>
      </c>
      <c r="D290" s="64">
        <v>30</v>
      </c>
      <c r="E290" s="64">
        <v>24</v>
      </c>
      <c r="F290" s="64">
        <v>720</v>
      </c>
      <c r="G290" s="64">
        <v>36.3</v>
      </c>
      <c r="H290" s="65">
        <v>0.0504166666666667</v>
      </c>
      <c r="I290" s="65">
        <v>1</v>
      </c>
      <c r="J290" s="64"/>
    </row>
    <row r="291" customHeight="1" spans="1:10">
      <c r="A291" s="64"/>
      <c r="B291" s="64"/>
      <c r="C291" s="64" t="s">
        <v>181</v>
      </c>
      <c r="D291" s="64">
        <v>30</v>
      </c>
      <c r="E291" s="64">
        <v>24</v>
      </c>
      <c r="F291" s="64">
        <v>720</v>
      </c>
      <c r="G291" s="64">
        <v>36.4</v>
      </c>
      <c r="H291" s="65">
        <v>0.0505555555555556</v>
      </c>
      <c r="I291" s="65">
        <v>1</v>
      </c>
      <c r="J291" s="64"/>
    </row>
    <row r="292" ht="17" customHeight="1" spans="1:10">
      <c r="A292" s="63" t="s">
        <v>259</v>
      </c>
      <c r="B292" s="79" t="s">
        <v>260</v>
      </c>
      <c r="C292" s="64" t="s">
        <v>175</v>
      </c>
      <c r="D292" s="64">
        <v>30</v>
      </c>
      <c r="E292" s="64">
        <v>24</v>
      </c>
      <c r="F292" s="64">
        <v>720</v>
      </c>
      <c r="G292" s="64">
        <v>720</v>
      </c>
      <c r="H292" s="65">
        <v>1</v>
      </c>
      <c r="I292" s="65">
        <v>1</v>
      </c>
      <c r="J292" s="64"/>
    </row>
    <row r="293" customHeight="1" spans="1:10">
      <c r="A293" s="64"/>
      <c r="B293" s="81"/>
      <c r="C293" s="64" t="s">
        <v>176</v>
      </c>
      <c r="D293" s="64">
        <v>30</v>
      </c>
      <c r="E293" s="64">
        <v>24</v>
      </c>
      <c r="F293" s="64">
        <v>720</v>
      </c>
      <c r="G293" s="64">
        <v>700</v>
      </c>
      <c r="H293" s="65">
        <v>0.97</v>
      </c>
      <c r="I293" s="65">
        <v>0.97</v>
      </c>
      <c r="J293" s="64" t="s">
        <v>261</v>
      </c>
    </row>
    <row r="294" customHeight="1" spans="1:10">
      <c r="A294" s="64"/>
      <c r="B294" s="81"/>
      <c r="C294" s="64" t="s">
        <v>181</v>
      </c>
      <c r="D294" s="64">
        <v>30</v>
      </c>
      <c r="E294" s="64">
        <v>24</v>
      </c>
      <c r="F294" s="64">
        <v>720</v>
      </c>
      <c r="G294" s="64">
        <v>720</v>
      </c>
      <c r="H294" s="65">
        <v>1</v>
      </c>
      <c r="I294" s="65">
        <v>1</v>
      </c>
      <c r="J294" s="64"/>
    </row>
    <row r="295" customHeight="1" spans="1:10">
      <c r="A295" s="64"/>
      <c r="B295" s="81"/>
      <c r="C295" s="64" t="s">
        <v>182</v>
      </c>
      <c r="D295" s="64">
        <v>30</v>
      </c>
      <c r="E295" s="64">
        <v>24</v>
      </c>
      <c r="F295" s="64">
        <v>720</v>
      </c>
      <c r="G295" s="64">
        <v>720</v>
      </c>
      <c r="H295" s="65">
        <v>1</v>
      </c>
      <c r="I295" s="65">
        <v>1</v>
      </c>
      <c r="J295" s="64"/>
    </row>
    <row r="296" customHeight="1" spans="1:10">
      <c r="A296" s="64"/>
      <c r="B296" s="81"/>
      <c r="C296" s="64" t="s">
        <v>183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186</v>
      </c>
      <c r="D297" s="64">
        <v>30</v>
      </c>
      <c r="E297" s="64">
        <v>24</v>
      </c>
      <c r="F297" s="64">
        <v>720</v>
      </c>
      <c r="G297" s="64">
        <v>720</v>
      </c>
      <c r="H297" s="65">
        <v>1</v>
      </c>
      <c r="I297" s="65">
        <v>1</v>
      </c>
      <c r="J297" s="64"/>
    </row>
    <row r="298" customHeight="1" spans="1:10">
      <c r="A298" s="64"/>
      <c r="B298" s="81"/>
      <c r="C298" s="64" t="s">
        <v>196</v>
      </c>
      <c r="D298" s="64">
        <v>30</v>
      </c>
      <c r="E298" s="64">
        <v>24</v>
      </c>
      <c r="F298" s="64">
        <v>720</v>
      </c>
      <c r="G298" s="64">
        <v>0</v>
      </c>
      <c r="H298" s="65">
        <v>0</v>
      </c>
      <c r="I298" s="65">
        <v>1</v>
      </c>
      <c r="J298" s="64"/>
    </row>
    <row r="299" customHeight="1" spans="1:10">
      <c r="A299" s="64"/>
      <c r="B299" s="83"/>
      <c r="C299" s="64" t="s">
        <v>197</v>
      </c>
      <c r="D299" s="64">
        <v>30</v>
      </c>
      <c r="E299" s="64">
        <v>24</v>
      </c>
      <c r="F299" s="64">
        <v>720</v>
      </c>
      <c r="G299" s="64">
        <v>0</v>
      </c>
      <c r="H299" s="65">
        <v>0</v>
      </c>
      <c r="I299" s="65">
        <v>1</v>
      </c>
      <c r="J299" s="64"/>
    </row>
    <row r="300" customHeight="1" spans="1:10">
      <c r="A300" s="64"/>
      <c r="B300" s="79" t="s">
        <v>262</v>
      </c>
      <c r="C300" s="64" t="s">
        <v>198</v>
      </c>
      <c r="D300" s="64">
        <v>30</v>
      </c>
      <c r="E300" s="64">
        <v>24</v>
      </c>
      <c r="F300" s="64">
        <v>720</v>
      </c>
      <c r="G300" s="64">
        <v>300</v>
      </c>
      <c r="H300" s="65">
        <v>0.416666666666667</v>
      </c>
      <c r="I300" s="65">
        <v>1</v>
      </c>
      <c r="J300" s="64"/>
    </row>
    <row r="301" customHeight="1" spans="1:10">
      <c r="A301" s="64"/>
      <c r="B301" s="81"/>
      <c r="C301" s="64" t="s">
        <v>199</v>
      </c>
      <c r="D301" s="64">
        <v>30</v>
      </c>
      <c r="E301" s="64">
        <v>24</v>
      </c>
      <c r="F301" s="64">
        <v>720</v>
      </c>
      <c r="G301" s="64">
        <v>0</v>
      </c>
      <c r="H301" s="65">
        <v>0</v>
      </c>
      <c r="I301" s="65">
        <v>1</v>
      </c>
      <c r="J301" s="64"/>
    </row>
    <row r="302" customHeight="1" spans="1:10">
      <c r="A302" s="64"/>
      <c r="B302" s="81"/>
      <c r="C302" s="64" t="s">
        <v>200</v>
      </c>
      <c r="D302" s="64">
        <v>30</v>
      </c>
      <c r="E302" s="64">
        <v>24</v>
      </c>
      <c r="F302" s="64">
        <v>720</v>
      </c>
      <c r="G302" s="64">
        <v>720</v>
      </c>
      <c r="H302" s="65">
        <v>1</v>
      </c>
      <c r="I302" s="65">
        <v>1</v>
      </c>
      <c r="J302" s="64"/>
    </row>
    <row r="303" customHeight="1" spans="1:10">
      <c r="A303" s="64"/>
      <c r="B303" s="81"/>
      <c r="C303" s="64" t="s">
        <v>201</v>
      </c>
      <c r="D303" s="64">
        <v>30</v>
      </c>
      <c r="E303" s="64">
        <v>24</v>
      </c>
      <c r="F303" s="64">
        <v>720</v>
      </c>
      <c r="G303" s="64">
        <v>720</v>
      </c>
      <c r="H303" s="65">
        <v>1</v>
      </c>
      <c r="I303" s="65">
        <v>1</v>
      </c>
      <c r="J303" s="64"/>
    </row>
    <row r="304" customHeight="1" spans="1:10">
      <c r="A304" s="64"/>
      <c r="B304" s="64" t="s">
        <v>263</v>
      </c>
      <c r="C304" s="64" t="s">
        <v>175</v>
      </c>
      <c r="D304" s="64">
        <v>30</v>
      </c>
      <c r="E304" s="64">
        <v>24</v>
      </c>
      <c r="F304" s="64">
        <v>720</v>
      </c>
      <c r="G304" s="64">
        <v>0</v>
      </c>
      <c r="H304" s="65">
        <v>0</v>
      </c>
      <c r="I304" s="65">
        <v>1</v>
      </c>
      <c r="J304" s="64"/>
    </row>
    <row r="305" customHeight="1" spans="1:10">
      <c r="A305" s="64"/>
      <c r="B305" s="64"/>
      <c r="C305" s="64" t="s">
        <v>176</v>
      </c>
      <c r="D305" s="64">
        <v>30</v>
      </c>
      <c r="E305" s="64">
        <v>24</v>
      </c>
      <c r="F305" s="64">
        <v>720</v>
      </c>
      <c r="G305" s="64">
        <v>712</v>
      </c>
      <c r="H305" s="65">
        <v>0.99</v>
      </c>
      <c r="I305" s="65">
        <v>1</v>
      </c>
      <c r="J305" s="64"/>
    </row>
    <row r="306" customHeight="1" spans="1:10">
      <c r="A306" s="64"/>
      <c r="B306" s="64"/>
      <c r="C306" s="64" t="s">
        <v>181</v>
      </c>
      <c r="D306" s="64">
        <v>30</v>
      </c>
      <c r="E306" s="64">
        <v>24</v>
      </c>
      <c r="F306" s="64">
        <v>720</v>
      </c>
      <c r="G306" s="64">
        <v>0</v>
      </c>
      <c r="H306" s="65">
        <v>0</v>
      </c>
      <c r="I306" s="65">
        <v>1</v>
      </c>
      <c r="J306" s="64"/>
    </row>
    <row r="307" customHeight="1" spans="1:10">
      <c r="A307" s="63" t="s">
        <v>264</v>
      </c>
      <c r="B307" s="64" t="s">
        <v>265</v>
      </c>
      <c r="C307" s="64" t="s">
        <v>175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/>
      <c r="C308" s="64" t="s">
        <v>176</v>
      </c>
      <c r="D308" s="64">
        <v>30</v>
      </c>
      <c r="E308" s="64">
        <v>24</v>
      </c>
      <c r="F308" s="64">
        <v>720</v>
      </c>
      <c r="G308" s="64">
        <v>720</v>
      </c>
      <c r="H308" s="65">
        <v>1</v>
      </c>
      <c r="I308" s="65">
        <v>1</v>
      </c>
      <c r="J308" s="64"/>
    </row>
    <row r="309" customHeight="1" spans="1:10">
      <c r="A309" s="64"/>
      <c r="B309" s="64" t="s">
        <v>266</v>
      </c>
      <c r="C309" s="64" t="s">
        <v>175</v>
      </c>
      <c r="D309" s="64">
        <v>30</v>
      </c>
      <c r="E309" s="64">
        <v>24</v>
      </c>
      <c r="F309" s="64">
        <v>720</v>
      </c>
      <c r="G309" s="64">
        <v>720</v>
      </c>
      <c r="H309" s="65">
        <v>1</v>
      </c>
      <c r="I309" s="65">
        <v>1</v>
      </c>
      <c r="J309" s="64"/>
    </row>
    <row r="310" customHeight="1" spans="1:10">
      <c r="A310" s="64"/>
      <c r="B310" s="64"/>
      <c r="C310" s="64" t="s">
        <v>176</v>
      </c>
      <c r="D310" s="64">
        <v>30</v>
      </c>
      <c r="E310" s="64">
        <v>24</v>
      </c>
      <c r="F310" s="64">
        <v>720</v>
      </c>
      <c r="G310" s="64">
        <v>0</v>
      </c>
      <c r="H310" s="65">
        <v>0</v>
      </c>
      <c r="I310" s="65">
        <v>1</v>
      </c>
      <c r="J310" s="64"/>
    </row>
    <row r="311" customHeight="1" spans="1:10">
      <c r="A311" s="64"/>
      <c r="B311" s="64"/>
      <c r="C311" s="64" t="s">
        <v>181</v>
      </c>
      <c r="D311" s="64">
        <v>30</v>
      </c>
      <c r="E311" s="64">
        <v>24</v>
      </c>
      <c r="F311" s="64">
        <v>720</v>
      </c>
      <c r="G311" s="64">
        <v>720</v>
      </c>
      <c r="H311" s="65">
        <v>1</v>
      </c>
      <c r="I311" s="65">
        <v>1</v>
      </c>
      <c r="J311" s="64"/>
    </row>
    <row r="312" ht="18" customHeight="1" spans="1:10">
      <c r="A312" s="64"/>
      <c r="B312" s="64" t="s">
        <v>267</v>
      </c>
      <c r="C312" s="64" t="s">
        <v>175</v>
      </c>
      <c r="D312" s="64">
        <v>30</v>
      </c>
      <c r="E312" s="64">
        <v>24</v>
      </c>
      <c r="F312" s="64">
        <v>720</v>
      </c>
      <c r="G312" s="64">
        <v>618</v>
      </c>
      <c r="H312" s="65">
        <v>0.858333333333333</v>
      </c>
      <c r="I312" s="65">
        <v>0.97</v>
      </c>
      <c r="J312" s="63" t="s">
        <v>268</v>
      </c>
    </row>
    <row r="313" ht="27" customHeight="1" spans="1:10">
      <c r="A313" s="64"/>
      <c r="B313" s="64"/>
      <c r="C313" s="64" t="s">
        <v>176</v>
      </c>
      <c r="D313" s="64">
        <v>30</v>
      </c>
      <c r="E313" s="64">
        <v>24</v>
      </c>
      <c r="F313" s="64">
        <v>720</v>
      </c>
      <c r="G313" s="64">
        <v>672</v>
      </c>
      <c r="H313" s="65">
        <v>0.933333333333333</v>
      </c>
      <c r="I313" s="65">
        <v>1</v>
      </c>
      <c r="J313" s="63" t="s">
        <v>269</v>
      </c>
    </row>
    <row r="314" ht="24" customHeight="1" spans="1:10">
      <c r="A314" s="66" t="s">
        <v>66</v>
      </c>
      <c r="B314" s="66"/>
      <c r="C314" s="15"/>
      <c r="D314" s="15"/>
      <c r="E314" s="67" t="s">
        <v>67</v>
      </c>
      <c r="F314" s="67"/>
      <c r="G314" s="68"/>
      <c r="H314" s="10" t="s">
        <v>193</v>
      </c>
      <c r="I314" s="10"/>
      <c r="J314" s="10"/>
    </row>
    <row r="315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9:J269"/>
    <mergeCell ref="A270:J270"/>
    <mergeCell ref="A271:J271"/>
    <mergeCell ref="H314:J314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8"/>
    <mergeCell ref="A272:A274"/>
    <mergeCell ref="A275:A291"/>
    <mergeCell ref="A292:A306"/>
    <mergeCell ref="A307:A313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52"/>
    <mergeCell ref="B253:B260"/>
    <mergeCell ref="B261:B263"/>
    <mergeCell ref="B264:B268"/>
    <mergeCell ref="B272:B274"/>
    <mergeCell ref="B275:B277"/>
    <mergeCell ref="B278:B285"/>
    <mergeCell ref="B286:B288"/>
    <mergeCell ref="B289:B291"/>
    <mergeCell ref="B292:B299"/>
    <mergeCell ref="B300:B303"/>
    <mergeCell ref="B304:B306"/>
    <mergeCell ref="B307:B308"/>
    <mergeCell ref="B309:B311"/>
    <mergeCell ref="B312:B313"/>
    <mergeCell ref="C3:C5"/>
    <mergeCell ref="C48:C50"/>
    <mergeCell ref="C92:C94"/>
    <mergeCell ref="C137:C139"/>
    <mergeCell ref="C182:C184"/>
    <mergeCell ref="C227:C229"/>
    <mergeCell ref="C272:C274"/>
    <mergeCell ref="D3:D4"/>
    <mergeCell ref="D48:D49"/>
    <mergeCell ref="D92:D93"/>
    <mergeCell ref="D137:D138"/>
    <mergeCell ref="D182:D183"/>
    <mergeCell ref="D227:D228"/>
    <mergeCell ref="D272:D273"/>
    <mergeCell ref="E3:E4"/>
    <mergeCell ref="E48:E49"/>
    <mergeCell ref="E92:E93"/>
    <mergeCell ref="E137:E138"/>
    <mergeCell ref="E182:E183"/>
    <mergeCell ref="E227:E228"/>
    <mergeCell ref="E272:E273"/>
    <mergeCell ref="F3:F4"/>
    <mergeCell ref="F48:F49"/>
    <mergeCell ref="F92:F93"/>
    <mergeCell ref="F137:F138"/>
    <mergeCell ref="F182:F183"/>
    <mergeCell ref="F227:F228"/>
    <mergeCell ref="F272:F273"/>
    <mergeCell ref="G3:G4"/>
    <mergeCell ref="G48:G49"/>
    <mergeCell ref="G92:G93"/>
    <mergeCell ref="G137:G138"/>
    <mergeCell ref="G182:G183"/>
    <mergeCell ref="G227:G228"/>
    <mergeCell ref="G272:G273"/>
    <mergeCell ref="H3:H4"/>
    <mergeCell ref="H48:H49"/>
    <mergeCell ref="H92:H93"/>
    <mergeCell ref="H137:H138"/>
    <mergeCell ref="H182:H183"/>
    <mergeCell ref="H227:H228"/>
    <mergeCell ref="H272:H273"/>
    <mergeCell ref="I3:I4"/>
    <mergeCell ref="I48:I49"/>
    <mergeCell ref="I92:I93"/>
    <mergeCell ref="I137:I138"/>
    <mergeCell ref="I182:I183"/>
    <mergeCell ref="I227:I228"/>
    <mergeCell ref="I272:I273"/>
    <mergeCell ref="J3:J5"/>
    <mergeCell ref="J48:J50"/>
    <mergeCell ref="J92:J94"/>
    <mergeCell ref="J137:J139"/>
    <mergeCell ref="J182:J184"/>
    <mergeCell ref="J227:J229"/>
    <mergeCell ref="J272:J274"/>
  </mergeCells>
  <printOptions horizontalCentered="1" verticalCentered="1"/>
  <pageMargins left="0.39" right="0.39" top="0.39" bottom="0.39" header="0.51" footer="0.1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G29" sqref="G29"/>
    </sheetView>
  </sheetViews>
  <sheetFormatPr defaultColWidth="8.75" defaultRowHeight="15.6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8" spans="1:9">
      <c r="A1" s="27" t="s">
        <v>71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44348</v>
      </c>
      <c r="E2" s="32"/>
      <c r="F2" s="30"/>
    </row>
    <row r="3" ht="20.25" customHeight="1" spans="1:7">
      <c r="A3" s="33" t="s">
        <v>270</v>
      </c>
      <c r="B3" s="33" t="s">
        <v>161</v>
      </c>
      <c r="C3" s="33" t="s">
        <v>271</v>
      </c>
      <c r="D3" s="33" t="s">
        <v>272</v>
      </c>
      <c r="E3" s="33" t="s">
        <v>273</v>
      </c>
      <c r="F3" s="33" t="s">
        <v>274</v>
      </c>
      <c r="G3" s="34" t="s">
        <v>126</v>
      </c>
    </row>
    <row r="4" ht="21.6" spans="1:8">
      <c r="A4" s="35" t="s">
        <v>275</v>
      </c>
      <c r="B4" s="36" t="s">
        <v>276</v>
      </c>
      <c r="C4" s="36" t="s">
        <v>277</v>
      </c>
      <c r="D4" s="33" t="s">
        <v>278</v>
      </c>
      <c r="E4" s="33" t="s">
        <v>279</v>
      </c>
      <c r="F4" s="37" t="s">
        <v>280</v>
      </c>
      <c r="G4" s="38" t="s">
        <v>281</v>
      </c>
      <c r="H4" s="39"/>
    </row>
    <row r="5" ht="21.6" spans="1:7">
      <c r="A5" s="40"/>
      <c r="B5" s="36" t="s">
        <v>282</v>
      </c>
      <c r="C5" s="36" t="s">
        <v>277</v>
      </c>
      <c r="D5" s="33" t="s">
        <v>278</v>
      </c>
      <c r="E5" s="33" t="s">
        <v>279</v>
      </c>
      <c r="F5" s="33" t="s">
        <v>280</v>
      </c>
      <c r="G5" s="38" t="str">
        <f>G4</f>
        <v>2021-06-03 2021-06-10 2021-06-17 2021-06-24</v>
      </c>
    </row>
    <row r="6" ht="21.6" spans="1:7">
      <c r="A6" s="40"/>
      <c r="B6" s="36" t="s">
        <v>283</v>
      </c>
      <c r="C6" s="36" t="s">
        <v>277</v>
      </c>
      <c r="D6" s="33" t="s">
        <v>278</v>
      </c>
      <c r="E6" s="33" t="s">
        <v>279</v>
      </c>
      <c r="F6" s="33" t="s">
        <v>280</v>
      </c>
      <c r="G6" s="38" t="str">
        <f t="shared" ref="G6:G20" si="0">G5</f>
        <v>2021-06-03 2021-06-10 2021-06-17 2021-06-24</v>
      </c>
    </row>
    <row r="7" ht="21.6" spans="1:7">
      <c r="A7" s="41"/>
      <c r="B7" s="36" t="s">
        <v>284</v>
      </c>
      <c r="C7" s="36" t="s">
        <v>277</v>
      </c>
      <c r="D7" s="33" t="s">
        <v>278</v>
      </c>
      <c r="E7" s="33" t="s">
        <v>279</v>
      </c>
      <c r="F7" s="33" t="s">
        <v>280</v>
      </c>
      <c r="G7" s="38" t="str">
        <f t="shared" si="0"/>
        <v>2021-06-03 2021-06-10 2021-06-17 2021-06-24</v>
      </c>
    </row>
    <row r="8" ht="21.6" spans="1:7">
      <c r="A8" s="35" t="s">
        <v>285</v>
      </c>
      <c r="B8" s="36" t="s">
        <v>276</v>
      </c>
      <c r="C8" s="36" t="s">
        <v>286</v>
      </c>
      <c r="D8" s="33" t="s">
        <v>278</v>
      </c>
      <c r="E8" s="33" t="s">
        <v>279</v>
      </c>
      <c r="F8" s="33" t="s">
        <v>280</v>
      </c>
      <c r="G8" s="38" t="str">
        <f t="shared" si="0"/>
        <v>2021-06-03 2021-06-10 2021-06-17 2021-06-24</v>
      </c>
    </row>
    <row r="9" ht="21.6" spans="1:7">
      <c r="A9" s="40"/>
      <c r="B9" s="36" t="s">
        <v>282</v>
      </c>
      <c r="C9" s="36" t="s">
        <v>286</v>
      </c>
      <c r="D9" s="33" t="s">
        <v>278</v>
      </c>
      <c r="E9" s="33" t="s">
        <v>279</v>
      </c>
      <c r="F9" s="33" t="s">
        <v>280</v>
      </c>
      <c r="G9" s="38" t="str">
        <f t="shared" si="0"/>
        <v>2021-06-03 2021-06-10 2021-06-17 2021-06-24</v>
      </c>
    </row>
    <row r="10" ht="21.6" spans="1:7">
      <c r="A10" s="40"/>
      <c r="B10" s="36" t="s">
        <v>283</v>
      </c>
      <c r="C10" s="36" t="s">
        <v>286</v>
      </c>
      <c r="D10" s="33" t="s">
        <v>278</v>
      </c>
      <c r="E10" s="33" t="s">
        <v>279</v>
      </c>
      <c r="F10" s="33" t="s">
        <v>280</v>
      </c>
      <c r="G10" s="38" t="str">
        <f t="shared" si="0"/>
        <v>2021-06-03 2021-06-10 2021-06-17 2021-06-24</v>
      </c>
    </row>
    <row r="11" ht="21.6" spans="1:7">
      <c r="A11" s="41"/>
      <c r="B11" s="36" t="s">
        <v>284</v>
      </c>
      <c r="C11" s="36" t="s">
        <v>286</v>
      </c>
      <c r="D11" s="33" t="s">
        <v>278</v>
      </c>
      <c r="E11" s="33" t="s">
        <v>279</v>
      </c>
      <c r="F11" s="33" t="s">
        <v>280</v>
      </c>
      <c r="G11" s="38" t="str">
        <f t="shared" si="0"/>
        <v>2021-06-03 2021-06-10 2021-06-17 2021-06-24</v>
      </c>
    </row>
    <row r="12" ht="24" customHeight="1" spans="1:7">
      <c r="A12" s="36" t="s">
        <v>287</v>
      </c>
      <c r="B12" s="36" t="s">
        <v>175</v>
      </c>
      <c r="C12" s="33" t="s">
        <v>288</v>
      </c>
      <c r="D12" s="33" t="s">
        <v>289</v>
      </c>
      <c r="E12" s="33" t="s">
        <v>279</v>
      </c>
      <c r="F12" s="33" t="s">
        <v>290</v>
      </c>
      <c r="G12" s="38" t="str">
        <f t="shared" si="0"/>
        <v>2021-06-03 2021-06-10 2021-06-17 2021-06-24</v>
      </c>
    </row>
    <row r="13" ht="21.6" spans="1:7">
      <c r="A13" s="35" t="s">
        <v>291</v>
      </c>
      <c r="B13" s="36" t="s">
        <v>276</v>
      </c>
      <c r="C13" s="33" t="s">
        <v>292</v>
      </c>
      <c r="D13" s="33" t="s">
        <v>293</v>
      </c>
      <c r="E13" s="33" t="s">
        <v>279</v>
      </c>
      <c r="F13" s="33" t="s">
        <v>280</v>
      </c>
      <c r="G13" s="38" t="str">
        <f t="shared" si="0"/>
        <v>2021-06-03 2021-06-10 2021-06-17 2021-06-24</v>
      </c>
    </row>
    <row r="14" ht="21.6" spans="1:7">
      <c r="A14" s="40"/>
      <c r="B14" s="36" t="s">
        <v>282</v>
      </c>
      <c r="C14" s="33" t="s">
        <v>292</v>
      </c>
      <c r="D14" s="33" t="s">
        <v>293</v>
      </c>
      <c r="E14" s="33" t="s">
        <v>279</v>
      </c>
      <c r="F14" s="33" t="s">
        <v>280</v>
      </c>
      <c r="G14" s="38" t="str">
        <f t="shared" si="0"/>
        <v>2021-06-03 2021-06-10 2021-06-17 2021-06-24</v>
      </c>
    </row>
    <row r="15" ht="21.6" spans="1:7">
      <c r="A15" s="40"/>
      <c r="B15" s="36" t="s">
        <v>283</v>
      </c>
      <c r="C15" s="33" t="s">
        <v>292</v>
      </c>
      <c r="D15" s="33" t="s">
        <v>293</v>
      </c>
      <c r="E15" s="33" t="s">
        <v>279</v>
      </c>
      <c r="F15" s="33" t="s">
        <v>280</v>
      </c>
      <c r="G15" s="38" t="str">
        <f t="shared" si="0"/>
        <v>2021-06-03 2021-06-10 2021-06-17 2021-06-24</v>
      </c>
    </row>
    <row r="16" ht="21.6" spans="1:7">
      <c r="A16" s="41"/>
      <c r="B16" s="36" t="s">
        <v>284</v>
      </c>
      <c r="C16" s="33" t="s">
        <v>292</v>
      </c>
      <c r="D16" s="33" t="s">
        <v>293</v>
      </c>
      <c r="E16" s="33" t="s">
        <v>279</v>
      </c>
      <c r="F16" s="33" t="s">
        <v>280</v>
      </c>
      <c r="G16" s="38" t="str">
        <f t="shared" si="0"/>
        <v>2021-06-03 2021-06-10 2021-06-17 2021-06-24</v>
      </c>
    </row>
    <row r="17" ht="21.6" spans="1:7">
      <c r="A17" s="33" t="s">
        <v>294</v>
      </c>
      <c r="B17" s="36" t="s">
        <v>276</v>
      </c>
      <c r="C17" s="33" t="s">
        <v>295</v>
      </c>
      <c r="D17" s="33" t="s">
        <v>293</v>
      </c>
      <c r="E17" s="33" t="s">
        <v>279</v>
      </c>
      <c r="F17" s="33" t="s">
        <v>280</v>
      </c>
      <c r="G17" s="38" t="str">
        <f t="shared" si="0"/>
        <v>2021-06-03 2021-06-10 2021-06-17 2021-06-24</v>
      </c>
    </row>
    <row r="18" ht="21.6" spans="1:7">
      <c r="A18" s="33"/>
      <c r="B18" s="36" t="s">
        <v>282</v>
      </c>
      <c r="C18" s="36" t="s">
        <v>286</v>
      </c>
      <c r="D18" s="33" t="s">
        <v>293</v>
      </c>
      <c r="E18" s="33" t="s">
        <v>279</v>
      </c>
      <c r="F18" s="33" t="s">
        <v>280</v>
      </c>
      <c r="G18" s="38" t="str">
        <f t="shared" si="0"/>
        <v>2021-06-03 2021-06-10 2021-06-17 2021-06-24</v>
      </c>
    </row>
    <row r="19" ht="21.6" spans="1:7">
      <c r="A19" s="33"/>
      <c r="B19" s="36" t="s">
        <v>283</v>
      </c>
      <c r="C19" s="33" t="s">
        <v>295</v>
      </c>
      <c r="D19" s="33" t="s">
        <v>293</v>
      </c>
      <c r="E19" s="33" t="s">
        <v>279</v>
      </c>
      <c r="F19" s="33" t="s">
        <v>280</v>
      </c>
      <c r="G19" s="38" t="str">
        <f t="shared" si="0"/>
        <v>2021-06-03 2021-06-10 2021-06-17 2021-06-24</v>
      </c>
    </row>
    <row r="20" ht="21.6" spans="1:7">
      <c r="A20" s="33"/>
      <c r="B20" s="36" t="s">
        <v>284</v>
      </c>
      <c r="C20" s="36" t="s">
        <v>286</v>
      </c>
      <c r="D20" s="33" t="s">
        <v>293</v>
      </c>
      <c r="E20" s="33" t="s">
        <v>279</v>
      </c>
      <c r="F20" s="33" t="s">
        <v>280</v>
      </c>
      <c r="G20" s="38" t="str">
        <f t="shared" si="0"/>
        <v>2021-06-03 2021-06-10 2021-06-17 2021-06-24</v>
      </c>
    </row>
    <row r="21" ht="20.25" customHeight="1" spans="1:7">
      <c r="A21" s="42" t="s">
        <v>66</v>
      </c>
      <c r="B21" s="42"/>
      <c r="C21" s="42"/>
      <c r="D21" s="42" t="s">
        <v>67</v>
      </c>
      <c r="E21" s="42"/>
      <c r="F21" s="42" t="s">
        <v>296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71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44348</v>
      </c>
      <c r="E26" s="49"/>
      <c r="F26" s="30"/>
    </row>
    <row r="27" ht="18.75" customHeight="1" spans="1:7">
      <c r="A27" s="33" t="s">
        <v>270</v>
      </c>
      <c r="B27" s="33" t="s">
        <v>161</v>
      </c>
      <c r="C27" s="33" t="s">
        <v>271</v>
      </c>
      <c r="D27" s="33" t="s">
        <v>272</v>
      </c>
      <c r="E27" s="33" t="s">
        <v>273</v>
      </c>
      <c r="F27" s="33" t="s">
        <v>274</v>
      </c>
      <c r="G27" s="33" t="s">
        <v>126</v>
      </c>
    </row>
    <row r="28" ht="19.5" customHeight="1" spans="1:7">
      <c r="A28" s="33" t="s">
        <v>297</v>
      </c>
      <c r="B28" s="50" t="s">
        <v>276</v>
      </c>
      <c r="C28" s="50" t="s">
        <v>286</v>
      </c>
      <c r="D28" s="33" t="s">
        <v>278</v>
      </c>
      <c r="E28" s="36" t="s">
        <v>279</v>
      </c>
      <c r="F28" s="33" t="s">
        <v>290</v>
      </c>
      <c r="G28" s="51">
        <v>44350</v>
      </c>
    </row>
    <row r="29" ht="19.5" customHeight="1" spans="1:7">
      <c r="A29" s="33"/>
      <c r="B29" s="50" t="s">
        <v>284</v>
      </c>
      <c r="C29" s="50" t="s">
        <v>286</v>
      </c>
      <c r="D29" s="33" t="s">
        <v>278</v>
      </c>
      <c r="E29" s="36" t="s">
        <v>279</v>
      </c>
      <c r="F29" s="33" t="s">
        <v>290</v>
      </c>
      <c r="G29" s="51">
        <f>G28</f>
        <v>44350</v>
      </c>
    </row>
    <row r="30" ht="19.5" customHeight="1" spans="1:7">
      <c r="A30" s="33" t="s">
        <v>298</v>
      </c>
      <c r="B30" s="50" t="s">
        <v>276</v>
      </c>
      <c r="C30" s="36" t="s">
        <v>288</v>
      </c>
      <c r="D30" s="33" t="s">
        <v>293</v>
      </c>
      <c r="E30" s="36" t="s">
        <v>279</v>
      </c>
      <c r="F30" s="33" t="s">
        <v>290</v>
      </c>
      <c r="G30" s="51">
        <f>G29</f>
        <v>44350</v>
      </c>
    </row>
    <row r="31" ht="19.5" customHeight="1" spans="1:7">
      <c r="A31" s="33"/>
      <c r="B31" s="50" t="s">
        <v>284</v>
      </c>
      <c r="C31" s="36" t="s">
        <v>288</v>
      </c>
      <c r="D31" s="33" t="s">
        <v>293</v>
      </c>
      <c r="E31" s="36" t="s">
        <v>279</v>
      </c>
      <c r="F31" s="33" t="s">
        <v>290</v>
      </c>
      <c r="G31" s="51">
        <f>G30</f>
        <v>44350</v>
      </c>
    </row>
    <row r="32" ht="20.25" customHeight="1" spans="1:7">
      <c r="A32" s="42" t="s">
        <v>66</v>
      </c>
      <c r="B32" s="42"/>
      <c r="C32" s="42"/>
      <c r="D32" s="42" t="s">
        <v>67</v>
      </c>
      <c r="E32" s="42"/>
      <c r="F32" s="42" t="str">
        <f>F21</f>
        <v>制表日期：2021/7/2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G5" sqref="G5:H12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299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300</v>
      </c>
      <c r="B3" s="5"/>
      <c r="C3" s="5"/>
      <c r="D3" s="5"/>
      <c r="E3" s="5" t="s">
        <v>301</v>
      </c>
      <c r="F3" s="5"/>
      <c r="G3" s="5"/>
      <c r="H3" s="5"/>
      <c r="I3" s="3"/>
    </row>
    <row r="4" customHeight="1" spans="1:9">
      <c r="A4" s="5" t="s">
        <v>302</v>
      </c>
      <c r="B4" s="5"/>
      <c r="C4" s="5"/>
      <c r="D4" s="5"/>
      <c r="E4" s="5" t="s">
        <v>303</v>
      </c>
      <c r="F4" s="5"/>
      <c r="G4" s="5" t="s">
        <v>304</v>
      </c>
      <c r="H4" s="5"/>
      <c r="I4" s="25"/>
    </row>
    <row r="5" customHeight="1" spans="1:8">
      <c r="A5" s="5" t="s">
        <v>305</v>
      </c>
      <c r="B5" s="5" t="s">
        <v>306</v>
      </c>
      <c r="C5" s="5" t="s">
        <v>307</v>
      </c>
      <c r="D5" s="5" t="s">
        <v>308</v>
      </c>
      <c r="E5" s="5" t="s">
        <v>305</v>
      </c>
      <c r="F5" s="5" t="s">
        <v>306</v>
      </c>
      <c r="G5" s="5" t="s">
        <v>305</v>
      </c>
      <c r="H5" s="5" t="s">
        <v>308</v>
      </c>
    </row>
    <row r="6" customHeight="1" spans="1:8">
      <c r="A6" s="6" t="s">
        <v>309</v>
      </c>
      <c r="B6" s="7">
        <v>1.0459834375</v>
      </c>
      <c r="C6" s="7">
        <v>6.629171876</v>
      </c>
      <c r="D6" s="7">
        <v>2.53359375</v>
      </c>
      <c r="E6" s="6" t="s">
        <v>309</v>
      </c>
      <c r="F6" s="7">
        <v>5.847933984375</v>
      </c>
      <c r="G6" s="6" t="s">
        <v>309</v>
      </c>
      <c r="H6" s="7">
        <v>1.15</v>
      </c>
    </row>
    <row r="7" customHeight="1" spans="1:8">
      <c r="A7" s="6" t="s">
        <v>310</v>
      </c>
      <c r="B7" s="7">
        <v>2.7240625</v>
      </c>
      <c r="C7" s="7">
        <v>4.3880859375</v>
      </c>
      <c r="D7" s="7">
        <v>1.82346875</v>
      </c>
      <c r="E7" s="6" t="s">
        <v>310</v>
      </c>
      <c r="F7" s="7">
        <v>4.52711754492188</v>
      </c>
      <c r="G7" s="6" t="s">
        <v>311</v>
      </c>
      <c r="H7" s="7">
        <v>1.605625</v>
      </c>
    </row>
    <row r="8" customHeight="1" spans="1:8">
      <c r="A8" s="6" t="s">
        <v>311</v>
      </c>
      <c r="B8" s="7">
        <v>3.96875</v>
      </c>
      <c r="C8" s="7">
        <v>2.59428959375</v>
      </c>
      <c r="D8" s="7">
        <v>1.5131859375</v>
      </c>
      <c r="E8" s="6" t="s">
        <v>311</v>
      </c>
      <c r="F8" s="7">
        <v>3.30453125</v>
      </c>
      <c r="G8" s="6" t="s">
        <v>312</v>
      </c>
      <c r="H8" s="7">
        <v>1.9375</v>
      </c>
    </row>
    <row r="9" customHeight="1" spans="1:8">
      <c r="A9" s="6" t="s">
        <v>312</v>
      </c>
      <c r="B9" s="7">
        <v>6.156475195312</v>
      </c>
      <c r="C9" s="7">
        <v>1.01220703125</v>
      </c>
      <c r="D9" s="7">
        <v>0.8319375</v>
      </c>
      <c r="E9" s="6" t="s">
        <v>313</v>
      </c>
      <c r="F9" s="7">
        <v>2.3447998046875</v>
      </c>
      <c r="G9" s="6" t="s">
        <v>314</v>
      </c>
      <c r="H9" s="7">
        <v>2.59375</v>
      </c>
    </row>
    <row r="10" customHeight="1" spans="1:8">
      <c r="A10" s="8" t="s">
        <v>315</v>
      </c>
      <c r="B10" s="9">
        <v>4480</v>
      </c>
      <c r="C10" s="10"/>
      <c r="D10" s="11"/>
      <c r="E10" s="6" t="s">
        <v>312</v>
      </c>
      <c r="F10" s="7">
        <v>1.53716137695312</v>
      </c>
      <c r="G10" s="5" t="s">
        <v>315</v>
      </c>
      <c r="H10" s="12">
        <v>4176</v>
      </c>
    </row>
    <row r="11" customHeight="1" spans="1:8">
      <c r="A11" s="13"/>
      <c r="B11" s="14"/>
      <c r="C11" s="15"/>
      <c r="D11" s="16"/>
      <c r="E11" s="6" t="s">
        <v>314</v>
      </c>
      <c r="F11" s="7">
        <v>0.690234375</v>
      </c>
      <c r="G11" s="5"/>
      <c r="H11" s="17"/>
    </row>
    <row r="12" customHeight="1" spans="1:8">
      <c r="A12" s="18"/>
      <c r="B12" s="19"/>
      <c r="C12" s="20"/>
      <c r="D12" s="21"/>
      <c r="E12" s="6" t="s">
        <v>315</v>
      </c>
      <c r="F12" s="5">
        <v>4240</v>
      </c>
      <c r="G12" s="5"/>
      <c r="H12" s="22"/>
    </row>
    <row r="13" s="1" customFormat="1" customHeight="1" spans="1:14">
      <c r="A13" s="23" t="s">
        <v>66</v>
      </c>
      <c r="B13" s="23"/>
      <c r="C13" s="23"/>
      <c r="D13" s="23" t="s">
        <v>67</v>
      </c>
      <c r="E13" s="24"/>
      <c r="F13" s="24"/>
      <c r="G13" s="23" t="s">
        <v>296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ZhuC</cp:lastModifiedBy>
  <cp:revision>1</cp:revision>
  <dcterms:created xsi:type="dcterms:W3CDTF">1996-12-17T01:32:00Z</dcterms:created>
  <cp:lastPrinted>2018-05-07T02:15:00Z</cp:lastPrinted>
  <dcterms:modified xsi:type="dcterms:W3CDTF">2021-07-18T09:31:40Z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C486B51DDF7C47DAA2D653E59BF603FF</vt:lpwstr>
  </property>
</Properties>
</file>