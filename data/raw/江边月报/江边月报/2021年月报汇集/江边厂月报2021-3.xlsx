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940" windowHeight="12060" activeTab="1"/>
  </bookViews>
  <sheets>
    <sheet name="处理量" sheetId="1" r:id="rId1"/>
    <sheet name="汇总" sheetId="2" r:id="rId2"/>
    <sheet name="进出水" sheetId="3" r:id="rId3"/>
    <sheet name="设备" sheetId="7" r:id="rId4"/>
    <sheet name="仪表" sheetId="6" r:id="rId5"/>
    <sheet name="实验数据" sheetId="8" r:id="rId6"/>
  </sheets>
  <externalReferences>
    <externalReference r:id="rId7"/>
  </externalReferences>
  <definedNames>
    <definedName name="_xlnm.Print_Area" localSheetId="0">处理量!$A$1:$O$38</definedName>
    <definedName name="_xlnm.Print_Area" localSheetId="1">汇总!$A$1:$M$21</definedName>
    <definedName name="_xlnm.Print_Area" localSheetId="2">进出水!$A$1:$U$39</definedName>
    <definedName name="_xlnm.Print_Area" localSheetId="3">设备!#REF!</definedName>
    <definedName name="_xlnm.Print_Area" localSheetId="5">实验数据!#REF!</definedName>
    <definedName name="_xlnm.Print_Area" localSheetId="4">仪表!$A$1:$G$32</definedName>
  </definedNames>
  <calcPr calcId="144525"/>
</workbook>
</file>

<file path=xl/sharedStrings.xml><?xml version="1.0" encoding="utf-8"?>
<sst xmlns="http://schemas.openxmlformats.org/spreadsheetml/2006/main" count="313">
  <si>
    <t>常州市深水江边污水处理有限公司污水处理运行月报表</t>
  </si>
  <si>
    <t>2021年 3月</t>
  </si>
  <si>
    <t>日
期</t>
  </si>
  <si>
    <t>水温</t>
  </si>
  <si>
    <t>天气</t>
  </si>
  <si>
    <r>
      <rPr>
        <sz val="10"/>
        <rFont val="宋体"/>
        <charset val="134"/>
        <scheme val="minor"/>
      </rPr>
      <t>日处理水量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</si>
  <si>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污泥量</t>
  </si>
  <si>
    <t>药剂量</t>
  </si>
  <si>
    <t>MLSS</t>
  </si>
  <si>
    <t>电耗</t>
  </si>
  <si>
    <t>混凝剂</t>
  </si>
  <si>
    <t>絮凝剂    阴离子
（kg）</t>
  </si>
  <si>
    <t>盐酸</t>
  </si>
  <si>
    <t>氯酸钠</t>
  </si>
  <si>
    <t>乙酸</t>
  </si>
  <si>
    <r>
      <rPr>
        <sz val="10"/>
        <rFont val="宋体"/>
        <charset val="134"/>
        <scheme val="minor"/>
      </rPr>
      <t>回用水
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</si>
  <si>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r>
      <rPr>
        <sz val="10"/>
        <rFont val="宋体"/>
        <charset val="134"/>
        <scheme val="minor"/>
      </rPr>
      <t>实际水量（m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</si>
  <si>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费用统计</t>
  </si>
  <si>
    <t>成本分析用</t>
  </si>
  <si>
    <t>单价</t>
  </si>
  <si>
    <t>单耗</t>
  </si>
  <si>
    <t>之前价</t>
  </si>
  <si>
    <t>最新时间</t>
  </si>
  <si>
    <t>度</t>
  </si>
  <si>
    <t>状况</t>
  </si>
  <si>
    <t>（T）</t>
  </si>
  <si>
    <t>（Kg）</t>
  </si>
  <si>
    <t>（mg/l）</t>
  </si>
  <si>
    <t>( 度  )</t>
  </si>
  <si>
    <t>（吨）</t>
  </si>
  <si>
    <t>电量</t>
  </si>
  <si>
    <t>雨</t>
  </si>
  <si>
    <t>聚丙烯酰阳离子</t>
  </si>
  <si>
    <t>晴</t>
  </si>
  <si>
    <t>聚丙烯酰阴离子</t>
  </si>
  <si>
    <t>工业盐酸</t>
  </si>
  <si>
    <t>工业氯酸钠</t>
  </si>
  <si>
    <t>阴</t>
  </si>
  <si>
    <t>混凝药剂</t>
  </si>
  <si>
    <t>污泥外运</t>
  </si>
  <si>
    <t>计算见下表</t>
  </si>
  <si>
    <t>自来水</t>
  </si>
  <si>
    <t>总药剂</t>
  </si>
  <si>
    <t>除磷药剂</t>
  </si>
  <si>
    <t>总泥量</t>
  </si>
  <si>
    <t>英科（吨）</t>
  </si>
  <si>
    <t>国电（吨）</t>
  </si>
  <si>
    <t>外运（吨）</t>
  </si>
  <si>
    <t>江边费用</t>
  </si>
  <si>
    <t>排水承担</t>
  </si>
  <si>
    <t>总运费</t>
  </si>
  <si>
    <t>总单价</t>
  </si>
  <si>
    <t>核对</t>
  </si>
  <si>
    <t>絮凝剂</t>
  </si>
  <si>
    <t>用量（kg）</t>
  </si>
  <si>
    <t>单耗（kg/T）</t>
  </si>
  <si>
    <r>
      <rPr>
        <sz val="11"/>
        <color theme="1"/>
        <rFont val="宋体"/>
        <charset val="134"/>
        <scheme val="minor"/>
      </rPr>
      <t>单耗（g/m</t>
    </r>
    <r>
      <rPr>
        <vertAlign val="superscript"/>
        <sz val="11"/>
        <color indexed="8"/>
        <rFont val="宋体"/>
        <charset val="134"/>
      </rPr>
      <t>3</t>
    </r>
    <r>
      <rPr>
        <sz val="11"/>
        <color indexed="8"/>
        <rFont val="宋体"/>
        <charset val="134"/>
      </rPr>
      <t>）</t>
    </r>
  </si>
  <si>
    <t>用量（T）</t>
  </si>
  <si>
    <t>平均</t>
  </si>
  <si>
    <t>/</t>
  </si>
  <si>
    <t>合计</t>
  </si>
  <si>
    <t>审核：</t>
  </si>
  <si>
    <t>制表：</t>
  </si>
  <si>
    <t>制表时间:</t>
  </si>
  <si>
    <t>最大</t>
  </si>
  <si>
    <t>最小</t>
  </si>
  <si>
    <t>常州市深水江边污水处理有限公司污水运行月报表</t>
  </si>
  <si>
    <t>污
水
处
理</t>
  </si>
  <si>
    <t>污水处理量</t>
  </si>
  <si>
    <t>污
泥
处
理</t>
  </si>
  <si>
    <t>脱水污泥量（T）</t>
  </si>
  <si>
    <t>水
电
用
量</t>
  </si>
  <si>
    <t>用电量（度）</t>
  </si>
  <si>
    <t>污
水
电
单
耗</t>
  </si>
  <si>
    <r>
      <rPr>
        <sz val="10"/>
        <rFont val="宋体"/>
        <charset val="134"/>
      </rPr>
      <t>污水（度/m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）</t>
    </r>
  </si>
  <si>
    <t>除臭用水量</t>
  </si>
  <si>
    <t>日均处理量</t>
  </si>
  <si>
    <t>絮凝剂用量（kg）</t>
  </si>
  <si>
    <t>日均用电量（度）</t>
  </si>
  <si>
    <t>CODcr（度/kg）</t>
  </si>
  <si>
    <t>除臭用电量</t>
  </si>
  <si>
    <t>含水率（%）</t>
  </si>
  <si>
    <t>用水量（T）</t>
  </si>
  <si>
    <t>最高日处理量</t>
  </si>
  <si>
    <t>絮凝剂单耗（kg/T）</t>
  </si>
  <si>
    <t>消
毒
剂</t>
  </si>
  <si>
    <t>工业合成盐酸（T）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</si>
  <si>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  <r>
      <rPr>
        <sz val="10"/>
        <rFont val="宋体"/>
        <charset val="134"/>
      </rPr>
      <t>（度/kg）</t>
    </r>
  </si>
  <si>
    <t>最低日处理量</t>
  </si>
  <si>
    <r>
      <rPr>
        <sz val="10"/>
        <rFont val="宋体"/>
        <charset val="134"/>
      </rPr>
      <t>产泥率(g/m</t>
    </r>
    <r>
      <rPr>
        <vertAlign val="superscript"/>
        <sz val="10"/>
        <rFont val="宋体"/>
        <charset val="134"/>
      </rPr>
      <t>３</t>
    </r>
    <r>
      <rPr>
        <sz val="10"/>
        <rFont val="宋体"/>
        <charset val="134"/>
      </rPr>
      <t>)</t>
    </r>
  </si>
  <si>
    <r>
      <rPr>
        <sz val="10"/>
        <rFont val="宋体"/>
        <charset val="134"/>
      </rPr>
      <t>药单耗(g/m</t>
    </r>
    <r>
      <rPr>
        <vertAlign val="superscript"/>
        <sz val="10"/>
        <rFont val="宋体"/>
        <charset val="134"/>
      </rPr>
      <t>3</t>
    </r>
    <r>
      <rPr>
        <sz val="10"/>
        <rFont val="宋体"/>
        <charset val="134"/>
      </rPr>
      <t>)</t>
    </r>
  </si>
  <si>
    <t>SS（度/kg）</t>
  </si>
  <si>
    <t>负荷率（%）</t>
  </si>
  <si>
    <t>混
凝
剂</t>
  </si>
  <si>
    <t>混凝剂用量（T）</t>
  </si>
  <si>
    <t>氯酸钠（T）</t>
  </si>
  <si>
    <t>乙酸-厌缺氧段</t>
  </si>
  <si>
    <t>投加量（吨）</t>
  </si>
  <si>
    <t>进水水温(℃)</t>
  </si>
  <si>
    <t>处
理
质
量</t>
  </si>
  <si>
    <t>项目</t>
  </si>
  <si>
    <t>进水</t>
  </si>
  <si>
    <t>出水</t>
  </si>
  <si>
    <t>去除率（%）</t>
  </si>
  <si>
    <t>去除总量（kg)</t>
  </si>
  <si>
    <t>乙酸-提标段</t>
  </si>
  <si>
    <t>CODcr</t>
  </si>
  <si>
    <t>污
泥
去
向</t>
  </si>
  <si>
    <t>国电</t>
  </si>
  <si>
    <r>
      <rPr>
        <sz val="10"/>
        <rFont val="宋体"/>
        <charset val="134"/>
      </rPr>
      <t>BOD</t>
    </r>
    <r>
      <rPr>
        <vertAlign val="subscript"/>
        <sz val="10"/>
        <rFont val="宋体"/>
        <charset val="134"/>
      </rPr>
      <t>5</t>
    </r>
  </si>
  <si>
    <t>英科环境</t>
  </si>
  <si>
    <t>SS</t>
  </si>
  <si>
    <t>其它</t>
  </si>
  <si>
    <t>TP</t>
  </si>
  <si>
    <t>运               
行
情
况</t>
  </si>
  <si>
    <t>应运行天数</t>
  </si>
  <si>
    <t>TN</t>
  </si>
  <si>
    <t>实际运行天数</t>
  </si>
  <si>
    <r>
      <rPr>
        <sz val="10"/>
        <rFont val="宋体"/>
        <charset val="134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</t>
    </r>
  </si>
  <si>
    <t>达标排放天数</t>
  </si>
  <si>
    <t>粪大肠菌群数
(个/L)</t>
  </si>
  <si>
    <t>&lt;20</t>
  </si>
  <si>
    <t>运转率</t>
  </si>
  <si>
    <t>备注</t>
  </si>
  <si>
    <r>
      <rPr>
        <sz val="10"/>
        <rFont val="宋体"/>
        <charset val="134"/>
      </rPr>
      <t>本月产生泥饼5908.04吨，其中运往常州市英科环境科技有限公司1610.48吨，国电常州发电有限公司2836.50吨，外运接种1461.06吨：常州市百丈污水处理有限公司105吨，常州龙宇颜料化学有限公司1140吨，江苏盈天化学有限公司75吨，富德（常州）能源化工发展有限公司111.06吨，天合光能股份有限公司硅片分公司30吨。</t>
    </r>
    <r>
      <rPr>
        <sz val="10"/>
        <color rgb="FFFF0000"/>
        <rFont val="宋体"/>
        <charset val="134"/>
      </rPr>
      <t xml:space="preserve">
</t>
    </r>
  </si>
  <si>
    <t>审核：                                               制表：                               制表日期：2021/4/5</t>
  </si>
  <si>
    <t>常州市深水江边污水处理有限公司进出水水质、污泥含水率月报表</t>
  </si>
  <si>
    <t xml:space="preserve">                                                                                                                          </t>
  </si>
  <si>
    <t>日期</t>
  </si>
  <si>
    <t>二沉池出水</t>
  </si>
  <si>
    <t>总出水</t>
  </si>
  <si>
    <t>污泥含水率</t>
  </si>
  <si>
    <t>粪大肠菌群</t>
  </si>
  <si>
    <r>
      <rPr>
        <sz val="10"/>
        <rFont val="宋体"/>
        <charset val="134"/>
      </rPr>
      <t>COD</t>
    </r>
    <r>
      <rPr>
        <vertAlign val="subscript"/>
        <sz val="10"/>
        <rFont val="宋体"/>
        <charset val="134"/>
      </rPr>
      <t>Cr</t>
    </r>
  </si>
  <si>
    <r>
      <rPr>
        <sz val="10"/>
        <color indexed="8"/>
        <rFont val="宋体"/>
        <charset val="134"/>
      </rPr>
      <t>COD</t>
    </r>
    <r>
      <rPr>
        <vertAlign val="subscript"/>
        <sz val="10"/>
        <color indexed="8"/>
        <rFont val="宋体"/>
        <charset val="134"/>
      </rPr>
      <t>Cr</t>
    </r>
  </si>
  <si>
    <r>
      <rPr>
        <sz val="10"/>
        <color indexed="8"/>
        <rFont val="宋体"/>
        <charset val="134"/>
      </rPr>
      <t>BOD</t>
    </r>
    <r>
      <rPr>
        <vertAlign val="subscript"/>
        <sz val="10"/>
        <color indexed="8"/>
        <rFont val="宋体"/>
        <charset val="134"/>
      </rPr>
      <t>5</t>
    </r>
  </si>
  <si>
    <r>
      <rPr>
        <sz val="10"/>
        <color indexed="8"/>
        <rFont val="宋体"/>
        <charset val="134"/>
      </rPr>
      <t>NH</t>
    </r>
    <r>
      <rPr>
        <vertAlign val="subscript"/>
        <sz val="10"/>
        <color indexed="8"/>
        <rFont val="宋体"/>
        <charset val="134"/>
      </rPr>
      <t>3</t>
    </r>
    <r>
      <rPr>
        <sz val="10"/>
        <color indexed="8"/>
        <rFont val="宋体"/>
        <charset val="134"/>
      </rPr>
      <t>-N</t>
    </r>
  </si>
  <si>
    <r>
      <rPr>
        <sz val="10"/>
        <rFont val="宋体"/>
        <charset val="134"/>
      </rPr>
      <t>（</t>
    </r>
    <r>
      <rPr>
        <sz val="10"/>
        <rFont val="宋体"/>
        <charset val="134"/>
      </rPr>
      <t>mg/L</t>
    </r>
    <r>
      <rPr>
        <sz val="10"/>
        <rFont val="宋体"/>
        <charset val="134"/>
      </rPr>
      <t>）</t>
    </r>
  </si>
  <si>
    <r>
      <rPr>
        <sz val="10"/>
        <color indexed="8"/>
        <rFont val="宋体"/>
        <charset val="134"/>
      </rPr>
      <t>（</t>
    </r>
    <r>
      <rPr>
        <sz val="10"/>
        <color indexed="8"/>
        <rFont val="宋体"/>
        <charset val="134"/>
      </rPr>
      <t>%</t>
    </r>
    <r>
      <rPr>
        <sz val="10"/>
        <color indexed="8"/>
        <rFont val="宋体"/>
        <charset val="134"/>
      </rPr>
      <t>）</t>
    </r>
  </si>
  <si>
    <r>
      <rPr>
        <sz val="10"/>
        <color indexed="8"/>
        <rFont val="宋体"/>
        <charset val="134"/>
      </rPr>
      <t>(</t>
    </r>
    <r>
      <rPr>
        <sz val="10"/>
        <color indexed="8"/>
        <rFont val="宋体"/>
        <charset val="134"/>
      </rPr>
      <t>个</t>
    </r>
    <r>
      <rPr>
        <sz val="10"/>
        <color indexed="8"/>
        <rFont val="宋体"/>
        <charset val="134"/>
      </rPr>
      <t>/L)</t>
    </r>
  </si>
  <si>
    <t>&lt;2</t>
  </si>
  <si>
    <t>制表时间：2021/4/5</t>
  </si>
  <si>
    <t>进水（mg/L)</t>
  </si>
  <si>
    <t>最大值</t>
  </si>
  <si>
    <t>最小值（mg/L)</t>
  </si>
  <si>
    <t>出水（mg/L)</t>
  </si>
  <si>
    <t>去除率</t>
  </si>
  <si>
    <t>（mg/L)</t>
  </si>
  <si>
    <t>（%）</t>
  </si>
  <si>
    <t>CODCr</t>
  </si>
  <si>
    <t>B/C</t>
  </si>
  <si>
    <t>BOD5</t>
  </si>
  <si>
    <t>B/TN</t>
  </si>
  <si>
    <t>B/TP</t>
  </si>
  <si>
    <t>NH3-N</t>
  </si>
  <si>
    <t>常州市深水江边污水处理有限公司设备运行月报表</t>
  </si>
  <si>
    <t>运行
工段</t>
  </si>
  <si>
    <t>设备名称</t>
  </si>
  <si>
    <t>编号</t>
  </si>
  <si>
    <t>运行
天数</t>
  </si>
  <si>
    <t>定时</t>
  </si>
  <si>
    <t>额定运行时间</t>
  </si>
  <si>
    <t>实际运行时间</t>
  </si>
  <si>
    <t>利用率</t>
  </si>
  <si>
    <t>完好率</t>
  </si>
  <si>
    <t>维修、保养情况</t>
  </si>
  <si>
    <t>（d）</t>
  </si>
  <si>
    <t>（h/d）</t>
  </si>
  <si>
    <t>（h）</t>
  </si>
  <si>
    <t>%</t>
  </si>
  <si>
    <t>预
处
理</t>
  </si>
  <si>
    <t>粗格栅机</t>
  </si>
  <si>
    <t>1#</t>
  </si>
  <si>
    <t>2#</t>
  </si>
  <si>
    <t>螺旋输送机</t>
  </si>
  <si>
    <t>螺旋压榨机</t>
  </si>
  <si>
    <t>进水泵</t>
  </si>
  <si>
    <t>3#</t>
  </si>
  <si>
    <t>4#</t>
  </si>
  <si>
    <t>5#</t>
  </si>
  <si>
    <t>细格栅机</t>
  </si>
  <si>
    <t>6#</t>
  </si>
  <si>
    <t>搅拌机</t>
  </si>
  <si>
    <t>砂水分离机</t>
  </si>
  <si>
    <t>高压鼓风机</t>
  </si>
  <si>
    <t>25日保养</t>
  </si>
  <si>
    <t>3-12日电机保养、25日保养</t>
  </si>
  <si>
    <t>制表时间：2021/4/2</t>
  </si>
  <si>
    <t>水
解
酸
化
池</t>
  </si>
  <si>
    <t>水解酸化池
搅拌器
（南）</t>
  </si>
  <si>
    <t>4日保养</t>
  </si>
  <si>
    <t>7#</t>
  </si>
  <si>
    <t>8#</t>
  </si>
  <si>
    <t>9#</t>
  </si>
  <si>
    <t>10#</t>
  </si>
  <si>
    <t>11#</t>
  </si>
  <si>
    <t>12#</t>
  </si>
  <si>
    <t>13#</t>
  </si>
  <si>
    <t>14#</t>
  </si>
  <si>
    <t>15#</t>
  </si>
  <si>
    <t>16#</t>
  </si>
  <si>
    <t>17#</t>
  </si>
  <si>
    <t>18#</t>
  </si>
  <si>
    <t>水解酸化池
搅拌器
（北）</t>
  </si>
  <si>
    <t>19#</t>
  </si>
  <si>
    <t>20#</t>
  </si>
  <si>
    <t>21#</t>
  </si>
  <si>
    <t>22#</t>
  </si>
  <si>
    <t>23#</t>
  </si>
  <si>
    <t>24#</t>
  </si>
  <si>
    <t>25#</t>
  </si>
  <si>
    <t>26#</t>
  </si>
  <si>
    <t>27#</t>
  </si>
  <si>
    <t>28#</t>
  </si>
  <si>
    <t>29#</t>
  </si>
  <si>
    <t>30#</t>
  </si>
  <si>
    <t>31#</t>
  </si>
  <si>
    <t>32#</t>
  </si>
  <si>
    <t>33#</t>
  </si>
  <si>
    <t>34#</t>
  </si>
  <si>
    <t>35#</t>
  </si>
  <si>
    <t>36#</t>
  </si>
  <si>
    <t>中沉池
刮泥机</t>
  </si>
  <si>
    <t>中沉池
回流泵</t>
  </si>
  <si>
    <t>中沉池
排泥泵</t>
  </si>
  <si>
    <t>二次
提升泵</t>
  </si>
  <si>
    <t>一
期
二
级
处
理</t>
  </si>
  <si>
    <t>一
期
厌
、
缺
、
好
氧
区
搅
拌
器</t>
  </si>
  <si>
    <t>23日安装</t>
  </si>
  <si>
    <t>一期
厌、缺
、好氧
区搅拌
器</t>
  </si>
  <si>
    <t>二沉池
刮吸泥机</t>
  </si>
  <si>
    <t>剩余
污泥泵</t>
  </si>
  <si>
    <t>外回
流泵</t>
  </si>
  <si>
    <t>内回
流泵</t>
  </si>
  <si>
    <t>3日软启动器修理</t>
  </si>
  <si>
    <t>二
期
二
级
处
理</t>
  </si>
  <si>
    <t>二
期
厌
、
缺
、
好
氧
区
搅
拌
器</t>
  </si>
  <si>
    <t>8日保养</t>
  </si>
  <si>
    <t>5-23日修理</t>
  </si>
  <si>
    <t>深
度
处
理</t>
  </si>
  <si>
    <t>三次
提升泵</t>
  </si>
  <si>
    <t>3日电动头修理</t>
  </si>
  <si>
    <t>高沉
刮泥机</t>
  </si>
  <si>
    <t>高沉池
絮凝搅拌器</t>
  </si>
  <si>
    <t>高沉池
混凝搅拌器</t>
  </si>
  <si>
    <t>高沉池
剩余污泥泵</t>
  </si>
  <si>
    <t>PAC
投加泵</t>
  </si>
  <si>
    <t>4日保养、24日更换膜片</t>
  </si>
  <si>
    <t>PAM
投加泵</t>
  </si>
  <si>
    <t>提标
空压机</t>
  </si>
  <si>
    <t>V型滤池
（南）</t>
  </si>
  <si>
    <t>V型滤池
（北）</t>
  </si>
  <si>
    <t>反冲洗泵</t>
  </si>
  <si>
    <t>反冲洗风机</t>
  </si>
  <si>
    <t>二
氧
化
氯
发
生
器
房</t>
  </si>
  <si>
    <t>欧泰华
二氧化氯
发生器</t>
  </si>
  <si>
    <t>2日更换加热管</t>
  </si>
  <si>
    <t>山大华特
二氧化氯
发生器</t>
  </si>
  <si>
    <t>9日更换氯酸钠泵</t>
  </si>
  <si>
    <t>增压水泵</t>
  </si>
  <si>
    <t>脱
水
机
房</t>
  </si>
  <si>
    <t>浓缩池刮泥机</t>
  </si>
  <si>
    <t>进泥泵</t>
  </si>
  <si>
    <t>11日保养</t>
  </si>
  <si>
    <t>脱水离心机</t>
  </si>
  <si>
    <t>31日保养</t>
  </si>
  <si>
    <t>22日保养、30-31日背驱电机轴承更换</t>
  </si>
  <si>
    <t>仪表名称</t>
  </si>
  <si>
    <t>规格型号</t>
  </si>
  <si>
    <t>安装位置</t>
  </si>
  <si>
    <t>运行情况</t>
  </si>
  <si>
    <t>标定、校准情况</t>
  </si>
  <si>
    <t>一期溶氧仪</t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</si>
  <si>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</si>
  <si>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美商生化</t>
    </r>
    <r>
      <rPr>
        <sz val="10"/>
        <rFont val="宋体"/>
        <charset val="134"/>
      </rPr>
      <t>T-10</t>
    </r>
  </si>
  <si>
    <t>一期生反池</t>
  </si>
  <si>
    <t>正常</t>
  </si>
  <si>
    <t>校准</t>
  </si>
  <si>
    <t>2021-03-05 2021-03-12 2021-03-19 2021-03-26</t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</si>
  <si>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（南）</t>
    </r>
  </si>
  <si>
    <r>
      <rPr>
        <sz val="10"/>
        <rFont val="宋体"/>
        <charset val="134"/>
      </rPr>
      <t>1#</t>
    </r>
    <r>
      <rPr>
        <sz val="10"/>
        <rFont val="宋体"/>
        <charset val="134"/>
      </rPr>
      <t>（北）</t>
    </r>
  </si>
  <si>
    <r>
      <rPr>
        <sz val="10"/>
        <rFont val="宋体"/>
        <charset val="134"/>
      </rPr>
      <t>2#</t>
    </r>
    <r>
      <rPr>
        <sz val="10"/>
        <rFont val="宋体"/>
        <charset val="134"/>
      </rPr>
      <t>（北）</t>
    </r>
  </si>
  <si>
    <t>一期污泥浓度计</t>
  </si>
  <si>
    <t>E+H</t>
  </si>
  <si>
    <r>
      <rPr>
        <sz val="10"/>
        <rFont val="宋体"/>
        <charset val="134"/>
      </rPr>
      <t>进水</t>
    </r>
    <r>
      <rPr>
        <sz val="10"/>
        <rFont val="宋体"/>
        <charset val="134"/>
      </rPr>
      <t>PH</t>
    </r>
    <r>
      <rPr>
        <sz val="10"/>
        <rFont val="宋体"/>
        <charset val="134"/>
      </rPr>
      <t>计</t>
    </r>
  </si>
  <si>
    <t>哈希</t>
  </si>
  <si>
    <t>一期旋流沉砂池</t>
  </si>
  <si>
    <t>标定</t>
  </si>
  <si>
    <t>二期溶氧仪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</si>
  <si>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LDO</t>
    </r>
  </si>
  <si>
    <t>二期生反池</t>
  </si>
  <si>
    <t>二期污泥浓度计</t>
  </si>
  <si>
    <r>
      <rPr>
        <sz val="10"/>
        <rFont val="宋体"/>
        <charset val="134"/>
      </rPr>
      <t>哈希</t>
    </r>
    <r>
      <rPr>
        <sz val="10"/>
        <rFont val="宋体"/>
        <charset val="134"/>
      </rPr>
      <t>TXPRO-2</t>
    </r>
  </si>
  <si>
    <t>制表日期：2021/4/5</t>
  </si>
  <si>
    <r>
      <rPr>
        <sz val="10"/>
        <rFont val="宋体"/>
        <charset val="134"/>
      </rPr>
      <t>一期</t>
    </r>
    <r>
      <rPr>
        <sz val="10"/>
        <rFont val="宋体"/>
        <charset val="134"/>
      </rPr>
      <t>ORP</t>
    </r>
  </si>
  <si>
    <r>
      <rPr>
        <sz val="10"/>
        <rFont val="宋体"/>
        <charset val="134"/>
      </rPr>
      <t>二期</t>
    </r>
    <r>
      <rPr>
        <sz val="10"/>
        <rFont val="宋体"/>
        <charset val="134"/>
      </rPr>
      <t>ORP</t>
    </r>
  </si>
  <si>
    <t>常州市深水江边污水处理有限公司实验数据汇总表</t>
  </si>
  <si>
    <t>采样地点：一期北</t>
  </si>
  <si>
    <t>采样时间：2021-3-25</t>
  </si>
  <si>
    <t>硝化实验</t>
  </si>
  <si>
    <t>反硝化实验</t>
  </si>
  <si>
    <t>释磷实验</t>
  </si>
  <si>
    <t>时间节点</t>
  </si>
  <si>
    <r>
      <rPr>
        <sz val="10"/>
        <rFont val="宋体"/>
        <charset val="134"/>
        <scheme val="minor"/>
      </rPr>
      <t>NO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</si>
  <si>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NH</t>
    </r>
    <r>
      <rPr>
        <vertAlign val="subscript"/>
        <sz val="10"/>
        <rFont val="宋体"/>
        <charset val="134"/>
      </rPr>
      <t>3</t>
    </r>
    <r>
      <rPr>
        <sz val="10"/>
        <rFont val="宋体"/>
        <charset val="134"/>
      </rPr>
      <t>-N(mg/l)</t>
    </r>
  </si>
  <si>
    <r>
      <rPr>
        <sz val="10"/>
        <rFont val="宋体"/>
        <charset val="134"/>
        <scheme val="minor"/>
      </rPr>
      <t>PO</t>
    </r>
    <r>
      <rPr>
        <vertAlign val="subscript"/>
        <sz val="10"/>
        <rFont val="宋体"/>
        <charset val="134"/>
      </rPr>
      <t>4</t>
    </r>
    <r>
      <rPr>
        <vertAlign val="superscript"/>
        <sz val="10"/>
        <rFont val="宋体"/>
        <charset val="134"/>
      </rPr>
      <t>3-</t>
    </r>
    <r>
      <rPr>
        <sz val="10"/>
        <rFont val="宋体"/>
        <charset val="134"/>
      </rPr>
      <t>(mg/l)</t>
    </r>
  </si>
  <si>
    <t>0分钟</t>
  </si>
  <si>
    <t>15分钟</t>
  </si>
  <si>
    <t>30分钟</t>
  </si>
  <si>
    <t>60分钟</t>
  </si>
  <si>
    <t>45分钟</t>
  </si>
  <si>
    <t>90分钟</t>
  </si>
  <si>
    <t>MLSS(mg/l)</t>
  </si>
</sst>
</file>

<file path=xl/styles.xml><?xml version="1.0" encoding="utf-8"?>
<styleSheet xmlns="http://schemas.openxmlformats.org/spreadsheetml/2006/main">
  <numFmts count="26"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176" formatCode="0.00;_鰀"/>
    <numFmt numFmtId="177" formatCode="0;[Red]0"/>
    <numFmt numFmtId="178" formatCode="yyyy&quot;年&quot;m&quot;月&quot;;@"/>
    <numFmt numFmtId="179" formatCode="0_ "/>
    <numFmt numFmtId="180" formatCode="0.0;[Red]0.0"/>
    <numFmt numFmtId="181" formatCode="0_);[Red]\(0\)"/>
    <numFmt numFmtId="182" formatCode="0.000_ "/>
    <numFmt numFmtId="183" formatCode="0.00_);[Red]\(0.00\)"/>
    <numFmt numFmtId="184" formatCode="0.000;_鰀"/>
    <numFmt numFmtId="185" formatCode="0.0000_);[Red]\(0.0000\)"/>
    <numFmt numFmtId="186" formatCode="0.00_ "/>
    <numFmt numFmtId="187" formatCode="0.0_ "/>
    <numFmt numFmtId="188" formatCode="0.0_);[Red]\(0.0\)"/>
    <numFmt numFmtId="189" formatCode="0.00;[Red]0.00"/>
    <numFmt numFmtId="190" formatCode="yyyy/m/d;@"/>
    <numFmt numFmtId="191" formatCode="0.0_);\(0.0\)"/>
    <numFmt numFmtId="192" formatCode="0.0%"/>
    <numFmt numFmtId="193" formatCode="0;_䠀"/>
    <numFmt numFmtId="194" formatCode="0;_鰀"/>
    <numFmt numFmtId="195" formatCode="#,##0.00_ "/>
    <numFmt numFmtId="196" formatCode="0;_ﰀ"/>
    <numFmt numFmtId="197" formatCode="0.000_);[Red]\(0.000\)"/>
  </numFmts>
  <fonts count="57">
    <font>
      <sz val="12"/>
      <name val="宋体"/>
      <charset val="134"/>
    </font>
    <font>
      <sz val="10"/>
      <name val="宋体"/>
      <charset val="134"/>
      <scheme val="minor"/>
    </font>
    <font>
      <sz val="12"/>
      <name val="宋体"/>
      <charset val="134"/>
      <scheme val="minor"/>
    </font>
    <font>
      <sz val="16"/>
      <name val="宋体"/>
      <charset val="134"/>
      <scheme val="minor"/>
    </font>
    <font>
      <sz val="10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6"/>
      <name val="宋体"/>
      <charset val="134"/>
    </font>
    <font>
      <b/>
      <sz val="16"/>
      <name val="宋体"/>
      <charset val="134"/>
    </font>
    <font>
      <b/>
      <sz val="20"/>
      <name val="宋体"/>
      <charset val="134"/>
    </font>
    <font>
      <sz val="10"/>
      <name val="宋体"/>
      <charset val="134"/>
    </font>
    <font>
      <sz val="9"/>
      <name val="宋体"/>
      <charset val="134"/>
    </font>
    <font>
      <sz val="12"/>
      <color rgb="FFFF0000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</font>
    <font>
      <sz val="10"/>
      <color theme="2" tint="-0.899929807428205"/>
      <name val="宋体"/>
      <charset val="134"/>
      <scheme val="minor"/>
    </font>
    <font>
      <vertAlign val="superscript"/>
      <sz val="10"/>
      <color theme="1"/>
      <name val="宋体"/>
      <charset val="134"/>
      <scheme val="minor"/>
    </font>
    <font>
      <sz val="12"/>
      <color indexed="10"/>
      <name val="宋体"/>
      <charset val="134"/>
    </font>
    <font>
      <sz val="20"/>
      <name val="宋体"/>
      <charset val="134"/>
    </font>
    <font>
      <sz val="10"/>
      <color indexed="8"/>
      <name val="宋体"/>
      <charset val="134"/>
    </font>
    <font>
      <sz val="9"/>
      <color indexed="8"/>
      <name val="微软雅黑"/>
      <charset val="134"/>
    </font>
    <font>
      <sz val="9"/>
      <color indexed="10"/>
      <name val="微软雅黑"/>
      <charset val="134"/>
    </font>
    <font>
      <sz val="9"/>
      <name val="微软雅黑"/>
      <charset val="134"/>
    </font>
    <font>
      <sz val="10"/>
      <name val="微软雅黑"/>
      <charset val="134"/>
    </font>
    <font>
      <sz val="12"/>
      <name val="微软雅黑"/>
      <charset val="134"/>
    </font>
    <font>
      <sz val="12"/>
      <color indexed="10"/>
      <name val="微软雅黑"/>
      <charset val="134"/>
    </font>
    <font>
      <sz val="10"/>
      <name val="Times New Roman"/>
      <charset val="0"/>
    </font>
    <font>
      <sz val="9"/>
      <name val="文鼎CS中等线"/>
      <charset val="134"/>
    </font>
    <font>
      <sz val="14"/>
      <name val="宋体"/>
      <charset val="134"/>
    </font>
    <font>
      <sz val="10"/>
      <color rgb="FFFF0000"/>
      <name val="宋体"/>
      <charset val="134"/>
    </font>
    <font>
      <sz val="14"/>
      <name val="宋体"/>
      <charset val="134"/>
      <scheme val="minor"/>
    </font>
    <font>
      <sz val="12"/>
      <color indexed="8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indexed="63"/>
      <name val="宋体"/>
      <charset val="134"/>
    </font>
    <font>
      <b/>
      <sz val="11"/>
      <color indexed="56"/>
      <name val="宋体"/>
      <charset val="134"/>
    </font>
    <font>
      <sz val="11"/>
      <color indexed="9"/>
      <name val="宋体"/>
      <charset val="134"/>
    </font>
    <font>
      <b/>
      <sz val="18"/>
      <color indexed="56"/>
      <name val="宋体"/>
      <charset val="134"/>
    </font>
    <font>
      <u/>
      <sz val="12"/>
      <color indexed="12"/>
      <name val="宋体"/>
      <charset val="134"/>
    </font>
    <font>
      <b/>
      <sz val="11"/>
      <color indexed="8"/>
      <name val="宋体"/>
      <charset val="134"/>
    </font>
    <font>
      <sz val="11"/>
      <color indexed="62"/>
      <name val="宋体"/>
      <charset val="134"/>
    </font>
    <font>
      <b/>
      <sz val="13"/>
      <color indexed="56"/>
      <name val="宋体"/>
      <charset val="134"/>
    </font>
    <font>
      <sz val="11"/>
      <color indexed="10"/>
      <name val="宋体"/>
      <charset val="134"/>
    </font>
    <font>
      <b/>
      <sz val="15"/>
      <color indexed="56"/>
      <name val="宋体"/>
      <charset val="134"/>
    </font>
    <font>
      <sz val="11"/>
      <color indexed="8"/>
      <name val="宋体"/>
      <charset val="134"/>
    </font>
    <font>
      <sz val="11"/>
      <color indexed="52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i/>
      <sz val="11"/>
      <color indexed="23"/>
      <name val="宋体"/>
      <charset val="134"/>
    </font>
    <font>
      <u/>
      <sz val="12"/>
      <color indexed="36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17"/>
      <name val="宋体"/>
      <charset val="134"/>
    </font>
    <font>
      <vertAlign val="subscript"/>
      <sz val="10"/>
      <name val="宋体"/>
      <charset val="134"/>
    </font>
    <font>
      <vertAlign val="superscript"/>
      <sz val="10"/>
      <name val="宋体"/>
      <charset val="134"/>
    </font>
    <font>
      <vertAlign val="subscript"/>
      <sz val="10"/>
      <color indexed="8"/>
      <name val="宋体"/>
      <charset val="134"/>
    </font>
    <font>
      <vertAlign val="superscript"/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7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615">
    <xf numFmtId="0" fontId="0" fillId="0" borderId="0"/>
    <xf numFmtId="42" fontId="0" fillId="0" borderId="0" applyFont="0" applyFill="0" applyBorder="0" applyAlignment="0" applyProtection="0"/>
    <xf numFmtId="0" fontId="36" fillId="11" borderId="0" applyNumberFormat="0" applyBorder="0" applyAlignment="0" applyProtection="0">
      <alignment vertical="center"/>
    </xf>
    <xf numFmtId="0" fontId="40" fillId="6" borderId="22" applyNumberFormat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44" fontId="0" fillId="0" borderId="0" applyFont="0" applyFill="0" applyBorder="0" applyAlignment="0" applyProtection="0"/>
    <xf numFmtId="9" fontId="44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/>
    <xf numFmtId="0" fontId="50" fillId="16" borderId="0" applyNumberFormat="0" applyBorder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6" fillId="5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36" fillId="17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44" fillId="18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0" fillId="9" borderId="25" applyNumberFormat="0" applyFont="0" applyAlignment="0" applyProtection="0">
      <alignment vertical="center"/>
    </xf>
    <xf numFmtId="0" fontId="44" fillId="0" borderId="0">
      <alignment vertical="center"/>
    </xf>
    <xf numFmtId="0" fontId="44" fillId="19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0" fillId="9" borderId="25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4" fillId="0" borderId="0">
      <alignment vertical="center"/>
    </xf>
    <xf numFmtId="0" fontId="3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7" fillId="15" borderId="27" applyNumberFormat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7" fillId="15" borderId="27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44" fillId="13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4" fillId="16" borderId="0" applyNumberFormat="0" applyBorder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4" fillId="10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19" borderId="0" applyNumberFormat="0" applyBorder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44" fillId="0" borderId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0" borderId="0">
      <alignment vertical="center"/>
    </xf>
    <xf numFmtId="0" fontId="36" fillId="14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0" fillId="9" borderId="25" applyNumberFormat="0" applyFont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4" fillId="25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4" fillId="6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4" fillId="12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7" fillId="15" borderId="27" applyNumberFormat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7" fillId="15" borderId="27" applyNumberFormat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7" fillId="15" borderId="27" applyNumberFormat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7" fillId="15" borderId="27" applyNumberFormat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44" fillId="19" borderId="0" applyNumberFormat="0" applyBorder="0" applyAlignment="0" applyProtection="0">
      <alignment vertical="center"/>
    </xf>
    <xf numFmtId="0" fontId="0" fillId="0" borderId="0"/>
    <xf numFmtId="0" fontId="44" fillId="2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4" fillId="20" borderId="0">
      <alignment vertical="top"/>
      <protection locked="0"/>
    </xf>
    <xf numFmtId="0" fontId="44" fillId="2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44" fillId="20" borderId="0" applyNumberFormat="0" applyBorder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7" fillId="15" borderId="27" applyNumberFormat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4" fillId="18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0" fillId="0" borderId="0"/>
    <xf numFmtId="0" fontId="36" fillId="24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4" borderId="0">
      <alignment vertical="top"/>
      <protection locked="0"/>
    </xf>
    <xf numFmtId="0" fontId="36" fillId="2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4" fillId="0" borderId="0">
      <alignment vertical="center"/>
    </xf>
    <xf numFmtId="0" fontId="36" fillId="14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44" fillId="0" borderId="0">
      <alignment vertical="center"/>
    </xf>
    <xf numFmtId="0" fontId="36" fillId="14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0" fillId="9" borderId="25" applyNumberFormat="0" applyFont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0" fillId="6" borderId="22" applyNumberFormat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0" fontId="47" fillId="15" borderId="27" applyNumberFormat="0" applyAlignment="0" applyProtection="0">
      <alignment vertical="center"/>
    </xf>
    <xf numFmtId="0" fontId="36" fillId="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9" fontId="44" fillId="0" borderId="0" applyFont="0" applyFill="0" applyBorder="0" applyAlignment="0" applyProtection="0">
      <alignment vertical="center"/>
    </xf>
    <xf numFmtId="0" fontId="44" fillId="0" borderId="0">
      <alignment vertical="center"/>
    </xf>
    <xf numFmtId="9" fontId="44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4" fillId="0" borderId="0">
      <alignment vertical="center"/>
    </xf>
    <xf numFmtId="0" fontId="41" fillId="0" borderId="23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41" fillId="0" borderId="23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35" fillId="0" borderId="20" applyNumberFormat="0" applyFill="0" applyAlignment="0" applyProtection="0">
      <alignment vertical="center"/>
    </xf>
    <xf numFmtId="0" fontId="44" fillId="0" borderId="0">
      <alignment vertical="center"/>
    </xf>
    <xf numFmtId="0" fontId="35" fillId="0" borderId="20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47" fillId="15" borderId="27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40" fillId="6" borderId="22" applyNumberForma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0" fillId="0" borderId="0"/>
    <xf numFmtId="0" fontId="4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0" fillId="0" borderId="0"/>
    <xf numFmtId="0" fontId="50" fillId="1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52" fillId="10" borderId="0" applyNumberFormat="0" applyBorder="0" applyAlignment="0" applyProtection="0">
      <alignment vertical="center"/>
    </xf>
    <xf numFmtId="0" fontId="44" fillId="0" borderId="0">
      <alignment vertical="center"/>
    </xf>
    <xf numFmtId="0" fontId="51" fillId="21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4" fillId="0" borderId="0">
      <alignment vertical="center"/>
    </xf>
    <xf numFmtId="0" fontId="0" fillId="0" borderId="0">
      <alignment vertical="center"/>
    </xf>
    <xf numFmtId="0" fontId="44" fillId="0" borderId="0">
      <alignment vertical="center"/>
    </xf>
    <xf numFmtId="0" fontId="0" fillId="9" borderId="25" applyNumberFormat="0" applyFont="0" applyAlignment="0" applyProtection="0">
      <alignment vertical="center"/>
    </xf>
    <xf numFmtId="0" fontId="0" fillId="0" borderId="0">
      <alignment vertical="center"/>
    </xf>
    <xf numFmtId="0" fontId="33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36" fillId="7" borderId="0" applyNumberFormat="0" applyBorder="0" applyAlignment="0" applyProtection="0">
      <alignment vertical="center"/>
    </xf>
    <xf numFmtId="0" fontId="0" fillId="0" borderId="0"/>
    <xf numFmtId="0" fontId="39" fillId="0" borderId="21" applyNumberFormat="0" applyFill="0" applyAlignment="0" applyProtection="0">
      <alignment vertical="center"/>
    </xf>
    <xf numFmtId="0" fontId="0" fillId="0" borderId="0"/>
    <xf numFmtId="0" fontId="36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4" fillId="0" borderId="0">
      <alignment vertical="center"/>
    </xf>
    <xf numFmtId="0" fontId="44" fillId="0" borderId="0">
      <alignment vertical="center"/>
    </xf>
    <xf numFmtId="0" fontId="36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0" fillId="6" borderId="22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0" fillId="6" borderId="22" applyNumberFormat="0" applyAlignment="0" applyProtection="0">
      <alignment vertical="center"/>
    </xf>
    <xf numFmtId="0" fontId="0" fillId="0" borderId="0"/>
    <xf numFmtId="0" fontId="40" fillId="6" borderId="22" applyNumberFormat="0" applyAlignment="0" applyProtection="0">
      <alignment vertical="center"/>
    </xf>
    <xf numFmtId="0" fontId="0" fillId="0" borderId="0"/>
    <xf numFmtId="0" fontId="0" fillId="0" borderId="0"/>
    <xf numFmtId="0" fontId="52" fillId="1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52" fillId="10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39" fillId="0" borderId="21" applyNumberFormat="0" applyFill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46" fillId="4" borderId="22" applyNumberFormat="0" applyAlignment="0" applyProtection="0">
      <alignment vertical="center"/>
    </xf>
    <xf numFmtId="0" fontId="47" fillId="15" borderId="27" applyNumberFormat="0" applyAlignment="0" applyProtection="0">
      <alignment vertical="center"/>
    </xf>
    <xf numFmtId="0" fontId="47" fillId="15" borderId="27" applyNumberFormat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47" fillId="15" borderId="27" applyNumberFormat="0" applyAlignment="0" applyProtection="0">
      <alignment vertical="center"/>
    </xf>
    <xf numFmtId="0" fontId="47" fillId="15" borderId="27" applyNumberForma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0" fillId="9" borderId="25" applyNumberFormat="0" applyFont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45" fillId="0" borderId="26" applyNumberFormat="0" applyFill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11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7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22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51" fillId="21" borderId="0" applyNumberFormat="0" applyBorder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34" fillId="4" borderId="19" applyNumberFormat="0" applyAlignment="0" applyProtection="0">
      <alignment vertical="center"/>
    </xf>
    <xf numFmtId="0" fontId="40" fillId="6" borderId="22" applyNumberFormat="0" applyAlignment="0" applyProtection="0">
      <alignment vertical="center"/>
    </xf>
    <xf numFmtId="0" fontId="40" fillId="6" borderId="22" applyNumberFormat="0" applyAlignment="0" applyProtection="0">
      <alignment vertical="center"/>
    </xf>
    <xf numFmtId="0" fontId="40" fillId="6" borderId="22" applyNumberFormat="0" applyAlignment="0" applyProtection="0">
      <alignment vertical="center"/>
    </xf>
    <xf numFmtId="0" fontId="40" fillId="6" borderId="22" applyNumberFormat="0" applyAlignment="0" applyProtection="0">
      <alignment vertical="center"/>
    </xf>
    <xf numFmtId="0" fontId="40" fillId="6" borderId="22" applyNumberFormat="0" applyAlignment="0" applyProtection="0">
      <alignment vertical="center"/>
    </xf>
    <xf numFmtId="0" fontId="40" fillId="6" borderId="22" applyNumberFormat="0" applyAlignment="0" applyProtection="0">
      <alignment vertical="center"/>
    </xf>
    <xf numFmtId="0" fontId="40" fillId="6" borderId="22" applyNumberFormat="0" applyAlignment="0" applyProtection="0">
      <alignment vertical="center"/>
    </xf>
    <xf numFmtId="0" fontId="0" fillId="9" borderId="25" applyNumberFormat="0" applyFont="0" applyAlignment="0" applyProtection="0">
      <alignment vertical="center"/>
    </xf>
    <xf numFmtId="0" fontId="0" fillId="9" borderId="25" applyNumberFormat="0" applyFont="0" applyAlignment="0" applyProtection="0">
      <alignment vertical="center"/>
    </xf>
    <xf numFmtId="0" fontId="0" fillId="9" borderId="25" applyNumberFormat="0" applyFont="0" applyAlignment="0" applyProtection="0">
      <alignment vertical="center"/>
    </xf>
    <xf numFmtId="0" fontId="0" fillId="9" borderId="25" applyNumberFormat="0" applyFont="0" applyAlignment="0" applyProtection="0">
      <alignment vertical="center"/>
    </xf>
    <xf numFmtId="0" fontId="0" fillId="9" borderId="25" applyNumberFormat="0" applyFont="0" applyAlignment="0" applyProtection="0">
      <alignment vertical="center"/>
    </xf>
    <xf numFmtId="0" fontId="0" fillId="9" borderId="25" applyNumberFormat="0" applyFont="0" applyAlignment="0" applyProtection="0">
      <alignment vertical="center"/>
    </xf>
    <xf numFmtId="0" fontId="0" fillId="9" borderId="25" applyNumberFormat="0" applyFont="0" applyAlignment="0" applyProtection="0">
      <alignment vertical="center"/>
    </xf>
  </cellStyleXfs>
  <cellXfs count="31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183" fontId="1" fillId="0" borderId="1" xfId="0" applyNumberFormat="1" applyFont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181" fontId="1" fillId="0" borderId="2" xfId="0" applyNumberFormat="1" applyFont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81" fontId="1" fillId="0" borderId="6" xfId="0" applyNumberFormat="1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181" fontId="1" fillId="0" borderId="9" xfId="0" applyNumberFormat="1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79" fontId="5" fillId="0" borderId="0" xfId="0" applyNumberFormat="1" applyFont="1"/>
    <xf numFmtId="0" fontId="0" fillId="0" borderId="0" xfId="0" applyFont="1"/>
    <xf numFmtId="0" fontId="6" fillId="0" borderId="0" xfId="489" applyFont="1" applyAlignment="1">
      <alignment horizontal="center" vertical="center"/>
    </xf>
    <xf numFmtId="0" fontId="7" fillId="0" borderId="0" xfId="489" applyFont="1" applyAlignment="1">
      <alignment horizontal="center" vertical="center"/>
    </xf>
    <xf numFmtId="0" fontId="8" fillId="0" borderId="0" xfId="489" applyFont="1" applyAlignment="1">
      <alignment vertical="center"/>
    </xf>
    <xf numFmtId="0" fontId="9" fillId="0" borderId="0" xfId="0" applyFont="1" applyAlignment="1">
      <alignment horizontal="center"/>
    </xf>
    <xf numFmtId="57" fontId="0" fillId="0" borderId="11" xfId="0" applyNumberFormat="1" applyFont="1" applyBorder="1" applyAlignment="1">
      <alignment horizontal="center"/>
    </xf>
    <xf numFmtId="0" fontId="0" fillId="0" borderId="11" xfId="0" applyFont="1" applyBorder="1" applyAlignment="1"/>
    <xf numFmtId="0" fontId="9" fillId="0" borderId="1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58" fontId="10" fillId="0" borderId="1" xfId="0" applyNumberFormat="1" applyFont="1" applyBorder="1" applyAlignment="1">
      <alignment horizontal="center" vertical="center" wrapText="1"/>
    </xf>
    <xf numFmtId="58" fontId="9" fillId="0" borderId="0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0" fillId="0" borderId="4" xfId="0" applyFont="1" applyBorder="1" applyAlignment="1">
      <alignment vertical="center"/>
    </xf>
    <xf numFmtId="0" fontId="0" fillId="0" borderId="0" xfId="0" applyFont="1" applyBorder="1" applyAlignment="1">
      <alignment horizontal="left" vertical="center"/>
    </xf>
    <xf numFmtId="0" fontId="9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57" fontId="0" fillId="0" borderId="0" xfId="0" applyNumberFormat="1" applyFont="1" applyBorder="1" applyAlignment="1">
      <alignment horizontal="center"/>
    </xf>
    <xf numFmtId="0" fontId="0" fillId="0" borderId="0" xfId="0" applyFont="1" applyBorder="1" applyAlignment="1"/>
    <xf numFmtId="0" fontId="9" fillId="0" borderId="1" xfId="0" applyFont="1" applyBorder="1" applyAlignment="1">
      <alignment horizontal="center"/>
    </xf>
    <xf numFmtId="58" fontId="9" fillId="0" borderId="1" xfId="0" applyNumberFormat="1" applyFont="1" applyBorder="1" applyAlignment="1">
      <alignment horizontal="center" vertical="center" wrapText="1"/>
    </xf>
    <xf numFmtId="0" fontId="11" fillId="0" borderId="0" xfId="0" applyFont="1"/>
    <xf numFmtId="0" fontId="12" fillId="0" borderId="0" xfId="0" applyFont="1" applyFill="1" applyBorder="1" applyAlignment="1">
      <alignment horizontal="center" vertical="center"/>
    </xf>
    <xf numFmtId="9" fontId="12" fillId="0" borderId="0" xfId="0" applyNumberFormat="1" applyFont="1" applyFill="1" applyBorder="1" applyAlignment="1">
      <alignment horizontal="center" vertical="center"/>
    </xf>
    <xf numFmtId="0" fontId="13" fillId="0" borderId="0" xfId="0" applyFont="1" applyFill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9" fontId="2" fillId="0" borderId="0" xfId="0" applyNumberFormat="1" applyFont="1" applyFill="1" applyBorder="1" applyAlignment="1">
      <alignment horizontal="center" vertical="center"/>
    </xf>
    <xf numFmtId="57" fontId="1" fillId="0" borderId="1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 wrapText="1"/>
    </xf>
    <xf numFmtId="179" fontId="1" fillId="0" borderId="1" xfId="0" applyNumberFormat="1" applyFont="1" applyFill="1" applyBorder="1" applyAlignment="1">
      <alignment horizontal="center" vertical="center" wrapText="1"/>
    </xf>
    <xf numFmtId="9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/>
    </xf>
    <xf numFmtId="9" fontId="12" fillId="0" borderId="1" xfId="0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81" fontId="1" fillId="0" borderId="4" xfId="0" applyNumberFormat="1" applyFont="1" applyFill="1" applyBorder="1" applyAlignment="1">
      <alignment vertical="center"/>
    </xf>
    <xf numFmtId="179" fontId="1" fillId="0" borderId="4" xfId="0" applyNumberFormat="1" applyFont="1" applyFill="1" applyBorder="1" applyAlignment="1">
      <alignment vertical="center"/>
    </xf>
    <xf numFmtId="0" fontId="1" fillId="0" borderId="4" xfId="0" applyFont="1" applyFill="1" applyBorder="1" applyAlignment="1">
      <alignment horizontal="center" vertical="center"/>
    </xf>
    <xf numFmtId="178" fontId="1" fillId="0" borderId="1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wrapText="1"/>
    </xf>
    <xf numFmtId="181" fontId="1" fillId="0" borderId="2" xfId="0" applyNumberFormat="1" applyFont="1" applyFill="1" applyBorder="1" applyAlignment="1">
      <alignment horizontal="center" vertical="center" wrapText="1"/>
    </xf>
    <xf numFmtId="179" fontId="1" fillId="0" borderId="2" xfId="0" applyNumberFormat="1" applyFont="1" applyFill="1" applyBorder="1" applyAlignment="1">
      <alignment horizontal="center" vertical="center" wrapText="1"/>
    </xf>
    <xf numFmtId="9" fontId="1" fillId="0" borderId="2" xfId="0" applyNumberFormat="1" applyFont="1" applyFill="1" applyBorder="1" applyAlignment="1">
      <alignment horizontal="center" vertical="center" wrapText="1"/>
    </xf>
    <xf numFmtId="0" fontId="12" fillId="0" borderId="3" xfId="0" applyFont="1" applyFill="1" applyBorder="1" applyAlignment="1">
      <alignment horizontal="center" vertical="center" wrapText="1"/>
    </xf>
    <xf numFmtId="0" fontId="12" fillId="0" borderId="7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>
      <alignment horizontal="center" vertical="center"/>
    </xf>
    <xf numFmtId="0" fontId="12" fillId="0" borderId="10" xfId="0" applyFont="1" applyFill="1" applyBorder="1" applyAlignment="1">
      <alignment horizontal="center" vertical="center"/>
    </xf>
    <xf numFmtId="9" fontId="1" fillId="0" borderId="1" xfId="0" applyNumberFormat="1" applyFont="1" applyFill="1" applyBorder="1" applyAlignment="1">
      <alignment horizontal="center" vertical="center"/>
    </xf>
    <xf numFmtId="0" fontId="12" fillId="0" borderId="2" xfId="0" applyFont="1" applyFill="1" applyBorder="1" applyAlignment="1">
      <alignment horizontal="center" vertical="center" wrapText="1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 wrapText="1"/>
    </xf>
    <xf numFmtId="0" fontId="12" fillId="0" borderId="9" xfId="0" applyFont="1" applyFill="1" applyBorder="1" applyAlignment="1">
      <alignment horizontal="center" vertical="center"/>
    </xf>
    <xf numFmtId="0" fontId="12" fillId="0" borderId="9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181" fontId="12" fillId="0" borderId="0" xfId="0" applyNumberFormat="1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9" fontId="14" fillId="0" borderId="1" xfId="0" applyNumberFormat="1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6" fillId="2" borderId="0" xfId="0" applyFont="1" applyFill="1"/>
    <xf numFmtId="0" fontId="0" fillId="2" borderId="0" xfId="0" applyFont="1" applyFill="1"/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16" fillId="2" borderId="0" xfId="0" applyFont="1" applyFill="1" applyAlignment="1">
      <alignment horizontal="center"/>
    </xf>
    <xf numFmtId="0" fontId="16" fillId="2" borderId="11" xfId="0" applyFont="1" applyFill="1" applyBorder="1" applyAlignment="1"/>
    <xf numFmtId="0" fontId="18" fillId="0" borderId="2" xfId="0" applyFont="1" applyFill="1" applyBorder="1" applyAlignment="1">
      <alignment horizontal="center" vertical="center"/>
    </xf>
    <xf numFmtId="0" fontId="9" fillId="0" borderId="13" xfId="0" applyFont="1" applyFill="1" applyBorder="1" applyAlignment="1">
      <alignment horizontal="center" vertical="center"/>
    </xf>
    <xf numFmtId="0" fontId="9" fillId="0" borderId="15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18" fillId="0" borderId="6" xfId="0" applyFont="1" applyFill="1" applyBorder="1" applyAlignment="1">
      <alignment horizontal="center" vertical="center"/>
    </xf>
    <xf numFmtId="0" fontId="9" fillId="0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8" fillId="0" borderId="9" xfId="0" applyFont="1" applyFill="1" applyBorder="1" applyAlignment="1">
      <alignment horizontal="center" vertical="center"/>
    </xf>
    <xf numFmtId="0" fontId="9" fillId="0" borderId="9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 wrapText="1"/>
    </xf>
    <xf numFmtId="181" fontId="1" fillId="0" borderId="1" xfId="0" applyNumberFormat="1" applyFont="1" applyBorder="1" applyAlignment="1">
      <alignment horizontal="center" vertical="center" wrapText="1"/>
    </xf>
    <xf numFmtId="177" fontId="1" fillId="0" borderId="1" xfId="0" applyNumberFormat="1" applyFont="1" applyBorder="1" applyAlignment="1">
      <alignment horizontal="center" vertical="center" wrapText="1"/>
    </xf>
    <xf numFmtId="189" fontId="1" fillId="0" borderId="1" xfId="0" applyNumberFormat="1" applyFont="1" applyBorder="1" applyAlignment="1">
      <alignment horizontal="center" vertical="center" wrapText="1"/>
    </xf>
    <xf numFmtId="188" fontId="1" fillId="0" borderId="1" xfId="0" applyNumberFormat="1" applyFont="1" applyBorder="1" applyAlignment="1">
      <alignment horizontal="center" vertical="center" wrapText="1"/>
    </xf>
    <xf numFmtId="187" fontId="1" fillId="0" borderId="1" xfId="0" applyNumberFormat="1" applyFont="1" applyBorder="1" applyAlignment="1">
      <alignment horizontal="center" vertical="center" wrapText="1"/>
    </xf>
    <xf numFmtId="179" fontId="1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91" fontId="1" fillId="0" borderId="1" xfId="0" applyNumberFormat="1" applyFont="1" applyBorder="1" applyAlignment="1">
      <alignment horizontal="center" vertical="center" wrapText="1"/>
    </xf>
    <xf numFmtId="180" fontId="1" fillId="0" borderId="1" xfId="0" applyNumberFormat="1" applyFont="1" applyBorder="1" applyAlignment="1">
      <alignment horizontal="center" vertical="center" wrapText="1"/>
    </xf>
    <xf numFmtId="188" fontId="1" fillId="0" borderId="1" xfId="10" applyNumberFormat="1" applyFont="1" applyBorder="1" applyAlignment="1">
      <alignment horizontal="center" vertical="center" wrapText="1"/>
    </xf>
    <xf numFmtId="177" fontId="1" fillId="0" borderId="1" xfId="0" applyNumberFormat="1" applyFont="1" applyFill="1" applyBorder="1" applyAlignment="1">
      <alignment horizontal="center" vertical="center" wrapText="1"/>
    </xf>
    <xf numFmtId="181" fontId="1" fillId="0" borderId="1" xfId="10" applyNumberFormat="1" applyFont="1" applyBorder="1" applyAlignment="1">
      <alignment horizontal="center" vertical="center" wrapText="1"/>
    </xf>
    <xf numFmtId="180" fontId="1" fillId="0" borderId="1" xfId="0" applyNumberFormat="1" applyFont="1" applyFill="1" applyBorder="1" applyAlignment="1">
      <alignment horizontal="center" vertical="center" wrapText="1"/>
    </xf>
    <xf numFmtId="187" fontId="1" fillId="0" borderId="1" xfId="0" applyNumberFormat="1" applyFont="1" applyFill="1" applyBorder="1" applyAlignment="1">
      <alignment horizontal="center" vertical="center" wrapText="1"/>
    </xf>
    <xf numFmtId="179" fontId="1" fillId="2" borderId="1" xfId="0" applyNumberFormat="1" applyFont="1" applyFill="1" applyBorder="1" applyAlignment="1">
      <alignment horizontal="center" vertical="center" wrapText="1"/>
    </xf>
    <xf numFmtId="0" fontId="18" fillId="0" borderId="4" xfId="0" applyFont="1" applyBorder="1" applyAlignment="1">
      <alignment vertical="center"/>
    </xf>
    <xf numFmtId="177" fontId="18" fillId="0" borderId="4" xfId="0" applyNumberFormat="1" applyFont="1" applyBorder="1" applyAlignment="1">
      <alignment vertical="center"/>
    </xf>
    <xf numFmtId="181" fontId="18" fillId="0" borderId="4" xfId="0" applyNumberFormat="1" applyFont="1" applyBorder="1" applyAlignment="1">
      <alignment vertical="center"/>
    </xf>
    <xf numFmtId="186" fontId="18" fillId="0" borderId="4" xfId="0" applyNumberFormat="1" applyFont="1" applyBorder="1" applyAlignment="1">
      <alignment vertical="center"/>
    </xf>
    <xf numFmtId="180" fontId="18" fillId="0" borderId="4" xfId="0" applyNumberFormat="1" applyFont="1" applyBorder="1" applyAlignment="1">
      <alignment vertical="center"/>
    </xf>
    <xf numFmtId="0" fontId="18" fillId="0" borderId="0" xfId="0" applyFont="1" applyAlignment="1">
      <alignment vertical="center"/>
    </xf>
    <xf numFmtId="177" fontId="18" fillId="0" borderId="0" xfId="0" applyNumberFormat="1" applyFont="1" applyBorder="1" applyAlignment="1">
      <alignment vertical="center"/>
    </xf>
    <xf numFmtId="177" fontId="18" fillId="0" borderId="0" xfId="0" applyNumberFormat="1" applyFont="1" applyAlignment="1">
      <alignment vertical="center"/>
    </xf>
    <xf numFmtId="181" fontId="18" fillId="0" borderId="0" xfId="0" applyNumberFormat="1" applyFont="1" applyAlignment="1">
      <alignment vertical="center"/>
    </xf>
    <xf numFmtId="186" fontId="18" fillId="0" borderId="0" xfId="0" applyNumberFormat="1" applyFont="1" applyAlignment="1">
      <alignment vertical="center"/>
    </xf>
    <xf numFmtId="180" fontId="18" fillId="0" borderId="0" xfId="0" applyNumberFormat="1" applyFont="1" applyAlignment="1">
      <alignment vertical="center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19" fillId="0" borderId="18" xfId="0" applyFont="1" applyFill="1" applyBorder="1" applyAlignment="1">
      <alignment horizontal="center" vertical="center" wrapText="1"/>
    </xf>
    <xf numFmtId="0" fontId="20" fillId="0" borderId="3" xfId="0" applyFont="1" applyFill="1" applyBorder="1" applyAlignment="1">
      <alignment horizontal="center" vertical="center"/>
    </xf>
    <xf numFmtId="0" fontId="20" fillId="0" borderId="4" xfId="0" applyFont="1" applyFill="1" applyBorder="1" applyAlignment="1">
      <alignment horizontal="center" vertical="center"/>
    </xf>
    <xf numFmtId="0" fontId="21" fillId="0" borderId="4" xfId="0" applyFont="1" applyFill="1" applyBorder="1" applyAlignment="1">
      <alignment horizontal="center" vertical="center"/>
    </xf>
    <xf numFmtId="187" fontId="20" fillId="0" borderId="4" xfId="0" applyNumberFormat="1" applyFont="1" applyFill="1" applyBorder="1" applyAlignment="1">
      <alignment horizontal="center" vertical="center"/>
    </xf>
    <xf numFmtId="187" fontId="21" fillId="0" borderId="4" xfId="0" applyNumberFormat="1" applyFont="1" applyFill="1" applyBorder="1" applyAlignment="1">
      <alignment horizontal="center" vertical="center"/>
    </xf>
    <xf numFmtId="0" fontId="20" fillId="0" borderId="7" xfId="0" applyFont="1" applyFill="1" applyBorder="1" applyAlignment="1">
      <alignment horizontal="center" vertical="center"/>
    </xf>
    <xf numFmtId="187" fontId="20" fillId="0" borderId="0" xfId="0" applyNumberFormat="1" applyFont="1" applyFill="1" applyAlignment="1">
      <alignment horizontal="center" vertical="center"/>
    </xf>
    <xf numFmtId="179" fontId="21" fillId="0" borderId="0" xfId="0" applyNumberFormat="1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  <xf numFmtId="0" fontId="20" fillId="0" borderId="0" xfId="0" applyFont="1" applyFill="1" applyAlignment="1">
      <alignment horizontal="center" vertical="center"/>
    </xf>
    <xf numFmtId="179" fontId="20" fillId="0" borderId="0" xfId="0" applyNumberFormat="1" applyFont="1" applyFill="1" applyAlignment="1">
      <alignment horizontal="center" vertical="center"/>
    </xf>
    <xf numFmtId="187" fontId="21" fillId="0" borderId="0" xfId="0" applyNumberFormat="1" applyFont="1" applyFill="1" applyAlignment="1">
      <alignment horizontal="center" vertical="center"/>
    </xf>
    <xf numFmtId="186" fontId="20" fillId="0" borderId="0" xfId="0" applyNumberFormat="1" applyFont="1" applyFill="1" applyAlignment="1">
      <alignment horizontal="center" vertical="center"/>
    </xf>
    <xf numFmtId="186" fontId="21" fillId="0" borderId="0" xfId="0" applyNumberFormat="1" applyFont="1" applyFill="1" applyAlignment="1">
      <alignment horizontal="center" vertical="center"/>
    </xf>
    <xf numFmtId="0" fontId="20" fillId="0" borderId="10" xfId="0" applyFont="1" applyFill="1" applyBorder="1" applyAlignment="1">
      <alignment horizontal="center" vertical="center"/>
    </xf>
    <xf numFmtId="187" fontId="20" fillId="0" borderId="11" xfId="0" applyNumberFormat="1" applyFont="1" applyFill="1" applyBorder="1" applyAlignment="1">
      <alignment horizontal="center" vertical="center"/>
    </xf>
    <xf numFmtId="0" fontId="21" fillId="0" borderId="11" xfId="0" applyFont="1" applyFill="1" applyBorder="1" applyAlignment="1">
      <alignment horizontal="center" vertical="center"/>
    </xf>
    <xf numFmtId="186" fontId="20" fillId="0" borderId="11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0" fontId="23" fillId="0" borderId="0" xfId="0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/>
    </xf>
    <xf numFmtId="0" fontId="0" fillId="2" borderId="0" xfId="0" applyFont="1" applyFill="1" applyAlignment="1">
      <alignment horizontal="center"/>
    </xf>
    <xf numFmtId="0" fontId="0" fillId="2" borderId="11" xfId="0" applyFont="1" applyFill="1" applyBorder="1" applyAlignment="1"/>
    <xf numFmtId="57" fontId="0" fillId="2" borderId="11" xfId="0" applyNumberFormat="1" applyFont="1" applyFill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0" fontId="18" fillId="0" borderId="1" xfId="0" applyFont="1" applyFill="1" applyBorder="1" applyAlignment="1">
      <alignment horizontal="center" vertical="center"/>
    </xf>
    <xf numFmtId="183" fontId="1" fillId="0" borderId="1" xfId="0" applyNumberFormat="1" applyFont="1" applyBorder="1" applyAlignment="1">
      <alignment horizontal="center" vertical="center" wrapText="1"/>
    </xf>
    <xf numFmtId="189" fontId="1" fillId="0" borderId="1" xfId="0" applyNumberFormat="1" applyFont="1" applyFill="1" applyBorder="1" applyAlignment="1">
      <alignment horizontal="center" vertical="center" wrapText="1"/>
    </xf>
    <xf numFmtId="189" fontId="1" fillId="0" borderId="1" xfId="10" applyNumberFormat="1" applyFont="1" applyBorder="1" applyAlignment="1">
      <alignment horizontal="center" vertical="center" wrapText="1"/>
    </xf>
    <xf numFmtId="183" fontId="1" fillId="0" borderId="1" xfId="0" applyNumberFormat="1" applyFont="1" applyFill="1" applyBorder="1" applyAlignment="1">
      <alignment horizontal="center" vertical="center" wrapText="1"/>
    </xf>
    <xf numFmtId="186" fontId="1" fillId="0" borderId="1" xfId="0" applyNumberFormat="1" applyFont="1" applyBorder="1" applyAlignment="1">
      <alignment horizontal="center" vertical="center" wrapText="1"/>
    </xf>
    <xf numFmtId="189" fontId="1" fillId="2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9" fillId="0" borderId="4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" fillId="0" borderId="0" xfId="0" applyFont="1" applyBorder="1" applyAlignment="1">
      <alignment horizontal="center" vertical="center" wrapText="1"/>
    </xf>
    <xf numFmtId="192" fontId="21" fillId="0" borderId="5" xfId="20" applyNumberFormat="1" applyFont="1" applyFill="1" applyBorder="1" applyAlignment="1">
      <alignment horizontal="center" vertical="center"/>
    </xf>
    <xf numFmtId="182" fontId="21" fillId="0" borderId="5" xfId="0" applyNumberFormat="1" applyFont="1" applyFill="1" applyBorder="1" applyAlignment="1">
      <alignment horizontal="center" vertical="center"/>
    </xf>
    <xf numFmtId="0" fontId="26" fillId="0" borderId="0" xfId="0" applyFont="1" applyBorder="1" applyAlignment="1">
      <alignment horizontal="center" wrapText="1"/>
    </xf>
    <xf numFmtId="0" fontId="26" fillId="0" borderId="0" xfId="0" applyFont="1" applyBorder="1" applyAlignment="1">
      <alignment horizontal="center" vertical="top" wrapText="1"/>
    </xf>
    <xf numFmtId="192" fontId="21" fillId="0" borderId="8" xfId="20" applyNumberFormat="1" applyFont="1" applyFill="1" applyBorder="1" applyAlignment="1">
      <alignment horizontal="center" vertical="center"/>
    </xf>
    <xf numFmtId="186" fontId="21" fillId="0" borderId="8" xfId="0" applyNumberFormat="1" applyFont="1" applyFill="1" applyBorder="1" applyAlignment="1">
      <alignment horizontal="center" vertical="center"/>
    </xf>
    <xf numFmtId="187" fontId="21" fillId="0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21" fillId="0" borderId="8" xfId="0" applyFont="1" applyFill="1" applyBorder="1" applyAlignment="1">
      <alignment horizontal="center" vertical="center"/>
    </xf>
    <xf numFmtId="192" fontId="21" fillId="0" borderId="12" xfId="20" applyNumberFormat="1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0" fontId="0" fillId="0" borderId="0" xfId="0" applyFont="1" applyBorder="1" applyAlignment="1">
      <alignment horizont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6" xfId="0" applyFont="1" applyFill="1" applyBorder="1" applyAlignment="1">
      <alignment horizontal="center" vertical="center" wrapText="1"/>
    </xf>
    <xf numFmtId="177" fontId="0" fillId="0" borderId="0" xfId="0" applyNumberFormat="1"/>
    <xf numFmtId="192" fontId="0" fillId="0" borderId="0" xfId="0" applyNumberFormat="1"/>
    <xf numFmtId="0" fontId="18" fillId="0" borderId="4" xfId="0" applyFont="1" applyBorder="1" applyAlignment="1">
      <alignment horizontal="left" vertical="center"/>
    </xf>
    <xf numFmtId="0" fontId="9" fillId="0" borderId="0" xfId="0" applyFont="1"/>
    <xf numFmtId="0" fontId="18" fillId="0" borderId="0" xfId="0" applyFont="1" applyAlignment="1">
      <alignment horizontal="left" vertical="center"/>
    </xf>
    <xf numFmtId="187" fontId="0" fillId="0" borderId="0" xfId="0" applyNumberFormat="1"/>
    <xf numFmtId="0" fontId="1" fillId="0" borderId="0" xfId="0" applyFont="1" applyAlignment="1">
      <alignment horizontal="center" vertical="center" wrapText="1"/>
    </xf>
    <xf numFmtId="0" fontId="27" fillId="0" borderId="0" xfId="489" applyFont="1" applyAlignment="1">
      <alignment horizontal="center" vertical="center"/>
    </xf>
    <xf numFmtId="57" fontId="9" fillId="0" borderId="11" xfId="489" applyNumberFormat="1" applyFont="1" applyBorder="1" applyAlignment="1">
      <alignment horizontal="center" vertical="center"/>
    </xf>
    <xf numFmtId="0" fontId="9" fillId="0" borderId="1" xfId="489" applyFont="1" applyBorder="1" applyAlignment="1">
      <alignment horizontal="center" vertical="center" wrapText="1"/>
    </xf>
    <xf numFmtId="0" fontId="9" fillId="0" borderId="1" xfId="489" applyFont="1" applyBorder="1" applyAlignment="1">
      <alignment horizontal="center" vertical="center"/>
    </xf>
    <xf numFmtId="193" fontId="9" fillId="0" borderId="1" xfId="0" applyNumberFormat="1" applyFont="1" applyBorder="1" applyAlignment="1">
      <alignment horizontal="center" vertical="center" wrapText="1"/>
    </xf>
    <xf numFmtId="0" fontId="9" fillId="0" borderId="2" xfId="489" applyFont="1" applyBorder="1" applyAlignment="1">
      <alignment horizontal="center" vertical="center" wrapText="1"/>
    </xf>
    <xf numFmtId="186" fontId="9" fillId="0" borderId="1" xfId="0" applyNumberFormat="1" applyFont="1" applyBorder="1" applyAlignment="1">
      <alignment horizontal="center" vertical="center" wrapText="1"/>
    </xf>
    <xf numFmtId="179" fontId="9" fillId="0" borderId="2" xfId="0" applyNumberFormat="1" applyFont="1" applyBorder="1" applyAlignment="1">
      <alignment horizontal="center" vertical="center" wrapText="1"/>
    </xf>
    <xf numFmtId="0" fontId="9" fillId="0" borderId="6" xfId="489" applyFont="1" applyBorder="1" applyAlignment="1">
      <alignment horizontal="center" vertical="center" wrapText="1"/>
    </xf>
    <xf numFmtId="179" fontId="9" fillId="0" borderId="1" xfId="0" applyNumberFormat="1" applyFont="1" applyBorder="1" applyAlignment="1">
      <alignment horizontal="center" vertical="center" wrapText="1"/>
    </xf>
    <xf numFmtId="179" fontId="9" fillId="0" borderId="9" xfId="0" applyNumberFormat="1" applyFont="1" applyBorder="1" applyAlignment="1">
      <alignment horizontal="center" vertical="center" wrapText="1"/>
    </xf>
    <xf numFmtId="187" fontId="9" fillId="0" borderId="9" xfId="0" applyNumberFormat="1" applyFont="1" applyBorder="1" applyAlignment="1">
      <alignment horizontal="center" vertical="center" wrapText="1"/>
    </xf>
    <xf numFmtId="194" fontId="9" fillId="0" borderId="1" xfId="506" applyNumberFormat="1" applyFont="1" applyBorder="1" applyAlignment="1">
      <alignment horizontal="center" vertical="center" wrapText="1"/>
    </xf>
    <xf numFmtId="0" fontId="9" fillId="0" borderId="9" xfId="489" applyFont="1" applyBorder="1" applyAlignment="1">
      <alignment horizontal="center" vertical="center" wrapText="1"/>
    </xf>
    <xf numFmtId="179" fontId="9" fillId="0" borderId="1" xfId="489" applyNumberFormat="1" applyFont="1" applyBorder="1" applyAlignment="1">
      <alignment horizontal="center" vertical="center" wrapText="1"/>
    </xf>
    <xf numFmtId="186" fontId="9" fillId="0" borderId="1" xfId="489" applyNumberFormat="1" applyFont="1" applyBorder="1" applyAlignment="1">
      <alignment horizontal="center" vertical="center" wrapText="1"/>
    </xf>
    <xf numFmtId="0" fontId="9" fillId="0" borderId="1" xfId="489" applyFont="1" applyFill="1" applyBorder="1" applyAlignment="1">
      <alignment horizontal="center" vertical="center" wrapText="1"/>
    </xf>
    <xf numFmtId="187" fontId="9" fillId="0" borderId="1" xfId="489" applyNumberFormat="1" applyFont="1" applyBorder="1" applyAlignment="1">
      <alignment horizontal="center" vertical="center" wrapText="1"/>
    </xf>
    <xf numFmtId="0" fontId="9" fillId="0" borderId="2" xfId="489" applyFont="1" applyFill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9" xfId="489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489" applyFont="1" applyFill="1" applyBorder="1" applyAlignment="1">
      <alignment horizontal="center" vertical="center"/>
    </xf>
    <xf numFmtId="187" fontId="9" fillId="0" borderId="13" xfId="0" applyNumberFormat="1" applyFont="1" applyBorder="1" applyAlignment="1">
      <alignment horizontal="center" vertical="center" wrapText="1"/>
    </xf>
    <xf numFmtId="187" fontId="9" fillId="0" borderId="14" xfId="0" applyNumberFormat="1" applyFont="1" applyBorder="1" applyAlignment="1">
      <alignment horizontal="center" vertical="center" wrapText="1"/>
    </xf>
    <xf numFmtId="186" fontId="9" fillId="0" borderId="13" xfId="0" applyNumberFormat="1" applyFont="1" applyBorder="1" applyAlignment="1">
      <alignment horizontal="center" vertical="center" wrapText="1"/>
    </xf>
    <xf numFmtId="186" fontId="9" fillId="0" borderId="14" xfId="0" applyNumberFormat="1" applyFont="1" applyBorder="1" applyAlignment="1">
      <alignment horizontal="center" vertical="center" wrapText="1"/>
    </xf>
    <xf numFmtId="187" fontId="9" fillId="0" borderId="1" xfId="0" applyNumberFormat="1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4" xfId="0" applyFont="1" applyBorder="1" applyAlignment="1">
      <alignment horizontal="center" vertical="center" wrapText="1"/>
    </xf>
    <xf numFmtId="179" fontId="9" fillId="0" borderId="13" xfId="0" applyNumberFormat="1" applyFont="1" applyBorder="1" applyAlignment="1">
      <alignment horizontal="center" vertical="center" wrapText="1"/>
    </xf>
    <xf numFmtId="179" fontId="9" fillId="0" borderId="14" xfId="0" applyNumberFormat="1" applyFont="1" applyBorder="1" applyAlignment="1">
      <alignment horizontal="center" vertical="center" wrapText="1"/>
    </xf>
    <xf numFmtId="0" fontId="9" fillId="0" borderId="3" xfId="0" applyFont="1" applyBorder="1" applyAlignment="1">
      <alignment horizontal="left" vertical="center" wrapText="1"/>
    </xf>
    <xf numFmtId="0" fontId="28" fillId="0" borderId="4" xfId="0" applyFont="1" applyBorder="1" applyAlignment="1">
      <alignment horizontal="left" vertical="center" wrapText="1"/>
    </xf>
    <xf numFmtId="0" fontId="28" fillId="0" borderId="10" xfId="0" applyFont="1" applyBorder="1" applyAlignment="1">
      <alignment horizontal="left" vertical="center" wrapText="1"/>
    </xf>
    <xf numFmtId="0" fontId="28" fillId="0" borderId="11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/>
    </xf>
    <xf numFmtId="179" fontId="0" fillId="0" borderId="0" xfId="0" applyNumberFormat="1" applyFont="1"/>
    <xf numFmtId="182" fontId="9" fillId="0" borderId="1" xfId="489" applyNumberFormat="1" applyFont="1" applyBorder="1" applyAlignment="1">
      <alignment horizontal="center" vertical="center" wrapText="1"/>
    </xf>
    <xf numFmtId="186" fontId="9" fillId="0" borderId="2" xfId="489" applyNumberFormat="1" applyFont="1" applyBorder="1" applyAlignment="1">
      <alignment horizontal="center" vertical="center" wrapText="1"/>
    </xf>
    <xf numFmtId="186" fontId="9" fillId="0" borderId="9" xfId="489" applyNumberFormat="1" applyFont="1" applyBorder="1" applyAlignment="1">
      <alignment horizontal="center" vertical="center" wrapText="1"/>
    </xf>
    <xf numFmtId="0" fontId="9" fillId="0" borderId="2" xfId="489" applyFont="1" applyBorder="1" applyAlignment="1">
      <alignment horizontal="center" vertical="center"/>
    </xf>
    <xf numFmtId="0" fontId="9" fillId="0" borderId="2" xfId="489" applyFont="1" applyFill="1" applyBorder="1" applyAlignment="1">
      <alignment horizontal="center" vertical="center" wrapText="1"/>
    </xf>
    <xf numFmtId="183" fontId="9" fillId="0" borderId="1" xfId="489" applyNumberFormat="1" applyFont="1" applyFill="1" applyBorder="1" applyAlignment="1">
      <alignment horizontal="center" vertical="center" wrapText="1"/>
    </xf>
    <xf numFmtId="195" fontId="9" fillId="0" borderId="0" xfId="0" applyNumberFormat="1" applyFont="1"/>
    <xf numFmtId="179" fontId="28" fillId="0" borderId="0" xfId="0" applyNumberFormat="1" applyFont="1"/>
    <xf numFmtId="0" fontId="9" fillId="0" borderId="0" xfId="489" applyFont="1" applyFill="1" applyBorder="1" applyAlignment="1">
      <alignment horizontal="center" vertical="center"/>
    </xf>
    <xf numFmtId="0" fontId="9" fillId="0" borderId="13" xfId="489" applyFont="1" applyBorder="1" applyAlignment="1">
      <alignment horizontal="center" vertical="center"/>
    </xf>
    <xf numFmtId="0" fontId="28" fillId="0" borderId="5" xfId="0" applyFont="1" applyBorder="1" applyAlignment="1">
      <alignment horizontal="left" vertical="center" wrapText="1"/>
    </xf>
    <xf numFmtId="0" fontId="28" fillId="0" borderId="12" xfId="0" applyFont="1" applyBorder="1" applyAlignment="1">
      <alignment horizontal="left" vertical="center" wrapText="1"/>
    </xf>
    <xf numFmtId="0" fontId="0" fillId="0" borderId="0" xfId="0" applyFont="1" applyBorder="1"/>
    <xf numFmtId="193" fontId="9" fillId="0" borderId="0" xfId="0" applyNumberFormat="1" applyFont="1"/>
    <xf numFmtId="0" fontId="2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" fillId="0" borderId="1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179" fontId="12" fillId="0" borderId="1" xfId="0" applyNumberFormat="1" applyFont="1" applyFill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94" fontId="1" fillId="0" borderId="1" xfId="340" applyNumberFormat="1" applyFont="1" applyFill="1" applyBorder="1" applyAlignment="1">
      <alignment horizontal="center" vertical="center" wrapText="1"/>
    </xf>
    <xf numFmtId="183" fontId="1" fillId="0" borderId="1" xfId="340" applyNumberFormat="1" applyFont="1" applyFill="1" applyBorder="1" applyAlignment="1">
      <alignment horizontal="center" vertical="center" wrapText="1"/>
    </xf>
    <xf numFmtId="0" fontId="12" fillId="0" borderId="1" xfId="340" applyFont="1" applyFill="1" applyBorder="1" applyAlignment="1">
      <alignment horizontal="center" vertical="center" wrapText="1"/>
    </xf>
    <xf numFmtId="0" fontId="12" fillId="0" borderId="1" xfId="340" applyNumberFormat="1" applyFont="1" applyFill="1" applyBorder="1" applyAlignment="1">
      <alignment horizontal="center" vertical="center" wrapText="1"/>
    </xf>
    <xf numFmtId="0" fontId="1" fillId="0" borderId="1" xfId="340" applyFont="1" applyFill="1" applyBorder="1" applyAlignment="1">
      <alignment horizontal="center" vertical="center" wrapText="1"/>
    </xf>
    <xf numFmtId="0" fontId="12" fillId="0" borderId="1" xfId="0" applyNumberFormat="1" applyFont="1" applyFill="1" applyBorder="1" applyAlignment="1">
      <alignment horizontal="center" vertical="center" wrapText="1"/>
    </xf>
    <xf numFmtId="196" fontId="1" fillId="0" borderId="1" xfId="0" applyNumberFormat="1" applyFont="1" applyFill="1" applyBorder="1" applyAlignment="1">
      <alignment horizontal="center" vertical="center" wrapText="1"/>
    </xf>
    <xf numFmtId="194" fontId="1" fillId="0" borderId="1" xfId="479" applyNumberFormat="1" applyFont="1" applyFill="1" applyBorder="1" applyAlignment="1">
      <alignment horizontal="center" vertical="center" wrapText="1"/>
    </xf>
    <xf numFmtId="176" fontId="1" fillId="0" borderId="1" xfId="479" applyNumberFormat="1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left" vertical="center"/>
    </xf>
    <xf numFmtId="0" fontId="30" fillId="0" borderId="0" xfId="0" applyFont="1" applyFill="1" applyBorder="1" applyAlignment="1"/>
    <xf numFmtId="179" fontId="12" fillId="0" borderId="1" xfId="340" applyNumberFormat="1" applyFont="1" applyFill="1" applyBorder="1" applyAlignment="1">
      <alignment horizontal="center" vertical="center" wrapText="1"/>
    </xf>
    <xf numFmtId="194" fontId="12" fillId="0" borderId="1" xfId="340" applyNumberFormat="1" applyFont="1" applyFill="1" applyBorder="1" applyAlignment="1">
      <alignment horizontal="center" vertical="center" wrapText="1"/>
    </xf>
    <xf numFmtId="194" fontId="12" fillId="0" borderId="1" xfId="506" applyNumberFormat="1" applyFont="1" applyFill="1" applyBorder="1" applyAlignment="1">
      <alignment horizontal="center" vertical="center" wrapText="1"/>
    </xf>
    <xf numFmtId="194" fontId="2" fillId="0" borderId="0" xfId="0" applyNumberFormat="1" applyFont="1" applyAlignment="1">
      <alignment horizontal="center" vertical="center"/>
    </xf>
    <xf numFmtId="194" fontId="1" fillId="0" borderId="1" xfId="506" applyNumberFormat="1" applyFont="1" applyFill="1" applyBorder="1" applyAlignment="1">
      <alignment horizontal="center" vertical="center" wrapText="1"/>
    </xf>
    <xf numFmtId="179" fontId="2" fillId="0" borderId="0" xfId="0" applyNumberFormat="1" applyFont="1" applyAlignment="1">
      <alignment horizontal="center" vertical="center"/>
    </xf>
    <xf numFmtId="181" fontId="2" fillId="0" borderId="0" xfId="0" applyNumberFormat="1" applyFont="1" applyAlignment="1">
      <alignment horizontal="center" vertical="center"/>
    </xf>
    <xf numFmtId="0" fontId="30" fillId="0" borderId="0" xfId="0" applyFont="1" applyFill="1" applyBorder="1" applyAlignment="1">
      <alignment horizontal="center"/>
    </xf>
    <xf numFmtId="14" fontId="2" fillId="0" borderId="0" xfId="0" applyNumberFormat="1" applyFont="1" applyFill="1" applyBorder="1" applyAlignment="1">
      <alignment horizontal="center"/>
    </xf>
    <xf numFmtId="0" fontId="2" fillId="0" borderId="0" xfId="0" applyFont="1" applyFill="1" applyAlignment="1">
      <alignment horizontal="center" vertical="center"/>
    </xf>
    <xf numFmtId="183" fontId="2" fillId="0" borderId="0" xfId="0" applyNumberFormat="1" applyFont="1" applyFill="1" applyBorder="1" applyAlignment="1">
      <alignment horizontal="center" vertical="center"/>
    </xf>
    <xf numFmtId="182" fontId="2" fillId="0" borderId="0" xfId="0" applyNumberFormat="1" applyFont="1" applyFill="1" applyBorder="1" applyAlignment="1">
      <alignment horizontal="center" vertical="center"/>
    </xf>
    <xf numFmtId="197" fontId="2" fillId="0" borderId="0" xfId="0" applyNumberFormat="1" applyFont="1" applyFill="1" applyBorder="1" applyAlignment="1">
      <alignment horizontal="center" vertical="center"/>
    </xf>
    <xf numFmtId="14" fontId="2" fillId="0" borderId="0" xfId="0" applyNumberFormat="1" applyFont="1" applyFill="1" applyAlignment="1">
      <alignment horizontal="center" vertical="center"/>
    </xf>
    <xf numFmtId="0" fontId="31" fillId="0" borderId="0" xfId="0" applyFont="1" applyAlignment="1">
      <alignment horizontal="center" vertical="center"/>
    </xf>
    <xf numFmtId="183" fontId="2" fillId="0" borderId="0" xfId="483" applyNumberFormat="1" applyFont="1" applyBorder="1" applyAlignment="1">
      <alignment horizontal="center" vertical="center"/>
    </xf>
    <xf numFmtId="190" fontId="2" fillId="0" borderId="0" xfId="0" applyNumberFormat="1" applyFont="1" applyFill="1" applyAlignment="1">
      <alignment horizontal="center" vertical="center"/>
    </xf>
    <xf numFmtId="0" fontId="31" fillId="0" borderId="0" xfId="0" applyFont="1" applyFill="1" applyBorder="1" applyAlignment="1">
      <alignment horizontal="center" vertical="center"/>
    </xf>
    <xf numFmtId="0" fontId="31" fillId="0" borderId="0" xfId="0" applyFont="1" applyFill="1" applyAlignment="1">
      <alignment horizontal="center" vertical="center"/>
    </xf>
    <xf numFmtId="194" fontId="31" fillId="0" borderId="0" xfId="0" applyNumberFormat="1" applyFont="1" applyAlignment="1">
      <alignment horizontal="center" vertical="center"/>
    </xf>
    <xf numFmtId="0" fontId="31" fillId="0" borderId="0" xfId="483" applyFont="1" applyBorder="1" applyAlignment="1">
      <alignment horizontal="center" vertical="center"/>
    </xf>
    <xf numFmtId="185" fontId="2" fillId="0" borderId="0" xfId="483" applyNumberFormat="1" applyFont="1" applyBorder="1" applyAlignment="1">
      <alignment horizontal="center" vertical="center"/>
    </xf>
    <xf numFmtId="194" fontId="2" fillId="0" borderId="1" xfId="0" applyNumberFormat="1" applyFont="1" applyBorder="1" applyAlignment="1">
      <alignment horizontal="center" vertical="center"/>
    </xf>
    <xf numFmtId="186" fontId="32" fillId="0" borderId="1" xfId="483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186" fontId="2" fillId="0" borderId="1" xfId="0" applyNumberFormat="1" applyFont="1" applyFill="1" applyBorder="1" applyAlignment="1">
      <alignment horizontal="center" vertical="center"/>
    </xf>
    <xf numFmtId="0" fontId="32" fillId="3" borderId="1" xfId="483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183" fontId="2" fillId="3" borderId="1" xfId="0" applyNumberFormat="1" applyFont="1" applyFill="1" applyBorder="1" applyAlignment="1">
      <alignment horizontal="center" vertical="center"/>
    </xf>
    <xf numFmtId="187" fontId="2" fillId="3" borderId="1" xfId="0" applyNumberFormat="1" applyFont="1" applyFill="1" applyBorder="1" applyAlignment="1">
      <alignment horizontal="center" vertical="center"/>
    </xf>
    <xf numFmtId="186" fontId="2" fillId="3" borderId="1" xfId="0" applyNumberFormat="1" applyFont="1" applyFill="1" applyBorder="1" applyAlignment="1">
      <alignment horizontal="center" vertical="center"/>
    </xf>
    <xf numFmtId="0" fontId="32" fillId="0" borderId="0" xfId="483" applyFont="1" applyBorder="1" applyAlignment="1">
      <alignment horizontal="center" vertical="center"/>
    </xf>
    <xf numFmtId="186" fontId="2" fillId="0" borderId="0" xfId="0" applyNumberFormat="1" applyFont="1" applyFill="1" applyBorder="1" applyAlignment="1">
      <alignment horizontal="center" vertical="center"/>
    </xf>
    <xf numFmtId="0" fontId="33" fillId="0" borderId="0" xfId="483" applyFont="1" applyBorder="1" applyAlignment="1">
      <alignment horizontal="center" vertical="center"/>
    </xf>
    <xf numFmtId="196" fontId="2" fillId="0" borderId="0" xfId="0" applyNumberFormat="1" applyFont="1" applyFill="1" applyBorder="1" applyAlignment="1">
      <alignment horizontal="center" vertical="center"/>
    </xf>
    <xf numFmtId="187" fontId="2" fillId="0" borderId="0" xfId="0" applyNumberFormat="1" applyFont="1" applyFill="1" applyBorder="1" applyAlignment="1">
      <alignment horizontal="center" vertical="center"/>
    </xf>
    <xf numFmtId="176" fontId="30" fillId="0" borderId="0" xfId="20" applyNumberFormat="1" applyFont="1" applyFill="1" applyBorder="1" applyAlignment="1">
      <alignment horizontal="center" vertical="center" wrapText="1"/>
    </xf>
    <xf numFmtId="184" fontId="30" fillId="0" borderId="0" xfId="20" applyNumberFormat="1" applyFont="1" applyFill="1" applyBorder="1" applyAlignment="1">
      <alignment horizontal="center" vertical="center" wrapText="1"/>
    </xf>
  </cellXfs>
  <cellStyles count="615">
    <cellStyle name="常规" xfId="0" builtinId="0"/>
    <cellStyle name="货币[0]" xfId="1" builtinId="7"/>
    <cellStyle name="强调文字颜色 2 3 2" xfId="2"/>
    <cellStyle name="输入" xfId="3" builtinId="20"/>
    <cellStyle name="20% - 强调文字颜色 3" xfId="4" builtinId="38"/>
    <cellStyle name="链接单元格 5" xfId="5"/>
    <cellStyle name="20% - 强调文字颜色 1 2" xfId="6"/>
    <cellStyle name="链接单元格 3 2" xfId="7"/>
    <cellStyle name="货币" xfId="8" builtinId="4"/>
    <cellStyle name="百分比 2 8 2" xfId="9"/>
    <cellStyle name="千位分隔[0]" xfId="10" builtinId="6"/>
    <cellStyle name="差" xfId="11" builtinId="27"/>
    <cellStyle name="链接单元格 2 5" xfId="12"/>
    <cellStyle name="40% - 强调文字颜色 3" xfId="13" builtinId="39"/>
    <cellStyle name="标题 5 6" xfId="14"/>
    <cellStyle name="计算 2" xfId="15"/>
    <cellStyle name="千位分隔" xfId="16" builtinId="3"/>
    <cellStyle name="超链接" xfId="17" builtinId="8"/>
    <cellStyle name="60% - 强调文字颜色 6 3 2" xfId="18"/>
    <cellStyle name="60% - 强调文字颜色 3" xfId="19" builtinId="40"/>
    <cellStyle name="百分比" xfId="20" builtinId="5"/>
    <cellStyle name="60% - 强调文字颜色 5 4 2" xfId="21"/>
    <cellStyle name="已访问的超链接" xfId="22" builtinId="9"/>
    <cellStyle name="40% - 强调文字颜色 6 4 2" xfId="23"/>
    <cellStyle name="20% - 强调文字颜色 2 2 2" xfId="24"/>
    <cellStyle name="60% - 强调文字颜色 2 3" xfId="25"/>
    <cellStyle name="注释" xfId="26" builtinId="10"/>
    <cellStyle name="常规 6" xfId="27"/>
    <cellStyle name="20% - 强调文字颜色 4 5" xfId="28"/>
    <cellStyle name="60% - 强调文字颜色 2" xfId="29" builtinId="36"/>
    <cellStyle name="计算 2 9" xfId="30"/>
    <cellStyle name="解释性文本 2 2" xfId="31"/>
    <cellStyle name="标题 4" xfId="32" builtinId="19"/>
    <cellStyle name="注释 5" xfId="33"/>
    <cellStyle name="警告文本" xfId="34" builtinId="11"/>
    <cellStyle name="强调文字颜色 1 2 3" xfId="35"/>
    <cellStyle name="20% - 强调文字颜色 4 4 2" xfId="36"/>
    <cellStyle name="60% - 强调文字颜色 2 2 2" xfId="37"/>
    <cellStyle name="计算 2 10" xfId="38"/>
    <cellStyle name="常规 5 2" xfId="39"/>
    <cellStyle name="标题" xfId="40" builtinId="15"/>
    <cellStyle name="解释性文本" xfId="41" builtinId="53"/>
    <cellStyle name="标题 1 5 2" xfId="42"/>
    <cellStyle name="标题 1" xfId="43" builtinId="16"/>
    <cellStyle name="标题 2" xfId="44" builtinId="17"/>
    <cellStyle name="计算 2 8" xfId="45"/>
    <cellStyle name="60% - 强调文字颜色 1" xfId="46" builtinId="32"/>
    <cellStyle name="标题 3" xfId="47" builtinId="18"/>
    <cellStyle name="60% - 强调文字颜色 4" xfId="48" builtinId="44"/>
    <cellStyle name="输出" xfId="49" builtinId="21"/>
    <cellStyle name="20% - 强调文字颜色 2 4 2" xfId="50"/>
    <cellStyle name="计算" xfId="51" builtinId="22"/>
    <cellStyle name="40% - 强调文字颜色 4 2" xfId="52"/>
    <cellStyle name="计算 3 2" xfId="53"/>
    <cellStyle name="检查单元格" xfId="54" builtinId="23"/>
    <cellStyle name="20% - 强调文字颜色 6" xfId="55" builtinId="50"/>
    <cellStyle name="强调文字颜色 2" xfId="56" builtinId="33"/>
    <cellStyle name="链接单元格" xfId="57" builtinId="24"/>
    <cellStyle name="40% - 强调文字颜色 6 5" xfId="58"/>
    <cellStyle name="60% - 强调文字颜色 4 2 3" xfId="59"/>
    <cellStyle name="适中 2 5" xfId="60"/>
    <cellStyle name="强调文字颜色 3 2 4" xfId="61"/>
    <cellStyle name="汇总" xfId="62" builtinId="25"/>
    <cellStyle name="好" xfId="63" builtinId="26"/>
    <cellStyle name="20% - 强调文字颜色 3 3" xfId="64"/>
    <cellStyle name="适中" xfId="65" builtinId="28"/>
    <cellStyle name="60% - 强调文字颜色 2 5 2" xfId="66"/>
    <cellStyle name="20% - 强调文字颜色 5" xfId="67" builtinId="46"/>
    <cellStyle name="标题 4 5 2" xfId="68"/>
    <cellStyle name="检查单元格 3 2" xfId="69"/>
    <cellStyle name="强调文字颜色 1" xfId="70" builtinId="29"/>
    <cellStyle name="链接单元格 3" xfId="71"/>
    <cellStyle name="20% - 强调文字颜色 1" xfId="72" builtinId="30"/>
    <cellStyle name="标题 5 4" xfId="73"/>
    <cellStyle name="40% - 强调文字颜色 4 3 2" xfId="74"/>
    <cellStyle name="40% - 强调文字颜色 1" xfId="75" builtinId="31"/>
    <cellStyle name="链接单元格 4" xfId="76"/>
    <cellStyle name="20% - 强调文字颜色 2" xfId="77" builtinId="34"/>
    <cellStyle name="标题 5 5" xfId="78"/>
    <cellStyle name="40% - 强调文字颜色 2" xfId="79" builtinId="35"/>
    <cellStyle name="强调文字颜色 3" xfId="80" builtinId="37"/>
    <cellStyle name="强调文字颜色 4" xfId="81" builtinId="41"/>
    <cellStyle name="输出 4" xfId="82"/>
    <cellStyle name="强调文字颜色 1 5 2" xfId="83"/>
    <cellStyle name="20% - 强调文字颜色 4" xfId="84" builtinId="42"/>
    <cellStyle name="计算 3" xfId="85"/>
    <cellStyle name="40% - 强调文字颜色 4" xfId="86" builtinId="43"/>
    <cellStyle name="强调文字颜色 5" xfId="87" builtinId="45"/>
    <cellStyle name="60% - 强调文字颜色 6 5 2" xfId="88"/>
    <cellStyle name="计算 4" xfId="89"/>
    <cellStyle name="40% - 强调文字颜色 5" xfId="90" builtinId="47"/>
    <cellStyle name="标题 1 4 2" xfId="91"/>
    <cellStyle name="60% - 强调文字颜色 5" xfId="92" builtinId="48"/>
    <cellStyle name="强调文字颜色 6" xfId="93" builtinId="49"/>
    <cellStyle name="20% - 强调文字颜色 3 3 2" xfId="94"/>
    <cellStyle name="适中 2" xfId="95"/>
    <cellStyle name="计算 5" xfId="96"/>
    <cellStyle name="40% - 强调文字颜色 6" xfId="97" builtinId="51"/>
    <cellStyle name="60% - 强调文字颜色 6" xfId="98" builtinId="52"/>
    <cellStyle name="20% - 强调文字颜色 2 2 4" xfId="99"/>
    <cellStyle name="20% - 强调文字颜色 1 5" xfId="100"/>
    <cellStyle name="好 2" xfId="101"/>
    <cellStyle name="20% - 强调文字颜色 1 2 3" xfId="102"/>
    <cellStyle name="40% - 强调文字颜色 2 2" xfId="103"/>
    <cellStyle name="20% - 强调文字颜色 1 4" xfId="104"/>
    <cellStyle name="20% - 强调文字颜色 1 3" xfId="105"/>
    <cellStyle name="20% - 强调文字颜色 1 2 2" xfId="106"/>
    <cellStyle name="20% - 强调文字颜色 1 2 4" xfId="107"/>
    <cellStyle name="40% - 强调文字颜色 2 3" xfId="108"/>
    <cellStyle name="20% - 强调文字颜色 1 2 5" xfId="109"/>
    <cellStyle name="40% - 强调文字颜色 2 4" xfId="110"/>
    <cellStyle name="强调文字颜色 6 5 2" xfId="111"/>
    <cellStyle name="20% - 强调文字颜色 1 2 6" xfId="112"/>
    <cellStyle name="40% - 强调文字颜色 2 5" xfId="113"/>
    <cellStyle name="20% - 强调文字颜色 1 3 2" xfId="114"/>
    <cellStyle name="20% - 强调文字颜色 2 2 3" xfId="115"/>
    <cellStyle name="20% - 强调文字颜色 1 4 2" xfId="116"/>
    <cellStyle name="20% - 强调文字颜色 1 5 2" xfId="117"/>
    <cellStyle name="好 2 2" xfId="118"/>
    <cellStyle name="链接单元格 4 2" xfId="119"/>
    <cellStyle name="20% - 强调文字颜色 2 2" xfId="120"/>
    <cellStyle name="20% - 强调文字颜色 2 2 5" xfId="121"/>
    <cellStyle name="20% - 强调文字颜色 2 2 6" xfId="122"/>
    <cellStyle name="20% - 强调文字颜色 2 3" xfId="123"/>
    <cellStyle name="20% - 强调文字颜色 2 3 2" xfId="124"/>
    <cellStyle name="20% - 强调文字颜色 2 4" xfId="125"/>
    <cellStyle name="20% - 强调文字颜色 2 5" xfId="126"/>
    <cellStyle name="20% - 强调文字颜色 2 5 2" xfId="127"/>
    <cellStyle name="链接单元格 5 2" xfId="128"/>
    <cellStyle name="20% - 强调文字颜色 3 2" xfId="129"/>
    <cellStyle name="20% - 强调文字颜色 3 2 2" xfId="130"/>
    <cellStyle name="20% - 强调文字颜色 3 2 3" xfId="131"/>
    <cellStyle name="20% - 强调文字颜色 3 2 4" xfId="132"/>
    <cellStyle name="20% - 强调文字颜色 3 2 5" xfId="133"/>
    <cellStyle name="20% - 强调文字颜色 3 2 6" xfId="134"/>
    <cellStyle name="好_汇总二_江边厂月报2013-5" xfId="135"/>
    <cellStyle name="20% - 强调文字颜色 3 4" xfId="136"/>
    <cellStyle name="60% - 强调文字颜色 1 2" xfId="137"/>
    <cellStyle name="20% - 强调文字颜色 3 4 2" xfId="138"/>
    <cellStyle name="60% - 强调文字颜色 1 2 2" xfId="139"/>
    <cellStyle name="20% - 强调文字颜色 3 5" xfId="140"/>
    <cellStyle name="60% - 强调文字颜色 1 3" xfId="141"/>
    <cellStyle name="20% - 强调文字颜色 3 5 2" xfId="142"/>
    <cellStyle name="60% - 强调文字颜色 1 3 2" xfId="143"/>
    <cellStyle name="常规 2 18" xfId="144"/>
    <cellStyle name="20% - 强调文字颜色 4 2" xfId="145"/>
    <cellStyle name="输出 4 2" xfId="146"/>
    <cellStyle name="常规 3" xfId="147"/>
    <cellStyle name="20% - 强调文字颜色 4 2 2" xfId="148"/>
    <cellStyle name="20% - 强调文字颜色 4 2 3" xfId="149"/>
    <cellStyle name="20% - 强调文字颜色 4 2 4" xfId="150"/>
    <cellStyle name="强调文字颜色 5 2" xfId="151"/>
    <cellStyle name="20% - 强调文字颜色 4 2 5" xfId="152"/>
    <cellStyle name="强调文字颜色 5 3" xfId="153"/>
    <cellStyle name="20% - 强调文字颜色 4 2 6" xfId="154"/>
    <cellStyle name="20% - 强调文字颜色 4 3" xfId="155"/>
    <cellStyle name="常规 4" xfId="156"/>
    <cellStyle name="20% - 强调文字颜色 4 3 2" xfId="157"/>
    <cellStyle name="20% - 强调文字颜色 4 4" xfId="158"/>
    <cellStyle name="常规 5" xfId="159"/>
    <cellStyle name="60% - 强调文字颜色 2 2" xfId="160"/>
    <cellStyle name="20% - 强调文字颜色 4 5 2" xfId="161"/>
    <cellStyle name="注释 2" xfId="162"/>
    <cellStyle name="60% - 强调文字颜色 2 3 2" xfId="163"/>
    <cellStyle name="20% - 强调文字颜色 5 2" xfId="164"/>
    <cellStyle name="20% - 强调文字颜色 5 2 2" xfId="165"/>
    <cellStyle name="20% - 强调文字颜色 5 2 3" xfId="166"/>
    <cellStyle name="20% - 强调文字颜色 5 2 4" xfId="167"/>
    <cellStyle name="常规 2 2 22" xfId="168"/>
    <cellStyle name="20% - 强调文字颜色 5 2 5" xfId="169"/>
    <cellStyle name="20% - 强调文字颜色 5 2 6" xfId="170"/>
    <cellStyle name="20% - 强调文字颜色 5 3" xfId="171"/>
    <cellStyle name="差_汇总二_江边厂月报2013-5" xfId="172"/>
    <cellStyle name="差_汇总二" xfId="173"/>
    <cellStyle name="百分比 3" xfId="174"/>
    <cellStyle name="20% - 强调文字颜色 5 3 2" xfId="175"/>
    <cellStyle name="差 5" xfId="176"/>
    <cellStyle name="20% - 强调文字颜色 5 4" xfId="177"/>
    <cellStyle name="60% - 强调文字颜色 3 2" xfId="178"/>
    <cellStyle name="强调文字颜色 2 2 3" xfId="179"/>
    <cellStyle name="20% - 强调文字颜色 5 4 2" xfId="180"/>
    <cellStyle name="标题 1 2 6" xfId="181"/>
    <cellStyle name="60% - 强调文字颜色 3 2 2" xfId="182"/>
    <cellStyle name="20% - 强调文字颜色 5 5" xfId="183"/>
    <cellStyle name="60% - 强调文字颜色 3 3" xfId="184"/>
    <cellStyle name="20% - 强调文字颜色 5 5 2" xfId="185"/>
    <cellStyle name="60% - 强调文字颜色 3 3 2" xfId="186"/>
    <cellStyle name="60% - 强调文字颜色 6 2 4" xfId="187"/>
    <cellStyle name="20% - 强调文字颜色 6 2" xfId="188"/>
    <cellStyle name="20% - 强调文字颜色 6 2 2" xfId="189"/>
    <cellStyle name="40% - 强调文字颜色 4 4" xfId="190"/>
    <cellStyle name="20% - 强调文字颜色 6 2 3" xfId="191"/>
    <cellStyle name="40% - 强调文字颜色 4 5" xfId="192"/>
    <cellStyle name="20% - 强调文字颜色 6 2 4" xfId="193"/>
    <cellStyle name="20% - 强调文字颜色 6 2 5" xfId="194"/>
    <cellStyle name="20% - 强调文字颜色 6 2 6" xfId="195"/>
    <cellStyle name="60% - 强调文字颜色 6 2 5" xfId="196"/>
    <cellStyle name="20% - 强调文字颜色 6 3" xfId="197"/>
    <cellStyle name="20% - 强调文字颜色 6 3 2" xfId="198"/>
    <cellStyle name="40% - 强调文字颜色 5 4" xfId="199"/>
    <cellStyle name="好 2 5" xfId="200"/>
    <cellStyle name="60% - 强调文字颜色 6 2 6" xfId="201"/>
    <cellStyle name="20% - 强调文字颜色 6 4" xfId="202"/>
    <cellStyle name="60% - 强调文字颜色 4 2" xfId="203"/>
    <cellStyle name="强调文字颜色 3 2 3" xfId="204"/>
    <cellStyle name="适中 2 4" xfId="205"/>
    <cellStyle name="20% - 强调文字颜色 6 4 2" xfId="206"/>
    <cellStyle name="标题 2 2 6" xfId="207"/>
    <cellStyle name="40% - 强调文字颜色 6 4" xfId="208"/>
    <cellStyle name="60% - 强调文字颜色 4 2 2" xfId="209"/>
    <cellStyle name="40% - 强调文字颜色 5 2 2" xfId="210"/>
    <cellStyle name="20% - 强调文字颜色 6 5" xfId="211"/>
    <cellStyle name="60% - 强调文字颜色 4 3" xfId="212"/>
    <cellStyle name="20% - 强调文字颜色 6 5 2" xfId="213"/>
    <cellStyle name="60% - 强调文字颜色 4 3 2" xfId="214"/>
    <cellStyle name="常规 15" xfId="215"/>
    <cellStyle name="常规 20" xfId="216"/>
    <cellStyle name="40% - 强调文字颜色 1 2" xfId="217"/>
    <cellStyle name="40% - 强调文字颜色 1 2 2" xfId="218"/>
    <cellStyle name="40% - 强调文字颜色 1 2 3" xfId="219"/>
    <cellStyle name="40% - 强调文字颜色 1 2 4" xfId="220"/>
    <cellStyle name="40% - 强调文字颜色 1 2 5" xfId="221"/>
    <cellStyle name="差_处理量 2" xfId="222"/>
    <cellStyle name="40% - 强调文字颜色 1 2 6" xfId="223"/>
    <cellStyle name="40% - 强调文字颜色 1 3" xfId="224"/>
    <cellStyle name="40% - 强调文字颜色 1 3 2" xfId="225"/>
    <cellStyle name="40% - 强调文字颜色 1 4" xfId="226"/>
    <cellStyle name="40% - 强调文字颜色 1 4 2" xfId="227"/>
    <cellStyle name="40% - 强调文字颜色 1 5" xfId="228"/>
    <cellStyle name="40% - 强调文字颜色 1 5 2" xfId="229"/>
    <cellStyle name="40% - 强调文字颜色 2 2 2" xfId="230"/>
    <cellStyle name="40% - 强调文字颜色 2 2 3" xfId="231"/>
    <cellStyle name="好_汇总二" xfId="232"/>
    <cellStyle name="40% - 强调文字颜色 2 2 4" xfId="233"/>
    <cellStyle name="40% - 强调文字颜色 2 2 5" xfId="234"/>
    <cellStyle name="40% - 强调文字颜色 2 2 6" xfId="235"/>
    <cellStyle name="40% - 强调文字颜色 2 3 2" xfId="236"/>
    <cellStyle name="40% - 强调文字颜色 2 4 2" xfId="237"/>
    <cellStyle name="差 2 3" xfId="238"/>
    <cellStyle name="40% - 强调文字颜色 2 5 2" xfId="239"/>
    <cellStyle name="40% - 强调文字颜色 3 2" xfId="240"/>
    <cellStyle name="计算 2 2" xfId="241"/>
    <cellStyle name="40% - 强调文字颜色 3 2 2" xfId="242"/>
    <cellStyle name="40% - 强调文字颜色 3 2 3" xfId="243"/>
    <cellStyle name="40% - 强调文字颜色 3 2 4" xfId="244"/>
    <cellStyle name="40% - 强调文字颜色 3 2 5" xfId="245"/>
    <cellStyle name="40% - 强调文字颜色 3 2 6" xfId="246"/>
    <cellStyle name="40% - 强调文字颜色 3 3" xfId="247"/>
    <cellStyle name="计算 2 3" xfId="248"/>
    <cellStyle name="40% - 强调文字颜色 3 3 2" xfId="249"/>
    <cellStyle name="40% - 强调文字颜色 3 4" xfId="250"/>
    <cellStyle name="计算 2 4" xfId="251"/>
    <cellStyle name="警告文本 5" xfId="252"/>
    <cellStyle name="40% - 强调文字颜色 3 4 2" xfId="253"/>
    <cellStyle name="40% - 强调文字颜色 3 5" xfId="254"/>
    <cellStyle name="计算 2 5" xfId="255"/>
    <cellStyle name="链接单元格 2 4" xfId="256"/>
    <cellStyle name="40% - 强调文字颜色 3 5 2" xfId="257"/>
    <cellStyle name="标题 4 4" xfId="258"/>
    <cellStyle name="40% - 强调文字颜色 4 2 2" xfId="259"/>
    <cellStyle name="检查单元格 2" xfId="260"/>
    <cellStyle name="汇总 2 3" xfId="261"/>
    <cellStyle name="标题 4 5" xfId="262"/>
    <cellStyle name="40% - 强调文字颜色 4 2 3" xfId="263"/>
    <cellStyle name="检查单元格 3" xfId="264"/>
    <cellStyle name="汇总 2 4" xfId="265"/>
    <cellStyle name="40% - 强调文字颜色 4 2 4" xfId="266"/>
    <cellStyle name="检查单元格 4" xfId="267"/>
    <cellStyle name="汇总 2 5" xfId="268"/>
    <cellStyle name="40% - 强调文字颜色 4 2 5" xfId="269"/>
    <cellStyle name="检查单元格 5" xfId="270"/>
    <cellStyle name="汇总 2 6" xfId="271"/>
    <cellStyle name="40% - 强调文字颜色 4 2 6" xfId="272"/>
    <cellStyle name="40% - 强调文字颜色 4 3" xfId="273"/>
    <cellStyle name="40% - 强调文字颜色 4 4 2" xfId="274"/>
    <cellStyle name="40% - 强调文字颜色 4 5 2" xfId="275"/>
    <cellStyle name="常规 2 13" xfId="276"/>
    <cellStyle name="40% - 强调文字颜色 5 2" xfId="277"/>
    <cellStyle name="好 2 3" xfId="278"/>
    <cellStyle name="计算 4 2" xfId="279"/>
    <cellStyle name="40% - 强调文字颜色 5 2 3" xfId="280"/>
    <cellStyle name="60% - 强调文字颜色 4 4" xfId="281"/>
    <cellStyle name="警告文本 5 2" xfId="282"/>
    <cellStyle name="40% - 强调文字颜色 5 2 4" xfId="283"/>
    <cellStyle name="60% - 强调文字颜色 4 5" xfId="284"/>
    <cellStyle name="40% - 强调文字颜色 5 2 5" xfId="285"/>
    <cellStyle name="40% - 强调文字颜色 5 2 6" xfId="286"/>
    <cellStyle name="40% - 强调文字颜色 5 29" xfId="287"/>
    <cellStyle name="40% - 强调文字颜色 5 3" xfId="288"/>
    <cellStyle name="好 2 4" xfId="289"/>
    <cellStyle name="40% - 强调文字颜色 5 3 2" xfId="290"/>
    <cellStyle name="60% - 强调文字颜色 5 3" xfId="291"/>
    <cellStyle name="40% - 强调文字颜色 5 4 2" xfId="292"/>
    <cellStyle name="60% - 强调文字颜色 6 3" xfId="293"/>
    <cellStyle name="40% - 强调文字颜色 5 5" xfId="294"/>
    <cellStyle name="好 2 6" xfId="295"/>
    <cellStyle name="40% - 强调文字颜色 5 5 2" xfId="296"/>
    <cellStyle name="标题 2 2 4" xfId="297"/>
    <cellStyle name="40% - 强调文字颜色 6 2" xfId="298"/>
    <cellStyle name="适中 2 2" xfId="299"/>
    <cellStyle name="计算 5 2" xfId="300"/>
    <cellStyle name="40% - 强调文字颜色 6 2 2" xfId="301"/>
    <cellStyle name="40% - 强调文字颜色 6 2 3" xfId="302"/>
    <cellStyle name="40% - 强调文字颜色 6 2 4" xfId="303"/>
    <cellStyle name="百分比 2 17 2" xfId="304"/>
    <cellStyle name="检查单元格 5 2" xfId="305"/>
    <cellStyle name="40% - 强调文字颜色 6 2 5" xfId="306"/>
    <cellStyle name="40% - 强调文字颜色 6 2 6" xfId="307"/>
    <cellStyle name="标题 2 2 5" xfId="308"/>
    <cellStyle name="40% - 强调文字颜色 6 3" xfId="309"/>
    <cellStyle name="40% - 强调文字颜色 6 3 2" xfId="310"/>
    <cellStyle name="解释性文本 3" xfId="311"/>
    <cellStyle name="40% - 强调文字颜色 6 5 2" xfId="312"/>
    <cellStyle name="汇总 2" xfId="313"/>
    <cellStyle name="60% - 强调文字颜色 1 2 3" xfId="314"/>
    <cellStyle name="60% - 强调文字颜色 1 2 4" xfId="315"/>
    <cellStyle name="60% - 强调文字颜色 1 2 5" xfId="316"/>
    <cellStyle name="60% - 强调文字颜色 1 2 6" xfId="317"/>
    <cellStyle name="常规 2" xfId="318"/>
    <cellStyle name="60% - 强调文字颜色 1 4" xfId="319"/>
    <cellStyle name="标题 4 2 3" xfId="320"/>
    <cellStyle name="60% - 强调文字颜色 1 4 2" xfId="321"/>
    <cellStyle name="60% - 强调文字颜色 1 5" xfId="322"/>
    <cellStyle name="警告文本 2 2" xfId="323"/>
    <cellStyle name="60% - 强调文字颜色 1 5 2" xfId="324"/>
    <cellStyle name="60% - 强调文字颜色 1 9" xfId="325"/>
    <cellStyle name="强调文字颜色 4 4 2" xfId="326"/>
    <cellStyle name="警告文本 2 6" xfId="327"/>
    <cellStyle name="60% - 强调文字颜色 2 2 3" xfId="328"/>
    <cellStyle name="计算 2 11" xfId="329"/>
    <cellStyle name="强调文字颜色 1 2 4" xfId="330"/>
    <cellStyle name="60% - 强调文字颜色 2 2 4" xfId="331"/>
    <cellStyle name="计算 2 12" xfId="332"/>
    <cellStyle name="强调文字颜色 1 2 5" xfId="333"/>
    <cellStyle name="60% - 强调文字颜色 2 2 5" xfId="334"/>
    <cellStyle name="强调文字颜色 1 2 6" xfId="335"/>
    <cellStyle name="60% - 强调文字颜色 2 2 6" xfId="336"/>
    <cellStyle name="常规 7" xfId="337"/>
    <cellStyle name="60% - 强调文字颜色 2 4" xfId="338"/>
    <cellStyle name="60% - 强调文字颜色 2 4 2" xfId="339"/>
    <cellStyle name="常规 8" xfId="340"/>
    <cellStyle name="60% - 强调文字颜色 2 5" xfId="341"/>
    <cellStyle name="警告文本 3 2" xfId="342"/>
    <cellStyle name="60% - 强调文字颜色 3 2 3" xfId="343"/>
    <cellStyle name="强调文字颜色 2 2 4" xfId="344"/>
    <cellStyle name="60% - 强调文字颜色 3 2 4" xfId="345"/>
    <cellStyle name="强调文字颜色 2 2 5" xfId="346"/>
    <cellStyle name="60% - 强调文字颜色 3 2 5" xfId="347"/>
    <cellStyle name="强调文字颜色 2 2 6" xfId="348"/>
    <cellStyle name="60% - 强调文字颜色 3 2 6" xfId="349"/>
    <cellStyle name="解释性文本 3 2" xfId="350"/>
    <cellStyle name="60% - 强调文字颜色 3 4" xfId="351"/>
    <cellStyle name="60% - 强调文字颜色 3 4 2" xfId="352"/>
    <cellStyle name="60% - 强调文字颜色 3 5" xfId="353"/>
    <cellStyle name="警告文本 4 2" xfId="354"/>
    <cellStyle name="60% - 强调文字颜色 3 5 2" xfId="355"/>
    <cellStyle name="注释 3 2" xfId="356"/>
    <cellStyle name="60% - 强调文字颜色 4 2 4" xfId="357"/>
    <cellStyle name="60% - 强调文字颜色 4 2 5" xfId="358"/>
    <cellStyle name="60% - 强调文字颜色 4 2 6" xfId="359"/>
    <cellStyle name="60% - 强调文字颜色 4 4 2" xfId="360"/>
    <cellStyle name="60% - 强调文字颜色 4 5 2" xfId="361"/>
    <cellStyle name="60% - 强调文字颜色 5 2" xfId="362"/>
    <cellStyle name="标题 3 2 6" xfId="363"/>
    <cellStyle name="60% - 强调文字颜色 5 2 2" xfId="364"/>
    <cellStyle name="60% - 强调文字颜色 5 2 3" xfId="365"/>
    <cellStyle name="60% - 强调文字颜色 5 2 4" xfId="366"/>
    <cellStyle name="强调文字颜色 4 2 5" xfId="367"/>
    <cellStyle name="百分比 2 11" xfId="368"/>
    <cellStyle name="标题 4 2" xfId="369"/>
    <cellStyle name="60% - 强调文字颜色 5 2 5" xfId="370"/>
    <cellStyle name="标题 4 3" xfId="371"/>
    <cellStyle name="60% - 强调文字颜色 5 2 6" xfId="372"/>
    <cellStyle name="汇总 2 2" xfId="373"/>
    <cellStyle name="60% - 强调文字颜色 5 3 2" xfId="374"/>
    <cellStyle name="60% - 强调文字颜色 5 4" xfId="375"/>
    <cellStyle name="60% - 强调文字颜色 5 5" xfId="376"/>
    <cellStyle name="输入 2 3" xfId="377"/>
    <cellStyle name="60% - 强调文字颜色 5 5 2" xfId="378"/>
    <cellStyle name="60% - 强调文字颜色 6 2" xfId="379"/>
    <cellStyle name="好_汇总二 3" xfId="380"/>
    <cellStyle name="标题 4 2 6" xfId="381"/>
    <cellStyle name="60% - 强调文字颜色 6 2 2" xfId="382"/>
    <cellStyle name="60% - 强调文字颜色 6 2 3" xfId="383"/>
    <cellStyle name="60% - 强调文字颜色 6 4" xfId="384"/>
    <cellStyle name="60% - 强调文字颜色 6 4 2" xfId="385"/>
    <cellStyle name="检查单元格 2 6" xfId="386"/>
    <cellStyle name="60% - 强调文字颜色 6 5" xfId="387"/>
    <cellStyle name="百分比 2" xfId="388"/>
    <cellStyle name="差 4" xfId="389"/>
    <cellStyle name="百分比 2 11 2" xfId="390"/>
    <cellStyle name="常规 2 17" xfId="391"/>
    <cellStyle name="百分比 2 11 4" xfId="392"/>
    <cellStyle name="常规 2 19" xfId="393"/>
    <cellStyle name="标题 1 2" xfId="394"/>
    <cellStyle name="标题 1 2 2" xfId="395"/>
    <cellStyle name="标题 1 2 3" xfId="396"/>
    <cellStyle name="标题 1 2 4" xfId="397"/>
    <cellStyle name="标题 1 2 5" xfId="398"/>
    <cellStyle name="强调文字颜色 2 2 2" xfId="399"/>
    <cellStyle name="标题 1 3" xfId="400"/>
    <cellStyle name="汇总 3" xfId="401"/>
    <cellStyle name="标题 1 3 2" xfId="402"/>
    <cellStyle name="标题 1 4" xfId="403"/>
    <cellStyle name="标题 1 5" xfId="404"/>
    <cellStyle name="标题 2 2" xfId="405"/>
    <cellStyle name="标题 2 2 2" xfId="406"/>
    <cellStyle name="好 3 2" xfId="407"/>
    <cellStyle name="标题 2 2 3" xfId="408"/>
    <cellStyle name="标题 2 3" xfId="409"/>
    <cellStyle name="常规 11" xfId="410"/>
    <cellStyle name="标题 2 3 2" xfId="411"/>
    <cellStyle name="标题 2 4" xfId="412"/>
    <cellStyle name="好_处理量" xfId="413"/>
    <cellStyle name="标题 2 4 2" xfId="414"/>
    <cellStyle name="好_处理量 2" xfId="415"/>
    <cellStyle name="标题 2 5" xfId="416"/>
    <cellStyle name="标题 2 5 2" xfId="417"/>
    <cellStyle name="标题 3 2" xfId="418"/>
    <cellStyle name="标题 3 2 2" xfId="419"/>
    <cellStyle name="好 5" xfId="420"/>
    <cellStyle name="标题 3 2 3" xfId="421"/>
    <cellStyle name="标题 3 2 4" xfId="422"/>
    <cellStyle name="标题 3 2 5" xfId="423"/>
    <cellStyle name="标题 3 3" xfId="424"/>
    <cellStyle name="标题 3 3 2" xfId="425"/>
    <cellStyle name="标题 3 4" xfId="426"/>
    <cellStyle name="标题 3 4 2" xfId="427"/>
    <cellStyle name="警告文本 2 3" xfId="428"/>
    <cellStyle name="标题 3 5" xfId="429"/>
    <cellStyle name="常规 9" xfId="430"/>
    <cellStyle name="标题 3 5 2" xfId="431"/>
    <cellStyle name="标题 4 2 2" xfId="432"/>
    <cellStyle name="标题 4 2 4" xfId="433"/>
    <cellStyle name="标题 4 2 5" xfId="434"/>
    <cellStyle name="标题 4 3 2" xfId="435"/>
    <cellStyle name="标题 4 4 2" xfId="436"/>
    <cellStyle name="检查单元格 2 2" xfId="437"/>
    <cellStyle name="解释性文本 2 3" xfId="438"/>
    <cellStyle name="标题 5" xfId="439"/>
    <cellStyle name="标题 5 2" xfId="440"/>
    <cellStyle name="强调文字颜色 1 4" xfId="441"/>
    <cellStyle name="标题 5 3" xfId="442"/>
    <cellStyle name="强调文字颜色 1 5" xfId="443"/>
    <cellStyle name="汇总 3 2" xfId="444"/>
    <cellStyle name="解释性文本 2 4" xfId="445"/>
    <cellStyle name="标题 6" xfId="446"/>
    <cellStyle name="标题 6 2" xfId="447"/>
    <cellStyle name="解释性文本 2 5" xfId="448"/>
    <cellStyle name="标题 7" xfId="449"/>
    <cellStyle name="输入 2 6" xfId="450"/>
    <cellStyle name="标题 7 2" xfId="451"/>
    <cellStyle name="强调文字颜色 3 4" xfId="452"/>
    <cellStyle name="常规 2 11" xfId="453"/>
    <cellStyle name="解释性文本 2 6" xfId="454"/>
    <cellStyle name="标题 8" xfId="455"/>
    <cellStyle name="标题 8 2" xfId="456"/>
    <cellStyle name="常规 2 7" xfId="457"/>
    <cellStyle name="差 2" xfId="458"/>
    <cellStyle name="解释性文本 5" xfId="459"/>
    <cellStyle name="差 2 2" xfId="460"/>
    <cellStyle name="解释性文本 5 2" xfId="461"/>
    <cellStyle name="差 2 4" xfId="462"/>
    <cellStyle name="差 2 5" xfId="463"/>
    <cellStyle name="差 2 6" xfId="464"/>
    <cellStyle name="差 3" xfId="465"/>
    <cellStyle name="差 3 2" xfId="466"/>
    <cellStyle name="差 4 2" xfId="467"/>
    <cellStyle name="差 5 2" xfId="468"/>
    <cellStyle name="差_汇总二 2" xfId="469"/>
    <cellStyle name="差_处理量" xfId="470"/>
    <cellStyle name="差_汇总二 3" xfId="471"/>
    <cellStyle name="常规 10" xfId="472"/>
    <cellStyle name="常规 12" xfId="473"/>
    <cellStyle name="好 4 2" xfId="474"/>
    <cellStyle name="常规 13" xfId="475"/>
    <cellStyle name="适中 3 2" xfId="476"/>
    <cellStyle name="计算 6 2" xfId="477"/>
    <cellStyle name="常规 14" xfId="478"/>
    <cellStyle name="常规 16" xfId="479"/>
    <cellStyle name="常规 21" xfId="480"/>
    <cellStyle name="注释 4 2" xfId="481"/>
    <cellStyle name="常规 17" xfId="482"/>
    <cellStyle name="常规 22" xfId="483"/>
    <cellStyle name="常规 18" xfId="484"/>
    <cellStyle name="常规 19" xfId="485"/>
    <cellStyle name="强调文字颜色 3 3" xfId="486"/>
    <cellStyle name="常规 2 10" xfId="487"/>
    <cellStyle name="汇总 5 2" xfId="488"/>
    <cellStyle name="常规_Sheet1" xfId="489"/>
    <cellStyle name="强调文字颜色 3 5" xfId="490"/>
    <cellStyle name="常规 2 12" xfId="491"/>
    <cellStyle name="常规 2 14" xfId="492"/>
    <cellStyle name="常规 2 15" xfId="493"/>
    <cellStyle name="常规 2 16" xfId="494"/>
    <cellStyle name="强调文字颜色 5 3 2" xfId="495"/>
    <cellStyle name="常规 2 19 3" xfId="496"/>
    <cellStyle name="常规 2 2" xfId="497"/>
    <cellStyle name="输入 3 2" xfId="498"/>
    <cellStyle name="常规 2 3" xfId="499"/>
    <cellStyle name="常规 2 4" xfId="500"/>
    <cellStyle name="常规 2 5" xfId="501"/>
    <cellStyle name="常规 2 6" xfId="502"/>
    <cellStyle name="输入 2" xfId="503"/>
    <cellStyle name="常规 2 8" xfId="504"/>
    <cellStyle name="输入 3" xfId="505"/>
    <cellStyle name="常规 2 9" xfId="506"/>
    <cellStyle name="常规 2_处理量" xfId="507"/>
    <cellStyle name="好 3" xfId="508"/>
    <cellStyle name="好 4" xfId="509"/>
    <cellStyle name="好 5 2" xfId="510"/>
    <cellStyle name="好_汇总二 2" xfId="511"/>
    <cellStyle name="汇总 4" xfId="512"/>
    <cellStyle name="强调文字颜色 2 5" xfId="513"/>
    <cellStyle name="汇总 4 2" xfId="514"/>
    <cellStyle name="汇总 5" xfId="515"/>
    <cellStyle name="计算 2 6" xfId="516"/>
    <cellStyle name="计算 2 7" xfId="517"/>
    <cellStyle name="计算 2_处理量" xfId="518"/>
    <cellStyle name="适中 3" xfId="519"/>
    <cellStyle name="计算 6" xfId="520"/>
    <cellStyle name="检查单元格 2 3" xfId="521"/>
    <cellStyle name="检查单元格 2 4" xfId="522"/>
    <cellStyle name="强调文字颜色 5 4 2" xfId="523"/>
    <cellStyle name="检查单元格 2 5" xfId="524"/>
    <cellStyle name="检查单元格 4 2" xfId="525"/>
    <cellStyle name="解释性文本 2" xfId="526"/>
    <cellStyle name="解释性文本 4" xfId="527"/>
    <cellStyle name="解释性文本 4 2" xfId="528"/>
    <cellStyle name="注释 5 2" xfId="529"/>
    <cellStyle name="警告文本 2" xfId="530"/>
    <cellStyle name="警告文本 2 4" xfId="531"/>
    <cellStyle name="警告文本 2 5" xfId="532"/>
    <cellStyle name="警告文本 3" xfId="533"/>
    <cellStyle name="警告文本 4" xfId="534"/>
    <cellStyle name="链接单元格 2" xfId="535"/>
    <cellStyle name="链接单元格 2 2" xfId="536"/>
    <cellStyle name="链接单元格 2 3" xfId="537"/>
    <cellStyle name="链接单元格 2 6" xfId="538"/>
    <cellStyle name="强调文字颜色 1 2" xfId="539"/>
    <cellStyle name="强调文字颜色 1 2 2" xfId="540"/>
    <cellStyle name="强调文字颜色 1 3" xfId="541"/>
    <cellStyle name="强调文字颜色 1 3 2" xfId="542"/>
    <cellStyle name="强调文字颜色 1 4 2" xfId="543"/>
    <cellStyle name="强调文字颜色 2 2" xfId="544"/>
    <cellStyle name="强调文字颜色 2 3" xfId="545"/>
    <cellStyle name="强调文字颜色 2 4" xfId="546"/>
    <cellStyle name="强调文字颜色 2 4 2" xfId="547"/>
    <cellStyle name="强调文字颜色 2 5 2" xfId="548"/>
    <cellStyle name="强调文字颜色 3 2" xfId="549"/>
    <cellStyle name="适中 2 3" xfId="550"/>
    <cellStyle name="强调文字颜色 3 2 2" xfId="551"/>
    <cellStyle name="适中 2 6" xfId="552"/>
    <cellStyle name="强调文字颜色 3 2 5" xfId="553"/>
    <cellStyle name="强调文字颜色 3 2 6" xfId="554"/>
    <cellStyle name="强调文字颜色 3 3 2" xfId="555"/>
    <cellStyle name="强调文字颜色 3 4 2" xfId="556"/>
    <cellStyle name="强调文字颜色 3 5 2" xfId="557"/>
    <cellStyle name="强调文字颜色 4 2" xfId="558"/>
    <cellStyle name="强调文字颜色 4 2 2" xfId="559"/>
    <cellStyle name="强调文字颜色 4 2 3" xfId="560"/>
    <cellStyle name="强调文字颜色 4 2 4" xfId="561"/>
    <cellStyle name="强调文字颜色 4 2 6" xfId="562"/>
    <cellStyle name="强调文字颜色 4 3" xfId="563"/>
    <cellStyle name="强调文字颜色 4 3 2" xfId="564"/>
    <cellStyle name="强调文字颜色 4 4" xfId="565"/>
    <cellStyle name="强调文字颜色 4 5" xfId="566"/>
    <cellStyle name="强调文字颜色 4 5 2" xfId="567"/>
    <cellStyle name="强调文字颜色 5 2 2" xfId="568"/>
    <cellStyle name="强调文字颜色 5 2 3" xfId="569"/>
    <cellStyle name="强调文字颜色 5 2 4" xfId="570"/>
    <cellStyle name="强调文字颜色 5 2 5" xfId="571"/>
    <cellStyle name="强调文字颜色 5 2 6" xfId="572"/>
    <cellStyle name="强调文字颜色 5 4" xfId="573"/>
    <cellStyle name="强调文字颜色 5 5" xfId="574"/>
    <cellStyle name="强调文字颜色 5 5 2" xfId="575"/>
    <cellStyle name="强调文字颜色 6 2" xfId="576"/>
    <cellStyle name="强调文字颜色 6 2 2" xfId="577"/>
    <cellStyle name="强调文字颜色 6 2 3" xfId="578"/>
    <cellStyle name="强调文字颜色 6 2 4" xfId="579"/>
    <cellStyle name="强调文字颜色 6 2 5" xfId="580"/>
    <cellStyle name="强调文字颜色 6 2 6" xfId="581"/>
    <cellStyle name="强调文字颜色 6 3" xfId="582"/>
    <cellStyle name="强调文字颜色 6 3 2" xfId="583"/>
    <cellStyle name="强调文字颜色 6 4" xfId="584"/>
    <cellStyle name="强调文字颜色 6 4 2" xfId="585"/>
    <cellStyle name="强调文字颜色 6 5" xfId="586"/>
    <cellStyle name="适中 4" xfId="587"/>
    <cellStyle name="适中 4 2" xfId="588"/>
    <cellStyle name="适中 5" xfId="589"/>
    <cellStyle name="适中 5 2" xfId="590"/>
    <cellStyle name="输出 2" xfId="591"/>
    <cellStyle name="输出 2 2" xfId="592"/>
    <cellStyle name="输出 2 3" xfId="593"/>
    <cellStyle name="输出 2 4" xfId="594"/>
    <cellStyle name="输出 2 5" xfId="595"/>
    <cellStyle name="输出 2 6" xfId="596"/>
    <cellStyle name="输出 3" xfId="597"/>
    <cellStyle name="输出 3 2" xfId="598"/>
    <cellStyle name="输出 5" xfId="599"/>
    <cellStyle name="输出 5 2" xfId="600"/>
    <cellStyle name="输入 2 2" xfId="601"/>
    <cellStyle name="输入 2 4" xfId="602"/>
    <cellStyle name="输入 2 5" xfId="603"/>
    <cellStyle name="输入 4" xfId="604"/>
    <cellStyle name="输入 4 2" xfId="605"/>
    <cellStyle name="输入 5" xfId="606"/>
    <cellStyle name="输入 5 2" xfId="607"/>
    <cellStyle name="注释 2 2" xfId="608"/>
    <cellStyle name="注释 2 3" xfId="609"/>
    <cellStyle name="注释 2 4" xfId="610"/>
    <cellStyle name="注释 2 5" xfId="611"/>
    <cellStyle name="注释 2 6" xfId="612"/>
    <cellStyle name="注释 3" xfId="613"/>
    <cellStyle name="注释 4" xfId="614"/>
  </cellStyles>
  <tableStyles count="0" defaultTableStyle="TableStyleMedium9" defaultPivotStyle="PivotStyleLight16"/>
  <colors>
    <mruColors>
      <color rgb="00BFBFBF"/>
      <color rgb="00FFFFFF"/>
      <color rgb="001D1B1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&#28145;&#27700;&#27743;&#36793;\0.&#21382;&#21490;&#29983;&#20135;&#25968;&#25454;-2019-8-21\0&#27743;&#36793;&#21378;&#26376;&#25253;&#34920;\2020&#24180;&#26376;&#25253;\&#27743;&#36793;&#21378;&#26376;&#25253;2020-1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处理量"/>
      <sheetName val="汇总二"/>
      <sheetName val="设备"/>
      <sheetName val="进出水"/>
      <sheetName val="仪表"/>
      <sheetName val="实验数据"/>
    </sheetNames>
    <sheetDataSet>
      <sheetData sheetId="0"/>
      <sheetData sheetId="1"/>
      <sheetData sheetId="2"/>
      <sheetData sheetId="3">
        <row r="38">
          <cell r="O38" t="str">
            <v>&lt;2</v>
          </cell>
        </row>
      </sheetData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41"/>
  <sheetViews>
    <sheetView zoomScale="85" zoomScaleNormal="85" topLeftCell="A4" workbookViewId="0">
      <selection activeCell="N5" sqref="N5:N35"/>
    </sheetView>
  </sheetViews>
  <sheetFormatPr defaultColWidth="8.75" defaultRowHeight="14.25"/>
  <cols>
    <col min="1" max="1" width="3.75" style="3" customWidth="1"/>
    <col min="2" max="3" width="4.25" style="254" customWidth="1"/>
    <col min="4" max="4" width="6.5" style="254" customWidth="1"/>
    <col min="5" max="5" width="7.5" style="255" customWidth="1"/>
    <col min="6" max="6" width="5.625" style="255" customWidth="1"/>
    <col min="7" max="7" width="6" style="254" customWidth="1"/>
    <col min="8" max="8" width="7.625" style="254" customWidth="1"/>
    <col min="9" max="9" width="6.5" style="254" customWidth="1"/>
    <col min="10" max="10" width="6.375" style="254" customWidth="1"/>
    <col min="11" max="11" width="7" style="254" customWidth="1"/>
    <col min="12" max="12" width="6.125" style="254" customWidth="1"/>
    <col min="13" max="13" width="7.8" style="254" customWidth="1"/>
    <col min="14" max="14" width="7.5" style="254" customWidth="1"/>
    <col min="15" max="15" width="10.125" style="254" customWidth="1"/>
    <col min="16" max="16" width="10" style="256" customWidth="1"/>
    <col min="17" max="17" width="15.875" style="256" customWidth="1"/>
    <col min="18" max="18" width="12.875" style="256" customWidth="1"/>
    <col min="19" max="19" width="12.25" style="256" customWidth="1"/>
    <col min="20" max="22" width="12.625" style="256"/>
    <col min="23" max="23" width="15" style="256" customWidth="1"/>
    <col min="24" max="32" width="9" style="3"/>
    <col min="33" max="16384" width="8.75" style="3"/>
  </cols>
  <sheetData>
    <row r="1" ht="18.75" spans="1:15">
      <c r="A1" s="257" t="s">
        <v>0</v>
      </c>
      <c r="B1" s="257"/>
      <c r="C1" s="257"/>
      <c r="D1" s="257"/>
      <c r="E1" s="257"/>
      <c r="F1" s="257"/>
      <c r="G1" s="257"/>
      <c r="H1" s="257"/>
      <c r="I1" s="257"/>
      <c r="J1" s="257"/>
      <c r="K1" s="257"/>
      <c r="L1" s="257"/>
      <c r="M1" s="257"/>
      <c r="N1" s="257"/>
      <c r="O1" s="257"/>
    </row>
    <row r="2" ht="15.75" customHeight="1" spans="1:15">
      <c r="A2" s="258" t="s">
        <v>1</v>
      </c>
      <c r="B2" s="258"/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</row>
    <row r="3" ht="20.25" customHeight="1" spans="1:23">
      <c r="A3" s="259" t="s">
        <v>2</v>
      </c>
      <c r="B3" s="260" t="s">
        <v>3</v>
      </c>
      <c r="C3" s="260" t="s">
        <v>4</v>
      </c>
      <c r="D3" s="8" t="s">
        <v>5</v>
      </c>
      <c r="E3" s="260" t="s">
        <v>6</v>
      </c>
      <c r="F3" s="260" t="s">
        <v>7</v>
      </c>
      <c r="G3" s="260" t="s">
        <v>8</v>
      </c>
      <c r="H3" s="260" t="s">
        <v>9</v>
      </c>
      <c r="I3" s="260" t="s">
        <v>10</v>
      </c>
      <c r="J3" s="8" t="s">
        <v>11</v>
      </c>
      <c r="K3" s="260" t="s">
        <v>12</v>
      </c>
      <c r="L3" s="260" t="s">
        <v>13</v>
      </c>
      <c r="M3" s="260" t="s">
        <v>14</v>
      </c>
      <c r="N3" s="8" t="s">
        <v>15</v>
      </c>
      <c r="O3" s="8" t="s">
        <v>16</v>
      </c>
      <c r="Q3" s="256" t="s">
        <v>17</v>
      </c>
      <c r="R3" s="256" t="s">
        <v>18</v>
      </c>
      <c r="T3" s="285" t="s">
        <v>19</v>
      </c>
      <c r="U3" s="285" t="s">
        <v>20</v>
      </c>
      <c r="V3" s="285" t="s">
        <v>21</v>
      </c>
      <c r="W3" s="285" t="s">
        <v>22</v>
      </c>
    </row>
    <row r="4" ht="21" customHeight="1" spans="1:24">
      <c r="A4" s="261"/>
      <c r="B4" s="262" t="s">
        <v>23</v>
      </c>
      <c r="C4" s="262" t="s">
        <v>24</v>
      </c>
      <c r="D4" s="262"/>
      <c r="E4" s="262" t="s">
        <v>25</v>
      </c>
      <c r="F4" s="262" t="s">
        <v>26</v>
      </c>
      <c r="G4" s="262" t="s">
        <v>27</v>
      </c>
      <c r="H4" s="262" t="s">
        <v>28</v>
      </c>
      <c r="I4" s="262" t="s">
        <v>26</v>
      </c>
      <c r="J4" s="262"/>
      <c r="K4" s="262" t="s">
        <v>26</v>
      </c>
      <c r="L4" s="262" t="s">
        <v>26</v>
      </c>
      <c r="M4" s="262" t="s">
        <v>29</v>
      </c>
      <c r="N4" s="262"/>
      <c r="O4" s="262"/>
      <c r="Q4" s="56" t="s">
        <v>30</v>
      </c>
      <c r="R4" s="286">
        <f>ROUND(H37*T4,2)</f>
        <v>914452.5</v>
      </c>
      <c r="S4" s="286"/>
      <c r="T4" s="287">
        <v>0.565</v>
      </c>
      <c r="U4" s="288">
        <f>H36/O36</f>
        <v>0.299705016934214</v>
      </c>
      <c r="V4" s="285">
        <v>0.608</v>
      </c>
      <c r="W4" s="289">
        <v>44197</v>
      </c>
      <c r="X4" s="290"/>
    </row>
    <row r="5" ht="18.6" customHeight="1" spans="1:23">
      <c r="A5" s="6">
        <v>1</v>
      </c>
      <c r="B5" s="263">
        <v>17.3</v>
      </c>
      <c r="C5" s="264" t="s">
        <v>31</v>
      </c>
      <c r="D5" s="265">
        <v>207629</v>
      </c>
      <c r="E5" s="266">
        <v>157.08</v>
      </c>
      <c r="F5" s="267">
        <v>125</v>
      </c>
      <c r="G5" s="6">
        <v>4560</v>
      </c>
      <c r="H5" s="267">
        <v>56000.0000000036</v>
      </c>
      <c r="I5" s="276">
        <v>4740</v>
      </c>
      <c r="J5" s="276">
        <v>22</v>
      </c>
      <c r="K5" s="276">
        <v>4047</v>
      </c>
      <c r="L5" s="276">
        <v>1440</v>
      </c>
      <c r="M5" s="266">
        <v>3.12</v>
      </c>
      <c r="N5" s="277">
        <v>5573</v>
      </c>
      <c r="O5" s="278">
        <f>D5-N5</f>
        <v>202056</v>
      </c>
      <c r="P5" s="279"/>
      <c r="Q5" s="279" t="s">
        <v>32</v>
      </c>
      <c r="R5" s="291">
        <f>F37*T5/1000</f>
        <v>167492.5</v>
      </c>
      <c r="S5" s="286"/>
      <c r="T5" s="56">
        <v>28150</v>
      </c>
      <c r="U5" s="286">
        <f>F36/O36*1000</f>
        <v>1.10178860102476</v>
      </c>
      <c r="V5" s="285">
        <v>28250</v>
      </c>
      <c r="W5" s="292">
        <v>43952</v>
      </c>
    </row>
    <row r="6" ht="18.6" customHeight="1" spans="1:23">
      <c r="A6" s="6">
        <v>2</v>
      </c>
      <c r="B6" s="263">
        <v>16.9</v>
      </c>
      <c r="C6" s="264" t="s">
        <v>33</v>
      </c>
      <c r="D6" s="265">
        <v>207632</v>
      </c>
      <c r="E6" s="266">
        <v>265.06</v>
      </c>
      <c r="F6" s="267">
        <v>225</v>
      </c>
      <c r="G6" s="6">
        <v>5066</v>
      </c>
      <c r="H6" s="267">
        <v>55100.0000000022</v>
      </c>
      <c r="I6" s="276">
        <v>10020</v>
      </c>
      <c r="J6" s="276">
        <v>32</v>
      </c>
      <c r="K6" s="276">
        <v>3976</v>
      </c>
      <c r="L6" s="276">
        <v>1392</v>
      </c>
      <c r="M6" s="266">
        <v>3.12</v>
      </c>
      <c r="N6" s="277">
        <v>5367</v>
      </c>
      <c r="O6" s="278">
        <f t="shared" ref="O6:O36" si="0">D6-N6</f>
        <v>202265</v>
      </c>
      <c r="P6" s="279"/>
      <c r="Q6" s="279" t="s">
        <v>34</v>
      </c>
      <c r="R6" s="291">
        <f>J37*T6/1000</f>
        <v>8444.8</v>
      </c>
      <c r="S6" s="286">
        <f>R5+R6</f>
        <v>175937.3</v>
      </c>
      <c r="T6" s="56">
        <v>10400</v>
      </c>
      <c r="U6" s="286">
        <f>J36/O36*1000</f>
        <v>0.15036173849279</v>
      </c>
      <c r="V6" s="285">
        <v>5784.76</v>
      </c>
      <c r="W6" s="292">
        <v>44256</v>
      </c>
    </row>
    <row r="7" ht="18.6" customHeight="1" spans="1:23">
      <c r="A7" s="6">
        <v>3</v>
      </c>
      <c r="B7" s="263">
        <v>17</v>
      </c>
      <c r="C7" s="264" t="s">
        <v>33</v>
      </c>
      <c r="D7" s="265">
        <v>205717</v>
      </c>
      <c r="E7" s="266">
        <v>173.88</v>
      </c>
      <c r="F7" s="267">
        <v>200</v>
      </c>
      <c r="G7" s="6">
        <v>4722</v>
      </c>
      <c r="H7" s="267">
        <v>59399.9999999869</v>
      </c>
      <c r="I7" s="276">
        <v>9864</v>
      </c>
      <c r="J7" s="276">
        <v>34</v>
      </c>
      <c r="K7" s="276">
        <v>3834</v>
      </c>
      <c r="L7" s="276">
        <v>1368</v>
      </c>
      <c r="M7" s="266">
        <v>3.24</v>
      </c>
      <c r="N7" s="277">
        <v>5452</v>
      </c>
      <c r="O7" s="278">
        <f t="shared" si="0"/>
        <v>200265</v>
      </c>
      <c r="P7" s="279"/>
      <c r="Q7" s="279" t="s">
        <v>35</v>
      </c>
      <c r="R7" s="291">
        <f>K37*T7/1000</f>
        <v>38559.39</v>
      </c>
      <c r="S7" s="286"/>
      <c r="T7" s="56">
        <v>430</v>
      </c>
      <c r="U7" s="286">
        <f>K36/O36*1000</f>
        <v>16.6051578520492</v>
      </c>
      <c r="V7" s="285">
        <v>182</v>
      </c>
      <c r="W7" s="292">
        <v>44228</v>
      </c>
    </row>
    <row r="8" ht="18.6" customHeight="1" spans="1:23">
      <c r="A8" s="6">
        <v>4</v>
      </c>
      <c r="B8" s="263">
        <v>18.7</v>
      </c>
      <c r="C8" s="264" t="s">
        <v>33</v>
      </c>
      <c r="D8" s="265">
        <v>206136</v>
      </c>
      <c r="E8" s="266">
        <v>177.18</v>
      </c>
      <c r="F8" s="267">
        <v>200</v>
      </c>
      <c r="G8" s="6">
        <v>4956</v>
      </c>
      <c r="H8" s="267">
        <v>55000</v>
      </c>
      <c r="I8" s="276">
        <v>9768</v>
      </c>
      <c r="J8" s="276">
        <v>33</v>
      </c>
      <c r="K8" s="276">
        <v>2911</v>
      </c>
      <c r="L8" s="276">
        <v>1056</v>
      </c>
      <c r="M8" s="266">
        <v>3.26</v>
      </c>
      <c r="N8" s="277">
        <v>5441</v>
      </c>
      <c r="O8" s="278">
        <f t="shared" si="0"/>
        <v>200695</v>
      </c>
      <c r="P8" s="279"/>
      <c r="Q8" s="279" t="s">
        <v>36</v>
      </c>
      <c r="R8" s="291">
        <f>L37*T8/1000</f>
        <v>168551.964</v>
      </c>
      <c r="S8" s="286">
        <f>R7+R8</f>
        <v>207111.354</v>
      </c>
      <c r="T8" s="56">
        <v>5280.45</v>
      </c>
      <c r="U8" s="286">
        <f>L36/O36*1000</f>
        <v>5.91077178902693</v>
      </c>
      <c r="V8" s="56">
        <v>5462.35</v>
      </c>
      <c r="W8" s="292">
        <v>44256</v>
      </c>
    </row>
    <row r="9" ht="18.6" customHeight="1" spans="1:23">
      <c r="A9" s="6">
        <v>5</v>
      </c>
      <c r="B9" s="263">
        <v>17.8</v>
      </c>
      <c r="C9" s="264" t="s">
        <v>37</v>
      </c>
      <c r="D9" s="265">
        <v>120591</v>
      </c>
      <c r="E9" s="266">
        <v>210.98</v>
      </c>
      <c r="F9" s="267">
        <v>175</v>
      </c>
      <c r="G9" s="6">
        <v>4282</v>
      </c>
      <c r="H9" s="268">
        <v>40700.0000000153</v>
      </c>
      <c r="I9" s="276">
        <v>7248</v>
      </c>
      <c r="J9" s="276">
        <v>23</v>
      </c>
      <c r="K9" s="276">
        <v>1633</v>
      </c>
      <c r="L9" s="276">
        <v>600</v>
      </c>
      <c r="M9" s="266">
        <v>2.92</v>
      </c>
      <c r="N9" s="277">
        <v>3050</v>
      </c>
      <c r="O9" s="278">
        <f t="shared" si="0"/>
        <v>117541</v>
      </c>
      <c r="P9" s="279"/>
      <c r="Q9" s="279" t="s">
        <v>38</v>
      </c>
      <c r="R9" s="291">
        <f>I37*T9/1000</f>
        <v>77978.448</v>
      </c>
      <c r="S9" s="286"/>
      <c r="T9" s="56">
        <v>348</v>
      </c>
      <c r="U9" s="286">
        <f>I36/O36*1000</f>
        <v>41.4931735400375</v>
      </c>
      <c r="V9" s="285">
        <v>370</v>
      </c>
      <c r="W9" s="292">
        <v>44228</v>
      </c>
    </row>
    <row r="10" ht="18.6" customHeight="1" spans="1:23">
      <c r="A10" s="6">
        <v>6</v>
      </c>
      <c r="B10" s="263">
        <v>16.9</v>
      </c>
      <c r="C10" s="264" t="s">
        <v>31</v>
      </c>
      <c r="D10" s="265">
        <v>180960</v>
      </c>
      <c r="E10" s="266">
        <v>211.54</v>
      </c>
      <c r="F10" s="267">
        <v>225</v>
      </c>
      <c r="G10" s="6">
        <v>4542</v>
      </c>
      <c r="H10" s="267">
        <v>50199.9999999862</v>
      </c>
      <c r="I10" s="276">
        <v>9468</v>
      </c>
      <c r="J10" s="276">
        <v>33</v>
      </c>
      <c r="K10" s="276">
        <v>1704</v>
      </c>
      <c r="L10" s="276">
        <v>624</v>
      </c>
      <c r="M10" s="266">
        <v>2.97</v>
      </c>
      <c r="N10" s="277">
        <v>5277</v>
      </c>
      <c r="O10" s="278">
        <f t="shared" si="0"/>
        <v>175683</v>
      </c>
      <c r="P10" s="279"/>
      <c r="Q10" s="279" t="s">
        <v>39</v>
      </c>
      <c r="R10" s="291">
        <f>Q18</f>
        <v>101391.14</v>
      </c>
      <c r="S10" s="286" t="s">
        <v>40</v>
      </c>
      <c r="T10" s="293"/>
      <c r="U10" s="293"/>
      <c r="V10" s="294"/>
      <c r="W10" s="294"/>
    </row>
    <row r="11" ht="18.6" customHeight="1" spans="1:23">
      <c r="A11" s="6">
        <v>7</v>
      </c>
      <c r="B11" s="263">
        <v>15.8</v>
      </c>
      <c r="C11" s="264" t="s">
        <v>31</v>
      </c>
      <c r="D11" s="265">
        <v>172168</v>
      </c>
      <c r="E11" s="266">
        <v>225.36</v>
      </c>
      <c r="F11" s="267">
        <v>200</v>
      </c>
      <c r="G11" s="13">
        <v>4550</v>
      </c>
      <c r="H11" s="268">
        <v>51900.0000000051</v>
      </c>
      <c r="I11" s="276">
        <v>9516</v>
      </c>
      <c r="J11" s="276">
        <v>35</v>
      </c>
      <c r="K11" s="276">
        <v>2840</v>
      </c>
      <c r="L11" s="276">
        <v>1032</v>
      </c>
      <c r="M11" s="266">
        <v>3.18</v>
      </c>
      <c r="N11" s="277">
        <v>5523</v>
      </c>
      <c r="O11" s="278">
        <f t="shared" si="0"/>
        <v>166645</v>
      </c>
      <c r="P11" s="279"/>
      <c r="Q11" s="279" t="s">
        <v>41</v>
      </c>
      <c r="R11" s="291">
        <f>汇总!J5*4.21</f>
        <v>24830.58</v>
      </c>
      <c r="S11" s="286"/>
      <c r="T11" s="56">
        <v>4.21</v>
      </c>
      <c r="U11" s="56"/>
      <c r="V11" s="56"/>
      <c r="W11" s="285"/>
    </row>
    <row r="12" ht="18.6" customHeight="1" spans="1:21">
      <c r="A12" s="6">
        <v>8</v>
      </c>
      <c r="B12" s="263">
        <v>17.7</v>
      </c>
      <c r="C12" s="264" t="s">
        <v>37</v>
      </c>
      <c r="D12" s="269">
        <v>147787</v>
      </c>
      <c r="E12" s="266">
        <v>207.24</v>
      </c>
      <c r="F12" s="267">
        <v>200</v>
      </c>
      <c r="G12" s="6">
        <v>4474</v>
      </c>
      <c r="H12" s="267">
        <v>47999.9999999927</v>
      </c>
      <c r="I12" s="276">
        <v>11316</v>
      </c>
      <c r="J12" s="276">
        <v>33</v>
      </c>
      <c r="K12" s="276">
        <v>3053</v>
      </c>
      <c r="L12" s="276">
        <v>1080</v>
      </c>
      <c r="M12" s="266">
        <v>3.32</v>
      </c>
      <c r="N12" s="277">
        <v>5420</v>
      </c>
      <c r="O12" s="278">
        <f t="shared" si="0"/>
        <v>142367</v>
      </c>
      <c r="P12" s="279"/>
      <c r="Q12" s="295"/>
      <c r="R12" s="296"/>
      <c r="S12" s="293"/>
      <c r="T12" s="293"/>
      <c r="U12" s="293"/>
    </row>
    <row r="13" ht="18.6" customHeight="1" spans="1:21">
      <c r="A13" s="6">
        <v>9</v>
      </c>
      <c r="B13" s="263">
        <v>17.3</v>
      </c>
      <c r="C13" s="264" t="s">
        <v>31</v>
      </c>
      <c r="D13" s="265">
        <v>202083</v>
      </c>
      <c r="E13" s="266">
        <v>193.76</v>
      </c>
      <c r="F13" s="267">
        <v>200</v>
      </c>
      <c r="G13" s="6">
        <v>5194</v>
      </c>
      <c r="H13" s="267">
        <v>53700.000000008</v>
      </c>
      <c r="I13" s="276">
        <v>12384</v>
      </c>
      <c r="J13" s="276">
        <v>31</v>
      </c>
      <c r="K13" s="276">
        <v>3195</v>
      </c>
      <c r="L13" s="276">
        <v>1104</v>
      </c>
      <c r="M13" s="266">
        <v>3.5</v>
      </c>
      <c r="N13" s="277">
        <v>5448</v>
      </c>
      <c r="O13" s="278">
        <f t="shared" si="0"/>
        <v>196635</v>
      </c>
      <c r="P13" s="279"/>
      <c r="Q13" s="279"/>
      <c r="R13" s="297">
        <f>R14/O37</f>
        <v>0.0853704883608534</v>
      </c>
      <c r="S13" s="56"/>
      <c r="T13" s="56"/>
      <c r="U13" s="293"/>
    </row>
    <row r="14" ht="18.6" customHeight="1" spans="1:21">
      <c r="A14" s="6">
        <v>10</v>
      </c>
      <c r="B14" s="263">
        <v>18.3</v>
      </c>
      <c r="C14" s="264" t="s">
        <v>33</v>
      </c>
      <c r="D14" s="265">
        <v>161004</v>
      </c>
      <c r="E14" s="266">
        <v>232.64</v>
      </c>
      <c r="F14" s="267">
        <v>225</v>
      </c>
      <c r="G14" s="6">
        <v>5072</v>
      </c>
      <c r="H14" s="267">
        <v>47700.0000000044</v>
      </c>
      <c r="I14" s="276">
        <v>12444</v>
      </c>
      <c r="J14" s="276">
        <v>31</v>
      </c>
      <c r="K14" s="276">
        <v>2982</v>
      </c>
      <c r="L14" s="276">
        <v>1056</v>
      </c>
      <c r="M14" s="266">
        <v>3.57</v>
      </c>
      <c r="N14" s="277">
        <v>5412</v>
      </c>
      <c r="O14" s="278">
        <f t="shared" si="0"/>
        <v>155592</v>
      </c>
      <c r="P14" s="279"/>
      <c r="Q14" s="298" t="s">
        <v>42</v>
      </c>
      <c r="R14" s="299">
        <f>R5+R6+R7+R8+R9</f>
        <v>461027.102</v>
      </c>
      <c r="S14" s="300" t="s">
        <v>43</v>
      </c>
      <c r="T14" s="301">
        <f>R6+R9</f>
        <v>86423.248</v>
      </c>
      <c r="U14" s="293"/>
    </row>
    <row r="15" ht="18.6" customHeight="1" spans="1:21">
      <c r="A15" s="6">
        <v>11</v>
      </c>
      <c r="B15" s="263">
        <v>17.6</v>
      </c>
      <c r="C15" s="264" t="s">
        <v>31</v>
      </c>
      <c r="D15" s="265">
        <v>178511</v>
      </c>
      <c r="E15" s="266">
        <v>230.48</v>
      </c>
      <c r="F15" s="267">
        <v>200</v>
      </c>
      <c r="G15" s="6">
        <v>5298</v>
      </c>
      <c r="H15" s="268">
        <v>50200.0000000044</v>
      </c>
      <c r="I15" s="276">
        <v>12456</v>
      </c>
      <c r="J15" s="276">
        <v>29</v>
      </c>
      <c r="K15" s="276">
        <v>3266</v>
      </c>
      <c r="L15" s="276">
        <v>1176</v>
      </c>
      <c r="M15" s="266">
        <v>2.73</v>
      </c>
      <c r="N15" s="277">
        <v>5500</v>
      </c>
      <c r="O15" s="278">
        <f t="shared" si="0"/>
        <v>173011</v>
      </c>
      <c r="P15" s="279"/>
      <c r="Q15" s="298" t="s">
        <v>44</v>
      </c>
      <c r="R15" s="302" t="s">
        <v>45</v>
      </c>
      <c r="S15" s="302" t="s">
        <v>46</v>
      </c>
      <c r="T15" s="303" t="s">
        <v>47</v>
      </c>
      <c r="U15" s="293"/>
    </row>
    <row r="16" ht="18.6" customHeight="1" spans="1:21">
      <c r="A16" s="6">
        <v>12</v>
      </c>
      <c r="B16" s="263">
        <v>17.5</v>
      </c>
      <c r="C16" s="264" t="s">
        <v>37</v>
      </c>
      <c r="D16" s="265">
        <v>176264</v>
      </c>
      <c r="E16" s="266">
        <v>255.14</v>
      </c>
      <c r="F16" s="267">
        <v>225</v>
      </c>
      <c r="G16" s="6">
        <v>5346</v>
      </c>
      <c r="H16" s="270">
        <v>50399.9999999905</v>
      </c>
      <c r="I16" s="276">
        <v>9936</v>
      </c>
      <c r="J16" s="276">
        <v>29</v>
      </c>
      <c r="K16" s="276">
        <v>1775</v>
      </c>
      <c r="L16" s="276">
        <v>552</v>
      </c>
      <c r="M16" s="266">
        <v>2.16</v>
      </c>
      <c r="N16" s="277">
        <v>5398</v>
      </c>
      <c r="O16" s="278">
        <f t="shared" si="0"/>
        <v>170866</v>
      </c>
      <c r="P16" s="279"/>
      <c r="Q16" s="304">
        <f>R16+S16+T16</f>
        <v>5908.04</v>
      </c>
      <c r="R16" s="301">
        <v>1610.48</v>
      </c>
      <c r="S16" s="301">
        <v>2836.5</v>
      </c>
      <c r="T16" s="300">
        <v>1461.06</v>
      </c>
      <c r="U16" s="293"/>
    </row>
    <row r="17" ht="18.6" customHeight="1" spans="1:21">
      <c r="A17" s="6">
        <v>13</v>
      </c>
      <c r="B17" s="263">
        <v>18.1</v>
      </c>
      <c r="C17" s="264" t="s">
        <v>33</v>
      </c>
      <c r="D17" s="265">
        <v>176634</v>
      </c>
      <c r="E17" s="266">
        <v>155.56</v>
      </c>
      <c r="F17" s="267">
        <v>200</v>
      </c>
      <c r="G17" s="6">
        <v>4534</v>
      </c>
      <c r="H17" s="270">
        <v>49099.9999999985</v>
      </c>
      <c r="I17" s="276">
        <v>9720</v>
      </c>
      <c r="J17" s="276">
        <v>29</v>
      </c>
      <c r="K17" s="276">
        <v>1775</v>
      </c>
      <c r="L17" s="276">
        <v>576</v>
      </c>
      <c r="M17" s="266">
        <v>3.45</v>
      </c>
      <c r="N17" s="277">
        <v>5421.92999999999</v>
      </c>
      <c r="O17" s="278">
        <f t="shared" si="0"/>
        <v>171212.07</v>
      </c>
      <c r="P17" s="279"/>
      <c r="Q17" s="298" t="s">
        <v>48</v>
      </c>
      <c r="R17" s="305">
        <v>22.8</v>
      </c>
      <c r="S17" s="305">
        <v>22.8</v>
      </c>
      <c r="T17" s="300"/>
      <c r="U17" s="293"/>
    </row>
    <row r="18" ht="18.6" customHeight="1" spans="1:21">
      <c r="A18" s="6">
        <v>14</v>
      </c>
      <c r="B18" s="263">
        <v>18.5</v>
      </c>
      <c r="C18" s="264" t="s">
        <v>33</v>
      </c>
      <c r="D18" s="265">
        <v>153905</v>
      </c>
      <c r="E18" s="266">
        <v>220.36</v>
      </c>
      <c r="F18" s="267">
        <v>250</v>
      </c>
      <c r="G18" s="6">
        <v>5022</v>
      </c>
      <c r="H18" s="270">
        <v>47500</v>
      </c>
      <c r="I18" s="276">
        <v>8820</v>
      </c>
      <c r="J18" s="276">
        <v>29</v>
      </c>
      <c r="K18" s="276">
        <v>2840</v>
      </c>
      <c r="L18" s="276">
        <v>1008</v>
      </c>
      <c r="M18" s="266">
        <v>2.91</v>
      </c>
      <c r="N18" s="277">
        <v>5498.07000000001</v>
      </c>
      <c r="O18" s="278">
        <f t="shared" si="0"/>
        <v>148406.93</v>
      </c>
      <c r="P18" s="279"/>
      <c r="Q18" s="304">
        <f>R18+S18</f>
        <v>101391.14</v>
      </c>
      <c r="R18" s="306">
        <f>ROUND(R16*R17,2)</f>
        <v>36718.94</v>
      </c>
      <c r="S18" s="303">
        <f>ROUND(S16*S17,2)</f>
        <v>64672.2</v>
      </c>
      <c r="T18" s="300"/>
      <c r="U18" s="293"/>
    </row>
    <row r="19" ht="18.6" customHeight="1" spans="1:21">
      <c r="A19" s="6">
        <v>15</v>
      </c>
      <c r="B19" s="263">
        <v>19.2</v>
      </c>
      <c r="C19" s="264" t="s">
        <v>33</v>
      </c>
      <c r="D19" s="265">
        <v>163744</v>
      </c>
      <c r="E19" s="266">
        <v>226.4</v>
      </c>
      <c r="F19" s="267">
        <v>250</v>
      </c>
      <c r="G19" s="6">
        <v>5170</v>
      </c>
      <c r="H19" s="270">
        <v>54799.9999999956</v>
      </c>
      <c r="I19" s="276">
        <v>8724</v>
      </c>
      <c r="J19" s="276">
        <v>28</v>
      </c>
      <c r="K19" s="276">
        <v>3479</v>
      </c>
      <c r="L19" s="276">
        <v>1200</v>
      </c>
      <c r="M19" s="266">
        <v>2.81</v>
      </c>
      <c r="N19" s="277">
        <v>5451</v>
      </c>
      <c r="O19" s="278">
        <f t="shared" si="0"/>
        <v>158293</v>
      </c>
      <c r="P19" s="279"/>
      <c r="Q19" s="298" t="s">
        <v>49</v>
      </c>
      <c r="R19" s="302"/>
      <c r="S19" s="305">
        <v>0</v>
      </c>
      <c r="T19" s="300"/>
      <c r="U19" s="293"/>
    </row>
    <row r="20" ht="18.6" customHeight="1" spans="1:21">
      <c r="A20" s="6">
        <v>16</v>
      </c>
      <c r="B20" s="263">
        <v>18.2</v>
      </c>
      <c r="C20" s="264" t="s">
        <v>37</v>
      </c>
      <c r="D20" s="265">
        <v>195385</v>
      </c>
      <c r="E20" s="266">
        <v>171.74</v>
      </c>
      <c r="F20" s="267">
        <v>225</v>
      </c>
      <c r="G20" s="6">
        <v>5170</v>
      </c>
      <c r="H20" s="270">
        <v>55200.0000000044</v>
      </c>
      <c r="I20" s="276">
        <v>7464</v>
      </c>
      <c r="J20" s="276">
        <v>20</v>
      </c>
      <c r="K20" s="276">
        <v>3550</v>
      </c>
      <c r="L20" s="276">
        <v>1272</v>
      </c>
      <c r="M20" s="266">
        <v>2.65</v>
      </c>
      <c r="N20" s="277">
        <v>5437</v>
      </c>
      <c r="O20" s="278">
        <f t="shared" si="0"/>
        <v>189948</v>
      </c>
      <c r="P20" s="279"/>
      <c r="Q20" s="304">
        <f>R20+S20</f>
        <v>0</v>
      </c>
      <c r="R20" s="302"/>
      <c r="S20" s="303">
        <f>ROUND(S16*S19,2)</f>
        <v>0</v>
      </c>
      <c r="T20" s="300"/>
      <c r="U20" s="293"/>
    </row>
    <row r="21" ht="18.6" customHeight="1" spans="1:21">
      <c r="A21" s="6">
        <v>17</v>
      </c>
      <c r="B21" s="263">
        <v>17.8</v>
      </c>
      <c r="C21" s="264" t="s">
        <v>37</v>
      </c>
      <c r="D21" s="265">
        <v>167940</v>
      </c>
      <c r="E21" s="266">
        <v>136</v>
      </c>
      <c r="F21" s="267">
        <v>225</v>
      </c>
      <c r="G21" s="6">
        <v>4194</v>
      </c>
      <c r="H21" s="270">
        <v>51900.0000000051</v>
      </c>
      <c r="I21" s="276">
        <v>10392</v>
      </c>
      <c r="J21" s="276">
        <v>36</v>
      </c>
      <c r="K21" s="276">
        <v>3053</v>
      </c>
      <c r="L21" s="276">
        <v>1080</v>
      </c>
      <c r="M21" s="266">
        <v>3.49</v>
      </c>
      <c r="N21" s="277">
        <v>5433</v>
      </c>
      <c r="O21" s="278">
        <f t="shared" si="0"/>
        <v>162507</v>
      </c>
      <c r="P21" s="279"/>
      <c r="Q21" s="298" t="s">
        <v>50</v>
      </c>
      <c r="R21" s="307" t="s">
        <v>51</v>
      </c>
      <c r="S21" s="287">
        <f>S17+S19</f>
        <v>22.8</v>
      </c>
      <c r="T21" s="56" t="s">
        <v>52</v>
      </c>
      <c r="U21" s="293"/>
    </row>
    <row r="22" ht="18.6" customHeight="1" spans="1:21">
      <c r="A22" s="6">
        <v>18</v>
      </c>
      <c r="B22" s="263">
        <v>19.5</v>
      </c>
      <c r="C22" s="264" t="s">
        <v>37</v>
      </c>
      <c r="D22" s="265">
        <v>174164</v>
      </c>
      <c r="E22" s="266">
        <v>214.8</v>
      </c>
      <c r="F22" s="267">
        <v>200</v>
      </c>
      <c r="G22" s="6">
        <v>5168</v>
      </c>
      <c r="H22" s="63">
        <v>52199.9999999935</v>
      </c>
      <c r="I22" s="276">
        <v>7596</v>
      </c>
      <c r="J22" s="276">
        <v>40</v>
      </c>
      <c r="K22" s="276">
        <v>2840</v>
      </c>
      <c r="L22" s="276">
        <v>1032</v>
      </c>
      <c r="M22" s="266">
        <v>2.86</v>
      </c>
      <c r="N22" s="277">
        <v>5443</v>
      </c>
      <c r="O22" s="278">
        <f t="shared" si="0"/>
        <v>168721</v>
      </c>
      <c r="P22" s="279"/>
      <c r="Q22" s="304">
        <f>Q18+Q20</f>
        <v>101391.14</v>
      </c>
      <c r="R22" s="307"/>
      <c r="S22" s="56"/>
      <c r="T22" s="308">
        <f>Q16-E37</f>
        <v>0</v>
      </c>
      <c r="U22" s="293"/>
    </row>
    <row r="23" ht="18.6" customHeight="1" spans="1:21">
      <c r="A23" s="6">
        <v>19</v>
      </c>
      <c r="B23" s="263">
        <v>19.8</v>
      </c>
      <c r="C23" s="264" t="s">
        <v>31</v>
      </c>
      <c r="D23" s="265">
        <v>212669</v>
      </c>
      <c r="E23" s="266">
        <v>230.14</v>
      </c>
      <c r="F23" s="267">
        <v>200</v>
      </c>
      <c r="G23" s="6">
        <v>5440</v>
      </c>
      <c r="H23" s="63">
        <v>51900.0000000051</v>
      </c>
      <c r="I23" s="276">
        <v>408</v>
      </c>
      <c r="J23" s="276">
        <v>3</v>
      </c>
      <c r="K23" s="276">
        <v>2130</v>
      </c>
      <c r="L23" s="276">
        <v>768</v>
      </c>
      <c r="M23" s="266">
        <v>3</v>
      </c>
      <c r="N23" s="277">
        <v>5440</v>
      </c>
      <c r="O23" s="278">
        <f t="shared" si="0"/>
        <v>207229</v>
      </c>
      <c r="P23" s="279"/>
      <c r="Q23" s="279"/>
      <c r="R23" s="309"/>
      <c r="S23" s="56"/>
      <c r="T23" s="56"/>
      <c r="U23" s="56"/>
    </row>
    <row r="24" ht="18.6" customHeight="1" spans="1:21">
      <c r="A24" s="6">
        <v>20</v>
      </c>
      <c r="B24" s="263">
        <v>18.5</v>
      </c>
      <c r="C24" s="264" t="s">
        <v>37</v>
      </c>
      <c r="D24" s="265">
        <v>211683</v>
      </c>
      <c r="E24" s="266">
        <v>259.42</v>
      </c>
      <c r="F24" s="267">
        <v>200</v>
      </c>
      <c r="G24" s="6">
        <v>4676</v>
      </c>
      <c r="H24" s="63">
        <v>50000</v>
      </c>
      <c r="I24" s="276">
        <v>312</v>
      </c>
      <c r="J24" s="276">
        <v>2</v>
      </c>
      <c r="K24" s="276">
        <v>2272</v>
      </c>
      <c r="L24" s="276">
        <v>840</v>
      </c>
      <c r="M24" s="266">
        <v>3.16</v>
      </c>
      <c r="N24" s="277">
        <v>5424</v>
      </c>
      <c r="O24" s="278">
        <f t="shared" si="0"/>
        <v>206259</v>
      </c>
      <c r="P24" s="279"/>
      <c r="Q24" s="279" t="s">
        <v>53</v>
      </c>
      <c r="R24" s="309" t="s">
        <v>54</v>
      </c>
      <c r="S24" s="310">
        <f>F37</f>
        <v>5950</v>
      </c>
      <c r="T24" s="56">
        <f>J37</f>
        <v>812</v>
      </c>
      <c r="U24" s="56"/>
    </row>
    <row r="25" ht="18.6" customHeight="1" spans="1:21">
      <c r="A25" s="6">
        <v>21</v>
      </c>
      <c r="B25" s="263">
        <v>18.7</v>
      </c>
      <c r="C25" s="264" t="s">
        <v>37</v>
      </c>
      <c r="D25" s="265">
        <v>206551</v>
      </c>
      <c r="E25" s="266">
        <v>232.94</v>
      </c>
      <c r="F25" s="267">
        <v>125</v>
      </c>
      <c r="G25" s="6">
        <v>4070</v>
      </c>
      <c r="H25" s="270">
        <v>60599.9999999949</v>
      </c>
      <c r="I25" s="276">
        <v>7056</v>
      </c>
      <c r="J25" s="276">
        <v>39</v>
      </c>
      <c r="K25" s="276">
        <v>2840</v>
      </c>
      <c r="L25" s="276">
        <v>1080</v>
      </c>
      <c r="M25" s="266">
        <v>3.03</v>
      </c>
      <c r="N25" s="277">
        <v>5488</v>
      </c>
      <c r="O25" s="278">
        <f t="shared" si="0"/>
        <v>201063</v>
      </c>
      <c r="P25" s="279"/>
      <c r="Q25" s="279"/>
      <c r="R25" s="309" t="s">
        <v>55</v>
      </c>
      <c r="S25" s="286">
        <f>汇总!F6</f>
        <v>4.54263503010112</v>
      </c>
      <c r="T25" s="286">
        <f>T24/O37*1000</f>
        <v>0.15036173849279</v>
      </c>
      <c r="U25" s="56"/>
    </row>
    <row r="26" ht="18.6" customHeight="1" spans="1:21">
      <c r="A26" s="6">
        <v>22</v>
      </c>
      <c r="B26" s="263">
        <v>18.6</v>
      </c>
      <c r="C26" s="264" t="s">
        <v>33</v>
      </c>
      <c r="D26" s="265">
        <v>206092</v>
      </c>
      <c r="E26" s="266">
        <v>90.52</v>
      </c>
      <c r="F26" s="267">
        <v>100</v>
      </c>
      <c r="G26" s="6">
        <v>4242</v>
      </c>
      <c r="H26" s="63">
        <v>57100.0000000095</v>
      </c>
      <c r="I26" s="276">
        <v>6372</v>
      </c>
      <c r="J26" s="276">
        <v>37</v>
      </c>
      <c r="K26" s="276">
        <v>3763</v>
      </c>
      <c r="L26" s="276">
        <v>1320</v>
      </c>
      <c r="M26" s="266">
        <v>3.2</v>
      </c>
      <c r="N26" s="277">
        <v>5462</v>
      </c>
      <c r="O26" s="278">
        <f t="shared" si="0"/>
        <v>200630</v>
      </c>
      <c r="P26" s="279"/>
      <c r="Q26" s="279" t="s">
        <v>10</v>
      </c>
      <c r="R26" s="309" t="s">
        <v>54</v>
      </c>
      <c r="S26" s="310">
        <f>I37</f>
        <v>224076</v>
      </c>
      <c r="T26" s="56"/>
      <c r="U26" s="56"/>
    </row>
    <row r="27" ht="18.6" customHeight="1" spans="1:21">
      <c r="A27" s="6">
        <v>23</v>
      </c>
      <c r="B27" s="263">
        <v>18.9</v>
      </c>
      <c r="C27" s="264" t="s">
        <v>33</v>
      </c>
      <c r="D27" s="265">
        <v>168192</v>
      </c>
      <c r="E27" s="266">
        <v>120</v>
      </c>
      <c r="F27" s="267">
        <v>200</v>
      </c>
      <c r="G27" s="6">
        <v>4384</v>
      </c>
      <c r="H27" s="63">
        <v>53199.9999999971</v>
      </c>
      <c r="I27" s="276">
        <v>5964</v>
      </c>
      <c r="J27" s="276">
        <v>37</v>
      </c>
      <c r="K27" s="276">
        <v>3834</v>
      </c>
      <c r="L27" s="276">
        <v>1344</v>
      </c>
      <c r="M27" s="266">
        <v>1.99</v>
      </c>
      <c r="N27" s="277">
        <v>5362</v>
      </c>
      <c r="O27" s="278">
        <f t="shared" si="0"/>
        <v>162830</v>
      </c>
      <c r="P27" s="279"/>
      <c r="Q27" s="279"/>
      <c r="R27" s="309" t="s">
        <v>56</v>
      </c>
      <c r="S27" s="308">
        <f>ROUND(I37/O37*1000,1)</f>
        <v>41.5</v>
      </c>
      <c r="T27" s="56"/>
      <c r="U27" s="56"/>
    </row>
    <row r="28" ht="18.6" customHeight="1" spans="1:21">
      <c r="A28" s="6">
        <v>24</v>
      </c>
      <c r="B28" s="263">
        <v>18.8</v>
      </c>
      <c r="C28" s="264" t="s">
        <v>33</v>
      </c>
      <c r="D28" s="265">
        <v>176211</v>
      </c>
      <c r="E28" s="266">
        <v>178.86</v>
      </c>
      <c r="F28" s="267">
        <v>200</v>
      </c>
      <c r="G28" s="6">
        <v>4826</v>
      </c>
      <c r="H28" s="63">
        <v>53500.0000000036</v>
      </c>
      <c r="I28" s="276">
        <v>2268</v>
      </c>
      <c r="J28" s="276">
        <v>14</v>
      </c>
      <c r="K28" s="276">
        <v>2982</v>
      </c>
      <c r="L28" s="276">
        <v>1080</v>
      </c>
      <c r="M28" s="266">
        <v>3.07</v>
      </c>
      <c r="N28" s="277">
        <v>5425</v>
      </c>
      <c r="O28" s="278">
        <f t="shared" si="0"/>
        <v>170786</v>
      </c>
      <c r="P28" s="279"/>
      <c r="Q28" s="279" t="s">
        <v>12</v>
      </c>
      <c r="R28" s="309" t="s">
        <v>54</v>
      </c>
      <c r="S28" s="310">
        <f>K37</f>
        <v>89673</v>
      </c>
      <c r="T28" s="56"/>
      <c r="U28" s="56"/>
    </row>
    <row r="29" ht="18.6" customHeight="1" spans="1:21">
      <c r="A29" s="6">
        <v>25</v>
      </c>
      <c r="B29" s="263">
        <v>21.6</v>
      </c>
      <c r="C29" s="264" t="s">
        <v>33</v>
      </c>
      <c r="D29" s="265">
        <v>161566</v>
      </c>
      <c r="E29" s="266">
        <v>220</v>
      </c>
      <c r="F29" s="267">
        <v>125</v>
      </c>
      <c r="G29" s="6">
        <v>4542</v>
      </c>
      <c r="H29" s="63">
        <v>51800.0000000029</v>
      </c>
      <c r="I29" s="276">
        <v>0</v>
      </c>
      <c r="J29" s="276">
        <v>0</v>
      </c>
      <c r="K29" s="276">
        <v>2698</v>
      </c>
      <c r="L29" s="276">
        <v>960</v>
      </c>
      <c r="M29" s="266">
        <v>3.06</v>
      </c>
      <c r="N29" s="277">
        <v>5541</v>
      </c>
      <c r="O29" s="278">
        <f t="shared" si="0"/>
        <v>156025</v>
      </c>
      <c r="P29" s="279"/>
      <c r="Q29" s="279"/>
      <c r="R29" s="309" t="s">
        <v>56</v>
      </c>
      <c r="S29" s="311">
        <f>ROUND(K37/O37*1000,1)</f>
        <v>16.6</v>
      </c>
      <c r="T29" s="56"/>
      <c r="U29" s="56"/>
    </row>
    <row r="30" ht="18.6" customHeight="1" spans="1:21">
      <c r="A30" s="6">
        <v>26</v>
      </c>
      <c r="B30" s="263">
        <v>20.6</v>
      </c>
      <c r="C30" s="264" t="s">
        <v>33</v>
      </c>
      <c r="D30" s="265">
        <v>166478</v>
      </c>
      <c r="E30" s="266">
        <v>111.64</v>
      </c>
      <c r="F30" s="267">
        <v>225</v>
      </c>
      <c r="G30" s="6">
        <v>4852</v>
      </c>
      <c r="H30" s="63">
        <v>49299.9999999847</v>
      </c>
      <c r="I30" s="276">
        <v>0</v>
      </c>
      <c r="J30" s="276">
        <v>0</v>
      </c>
      <c r="K30" s="276">
        <v>2130</v>
      </c>
      <c r="L30" s="276">
        <v>768</v>
      </c>
      <c r="M30" s="266">
        <v>2.7</v>
      </c>
      <c r="N30" s="277">
        <v>5389</v>
      </c>
      <c r="O30" s="278">
        <f t="shared" si="0"/>
        <v>161089</v>
      </c>
      <c r="P30" s="279"/>
      <c r="Q30" s="279" t="s">
        <v>13</v>
      </c>
      <c r="R30" s="309" t="s">
        <v>54</v>
      </c>
      <c r="S30" s="310">
        <f>处理量!L37</f>
        <v>31920</v>
      </c>
      <c r="T30" s="56"/>
      <c r="U30" s="56"/>
    </row>
    <row r="31" ht="18.6" customHeight="1" spans="1:21">
      <c r="A31" s="6">
        <v>27</v>
      </c>
      <c r="B31" s="263">
        <v>19.7</v>
      </c>
      <c r="C31" s="264" t="s">
        <v>31</v>
      </c>
      <c r="D31" s="265">
        <v>164693</v>
      </c>
      <c r="E31" s="266">
        <v>228.22</v>
      </c>
      <c r="F31" s="267">
        <v>225</v>
      </c>
      <c r="G31" s="6">
        <v>4790</v>
      </c>
      <c r="H31" s="63">
        <v>52200.0000000116</v>
      </c>
      <c r="I31" s="276">
        <v>0</v>
      </c>
      <c r="J31" s="276">
        <v>0</v>
      </c>
      <c r="K31" s="276">
        <v>1846</v>
      </c>
      <c r="L31" s="276">
        <v>672</v>
      </c>
      <c r="M31" s="266">
        <v>2.29</v>
      </c>
      <c r="N31" s="277">
        <v>5619</v>
      </c>
      <c r="O31" s="278">
        <f t="shared" si="0"/>
        <v>159074</v>
      </c>
      <c r="P31" s="279"/>
      <c r="Q31" s="279"/>
      <c r="R31" s="309" t="s">
        <v>56</v>
      </c>
      <c r="S31" s="308">
        <f>ROUND(L37/O37*1000,2)</f>
        <v>5.91</v>
      </c>
      <c r="T31" s="56"/>
      <c r="U31" s="56"/>
    </row>
    <row r="32" ht="18.6" customHeight="1" spans="1:21">
      <c r="A32" s="6">
        <v>28</v>
      </c>
      <c r="B32" s="263">
        <v>20.6</v>
      </c>
      <c r="C32" s="264" t="s">
        <v>33</v>
      </c>
      <c r="D32" s="265">
        <v>169776</v>
      </c>
      <c r="E32" s="266">
        <v>203.62</v>
      </c>
      <c r="F32" s="267">
        <v>250</v>
      </c>
      <c r="G32" s="6">
        <v>4788</v>
      </c>
      <c r="H32" s="63">
        <v>53400.0000000015</v>
      </c>
      <c r="I32" s="276">
        <v>5364</v>
      </c>
      <c r="J32" s="276">
        <v>26</v>
      </c>
      <c r="K32" s="276">
        <v>3195</v>
      </c>
      <c r="L32" s="276">
        <v>1128</v>
      </c>
      <c r="M32" s="266">
        <v>2.44</v>
      </c>
      <c r="N32" s="277">
        <v>5507</v>
      </c>
      <c r="O32" s="278">
        <f t="shared" si="0"/>
        <v>164269</v>
      </c>
      <c r="P32" s="279"/>
      <c r="Q32" s="279" t="s">
        <v>14</v>
      </c>
      <c r="R32" s="309" t="s">
        <v>57</v>
      </c>
      <c r="S32" s="56">
        <f>M37</f>
        <v>91.62</v>
      </c>
      <c r="T32" s="56"/>
      <c r="U32" s="56"/>
    </row>
    <row r="33" ht="18.6" customHeight="1" spans="1:21">
      <c r="A33" s="6">
        <v>29</v>
      </c>
      <c r="B33" s="263">
        <v>20.9</v>
      </c>
      <c r="C33" s="264" t="s">
        <v>33</v>
      </c>
      <c r="D33" s="265">
        <v>170885</v>
      </c>
      <c r="E33" s="266">
        <v>121.6</v>
      </c>
      <c r="F33" s="267">
        <v>150</v>
      </c>
      <c r="G33" s="6">
        <v>4782</v>
      </c>
      <c r="H33" s="63">
        <v>52600.0000000022</v>
      </c>
      <c r="I33" s="276">
        <v>7392</v>
      </c>
      <c r="J33" s="276">
        <v>35</v>
      </c>
      <c r="K33" s="276">
        <v>3053</v>
      </c>
      <c r="L33" s="276">
        <v>1104</v>
      </c>
      <c r="M33" s="266">
        <v>2.7</v>
      </c>
      <c r="N33" s="277">
        <v>5515</v>
      </c>
      <c r="O33" s="278">
        <f t="shared" si="0"/>
        <v>165370</v>
      </c>
      <c r="P33" s="279"/>
      <c r="Q33" s="279"/>
      <c r="R33" s="309" t="s">
        <v>56</v>
      </c>
      <c r="S33" s="308">
        <f>ROUND(S32/O37*1000000,2)</f>
        <v>16.97</v>
      </c>
      <c r="T33" s="56"/>
      <c r="U33" s="56"/>
    </row>
    <row r="34" ht="18.6" customHeight="1" spans="1:21">
      <c r="A34" s="6">
        <v>30</v>
      </c>
      <c r="B34" s="263">
        <v>21.6</v>
      </c>
      <c r="C34" s="264" t="s">
        <v>33</v>
      </c>
      <c r="D34" s="265">
        <v>172293</v>
      </c>
      <c r="E34" s="266">
        <v>125.88</v>
      </c>
      <c r="F34" s="267">
        <v>100</v>
      </c>
      <c r="G34" s="6">
        <v>3712</v>
      </c>
      <c r="H34" s="63">
        <v>51399.9999999942</v>
      </c>
      <c r="I34" s="276">
        <v>8640</v>
      </c>
      <c r="J34" s="276">
        <v>36</v>
      </c>
      <c r="K34" s="276">
        <v>4047</v>
      </c>
      <c r="L34" s="276">
        <v>1416</v>
      </c>
      <c r="M34" s="266">
        <v>2.61</v>
      </c>
      <c r="N34" s="277">
        <v>5495</v>
      </c>
      <c r="O34" s="278">
        <f t="shared" si="0"/>
        <v>166798</v>
      </c>
      <c r="P34" s="279"/>
      <c r="Q34" s="279"/>
      <c r="R34" s="309"/>
      <c r="S34" s="56"/>
      <c r="T34" s="56"/>
      <c r="U34" s="56"/>
    </row>
    <row r="35" ht="18.6" customHeight="1" spans="1:21">
      <c r="A35" s="6">
        <v>31</v>
      </c>
      <c r="B35" s="263">
        <v>19.6</v>
      </c>
      <c r="C35" s="264" t="s">
        <v>37</v>
      </c>
      <c r="D35" s="265">
        <v>181679</v>
      </c>
      <c r="E35" s="266">
        <v>120</v>
      </c>
      <c r="F35" s="269">
        <v>100</v>
      </c>
      <c r="G35" s="6">
        <v>4710</v>
      </c>
      <c r="H35" s="63">
        <v>52500</v>
      </c>
      <c r="I35" s="276">
        <v>8424</v>
      </c>
      <c r="J35" s="276">
        <v>36</v>
      </c>
      <c r="K35" s="276">
        <v>2130</v>
      </c>
      <c r="L35" s="276">
        <v>792</v>
      </c>
      <c r="M35" s="266">
        <v>3.11</v>
      </c>
      <c r="N35" s="277">
        <v>5500</v>
      </c>
      <c r="O35" s="278">
        <f t="shared" si="0"/>
        <v>176179</v>
      </c>
      <c r="P35" s="279"/>
      <c r="Q35" s="279"/>
      <c r="R35" s="309"/>
      <c r="S35" s="56"/>
      <c r="T35" s="56"/>
      <c r="U35" s="56"/>
    </row>
    <row r="36" ht="26.1" customHeight="1" spans="1:17">
      <c r="A36" s="6" t="s">
        <v>58</v>
      </c>
      <c r="B36" s="60">
        <f>AVERAGE(B5:B35)</f>
        <v>18.6451612903226</v>
      </c>
      <c r="C36" s="8" t="s">
        <v>59</v>
      </c>
      <c r="D36" s="271">
        <f>AVERAGE(D5:D35)</f>
        <v>179581.35483871</v>
      </c>
      <c r="E36" s="172">
        <f>AVERAGE(E5:E35)</f>
        <v>190.581935483871</v>
      </c>
      <c r="F36" s="271">
        <f t="shared" ref="F36:N36" si="1">AVERAGE(F5:F35)</f>
        <v>191.935483870968</v>
      </c>
      <c r="G36" s="271">
        <f t="shared" si="1"/>
        <v>4746.25806451613</v>
      </c>
      <c r="H36" s="271">
        <f t="shared" si="1"/>
        <v>52209.677419355</v>
      </c>
      <c r="I36" s="271">
        <f t="shared" si="1"/>
        <v>7228.25806451613</v>
      </c>
      <c r="J36" s="271">
        <f t="shared" si="1"/>
        <v>26.1935483870968</v>
      </c>
      <c r="K36" s="271">
        <f t="shared" si="1"/>
        <v>2892.67741935484</v>
      </c>
      <c r="L36" s="271">
        <f t="shared" si="1"/>
        <v>1029.67741935484</v>
      </c>
      <c r="M36" s="172">
        <f t="shared" si="1"/>
        <v>2.95548387096774</v>
      </c>
      <c r="N36" s="271">
        <f t="shared" si="1"/>
        <v>5377.8064516129</v>
      </c>
      <c r="O36" s="280">
        <f t="shared" si="0"/>
        <v>174203.548387097</v>
      </c>
      <c r="P36" s="281"/>
      <c r="Q36" s="312"/>
    </row>
    <row r="37" ht="26.1" customHeight="1" spans="1:17">
      <c r="A37" s="6" t="s">
        <v>60</v>
      </c>
      <c r="B37" s="6" t="s">
        <v>59</v>
      </c>
      <c r="C37" s="6" t="s">
        <v>59</v>
      </c>
      <c r="D37" s="272">
        <f>SUM(D5:D35)</f>
        <v>5567022</v>
      </c>
      <c r="E37" s="273">
        <f>SUM(E5:E35)</f>
        <v>5908.04</v>
      </c>
      <c r="F37" s="272">
        <f>SUM(F5:F35)</f>
        <v>5950</v>
      </c>
      <c r="G37" s="6" t="s">
        <v>59</v>
      </c>
      <c r="H37" s="271">
        <f t="shared" ref="H37:O37" si="2">SUM(H5:H35)</f>
        <v>1618500</v>
      </c>
      <c r="I37" s="271">
        <f t="shared" si="2"/>
        <v>224076</v>
      </c>
      <c r="J37" s="271">
        <f t="shared" si="2"/>
        <v>812</v>
      </c>
      <c r="K37" s="271">
        <f t="shared" si="2"/>
        <v>89673</v>
      </c>
      <c r="L37" s="271">
        <f t="shared" si="2"/>
        <v>31920</v>
      </c>
      <c r="M37" s="172">
        <f t="shared" si="2"/>
        <v>91.62</v>
      </c>
      <c r="N37" s="271">
        <f t="shared" si="2"/>
        <v>166712</v>
      </c>
      <c r="O37" s="271">
        <f t="shared" si="2"/>
        <v>5400310</v>
      </c>
      <c r="P37" s="282"/>
      <c r="Q37" s="313"/>
    </row>
    <row r="38" ht="18.6" customHeight="1" spans="1:15">
      <c r="A38" s="274" t="s">
        <v>61</v>
      </c>
      <c r="B38" s="274"/>
      <c r="C38" s="274"/>
      <c r="D38" s="274"/>
      <c r="G38" s="275" t="s">
        <v>62</v>
      </c>
      <c r="N38" s="283" t="s">
        <v>63</v>
      </c>
      <c r="O38" s="284">
        <v>44291</v>
      </c>
    </row>
    <row r="39" ht="18.6" customHeight="1" spans="11:11">
      <c r="K39" s="254">
        <f>K37*0.31</f>
        <v>27798.63</v>
      </c>
    </row>
    <row r="40" spans="5:15">
      <c r="E40" s="254"/>
      <c r="F40" s="254"/>
      <c r="N40" s="254" t="s">
        <v>64</v>
      </c>
      <c r="O40" s="254">
        <f>MAX(O5:O35)</f>
        <v>207229</v>
      </c>
    </row>
    <row r="41" spans="5:15">
      <c r="E41" s="254"/>
      <c r="F41" s="254"/>
      <c r="N41" s="254" t="s">
        <v>65</v>
      </c>
      <c r="O41" s="254">
        <f>MIN(O5:O35)</f>
        <v>117541</v>
      </c>
    </row>
  </sheetData>
  <mergeCells count="8">
    <mergeCell ref="A1:O1"/>
    <mergeCell ref="A2:O2"/>
    <mergeCell ref="A38:D38"/>
    <mergeCell ref="A3:A4"/>
    <mergeCell ref="D3:D4"/>
    <mergeCell ref="J3:J4"/>
    <mergeCell ref="N3:N4"/>
    <mergeCell ref="O3:O4"/>
  </mergeCells>
  <printOptions horizontalCentered="1" verticalCentered="1"/>
  <pageMargins left="0" right="0" top="0.47" bottom="0.59" header="0.51" footer="0.51"/>
  <pageSetup paperSize="9" scale="98" orientation="portrait" horizontalDpi="6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4"/>
  <sheetViews>
    <sheetView tabSelected="1" workbookViewId="0">
      <selection activeCell="C15" sqref="C15:D15"/>
    </sheetView>
  </sheetViews>
  <sheetFormatPr defaultColWidth="8.75" defaultRowHeight="14.25"/>
  <cols>
    <col min="1" max="1" width="4" style="26" customWidth="1"/>
    <col min="2" max="2" width="12.125" style="26" customWidth="1"/>
    <col min="3" max="3" width="9.625" style="26" customWidth="1"/>
    <col min="4" max="4" width="5.125" style="26" customWidth="1"/>
    <col min="5" max="5" width="14.5" style="26" customWidth="1"/>
    <col min="6" max="6" width="11.375" style="97" customWidth="1"/>
    <col min="7" max="7" width="5.75" style="26" customWidth="1"/>
    <col min="8" max="8" width="9" style="26"/>
    <col min="9" max="9" width="7.625" style="26" customWidth="1"/>
    <col min="10" max="11" width="8.75" style="26" customWidth="1"/>
    <col min="12" max="12" width="15.25" style="26" customWidth="1"/>
    <col min="13" max="13" width="8.125" style="26" customWidth="1"/>
    <col min="14" max="14" width="3.5" style="26" customWidth="1"/>
    <col min="15" max="29" width="9" style="26"/>
    <col min="30" max="16384" width="8.75" style="26"/>
  </cols>
  <sheetData>
    <row r="1" ht="18.75" spans="1:13">
      <c r="A1" s="200" t="s">
        <v>66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</row>
    <row r="2" s="196" customFormat="1" ht="20.1" customHeight="1" spans="1:13">
      <c r="A2" s="201">
        <v>44256</v>
      </c>
      <c r="B2" s="201"/>
      <c r="C2" s="201"/>
      <c r="D2" s="201"/>
      <c r="E2" s="201"/>
      <c r="F2" s="201"/>
      <c r="G2" s="201"/>
      <c r="H2" s="201"/>
      <c r="I2" s="201"/>
      <c r="J2" s="201"/>
      <c r="K2" s="201"/>
      <c r="L2" s="201"/>
      <c r="M2" s="201"/>
    </row>
    <row r="3" s="196" customFormat="1" ht="24" customHeight="1" spans="1:18">
      <c r="A3" s="202" t="s">
        <v>67</v>
      </c>
      <c r="B3" s="203" t="s">
        <v>68</v>
      </c>
      <c r="C3" s="204">
        <f>处理量!O37</f>
        <v>5400310</v>
      </c>
      <c r="D3" s="205" t="s">
        <v>69</v>
      </c>
      <c r="E3" s="203" t="s">
        <v>70</v>
      </c>
      <c r="F3" s="206">
        <f>处理量!E37</f>
        <v>5908.04</v>
      </c>
      <c r="G3" s="202" t="s">
        <v>71</v>
      </c>
      <c r="H3" s="203" t="s">
        <v>72</v>
      </c>
      <c r="I3" s="203"/>
      <c r="J3" s="36">
        <f>处理量!H37</f>
        <v>1618500</v>
      </c>
      <c r="K3" s="205" t="s">
        <v>73</v>
      </c>
      <c r="L3" s="203" t="s">
        <v>74</v>
      </c>
      <c r="M3" s="240">
        <f>J3/C3</f>
        <v>0.299705016934214</v>
      </c>
      <c r="P3" s="196" t="s">
        <v>75</v>
      </c>
      <c r="Q3" s="196">
        <v>1862.3</v>
      </c>
      <c r="R3" s="196">
        <f>J5-Q3</f>
        <v>4035.7</v>
      </c>
    </row>
    <row r="4" s="196" customFormat="1" ht="24" customHeight="1" spans="1:17">
      <c r="A4" s="202"/>
      <c r="B4" s="203" t="s">
        <v>76</v>
      </c>
      <c r="C4" s="207">
        <f>处理量!O36</f>
        <v>174203.548387097</v>
      </c>
      <c r="D4" s="208"/>
      <c r="E4" s="203" t="s">
        <v>77</v>
      </c>
      <c r="F4" s="209">
        <f>处理量!F37</f>
        <v>5950</v>
      </c>
      <c r="G4" s="202"/>
      <c r="H4" s="203" t="s">
        <v>78</v>
      </c>
      <c r="I4" s="203"/>
      <c r="J4" s="209">
        <f>J3/M15</f>
        <v>52209.677419355</v>
      </c>
      <c r="K4" s="208"/>
      <c r="L4" s="203" t="s">
        <v>79</v>
      </c>
      <c r="M4" s="241">
        <f>J3/I12</f>
        <v>1.64311961038494</v>
      </c>
      <c r="P4" s="196" t="s">
        <v>80</v>
      </c>
      <c r="Q4" s="196">
        <v>42248</v>
      </c>
    </row>
    <row r="5" s="196" customFormat="1" ht="24" customHeight="1" spans="1:13">
      <c r="A5" s="202"/>
      <c r="B5" s="203"/>
      <c r="C5" s="210"/>
      <c r="D5" s="208"/>
      <c r="E5" s="203" t="s">
        <v>81</v>
      </c>
      <c r="F5" s="211">
        <f>进出水!T38</f>
        <v>77.83</v>
      </c>
      <c r="G5" s="202"/>
      <c r="H5" s="203" t="s">
        <v>82</v>
      </c>
      <c r="I5" s="203"/>
      <c r="J5" s="36">
        <v>5898</v>
      </c>
      <c r="K5" s="208"/>
      <c r="L5" s="203"/>
      <c r="M5" s="242"/>
    </row>
    <row r="6" s="196" customFormat="1" ht="24" customHeight="1" spans="1:13">
      <c r="A6" s="202"/>
      <c r="B6" s="203" t="s">
        <v>83</v>
      </c>
      <c r="C6" s="212">
        <f>处理量!O40</f>
        <v>207229</v>
      </c>
      <c r="D6" s="208"/>
      <c r="E6" s="202" t="s">
        <v>84</v>
      </c>
      <c r="F6" s="206">
        <f>F4/(F3*(100-F5)/100)</f>
        <v>4.54263503010112</v>
      </c>
      <c r="G6" s="205" t="s">
        <v>85</v>
      </c>
      <c r="H6" s="203" t="s">
        <v>86</v>
      </c>
      <c r="I6" s="203"/>
      <c r="J6" s="215">
        <f>处理量!K37/1000</f>
        <v>89.673</v>
      </c>
      <c r="K6" s="208"/>
      <c r="L6" s="203" t="s">
        <v>87</v>
      </c>
      <c r="M6" s="215">
        <f>J3/I13</f>
        <v>2.82740582013409</v>
      </c>
    </row>
    <row r="7" s="196" customFormat="1" ht="24" customHeight="1" spans="1:13">
      <c r="A7" s="202"/>
      <c r="B7" s="203" t="s">
        <v>88</v>
      </c>
      <c r="C7" s="36">
        <f>处理量!O41</f>
        <v>117541</v>
      </c>
      <c r="D7" s="213"/>
      <c r="E7" s="202" t="s">
        <v>89</v>
      </c>
      <c r="F7" s="214">
        <f>F3*(100-F5)/100*1000/(C3/1000)</f>
        <v>242.543940625631</v>
      </c>
      <c r="G7" s="208"/>
      <c r="H7" s="203" t="s">
        <v>90</v>
      </c>
      <c r="I7" s="203"/>
      <c r="J7" s="229">
        <f>J6*1000/(C3/1000)</f>
        <v>16.6051578520492</v>
      </c>
      <c r="K7" s="208"/>
      <c r="L7" s="243" t="s">
        <v>91</v>
      </c>
      <c r="M7" s="215">
        <f>J3/I14</f>
        <v>2.29009717226418</v>
      </c>
    </row>
    <row r="8" s="196" customFormat="1" ht="24" customHeight="1" spans="1:13">
      <c r="A8" s="202"/>
      <c r="B8" s="203" t="s">
        <v>92</v>
      </c>
      <c r="C8" s="215">
        <f>C4/200000*100</f>
        <v>87.1017741935484</v>
      </c>
      <c r="D8" s="202" t="s">
        <v>93</v>
      </c>
      <c r="E8" s="203" t="s">
        <v>94</v>
      </c>
      <c r="F8" s="215">
        <f>处理量!I37/1000</f>
        <v>224.076</v>
      </c>
      <c r="G8" s="208"/>
      <c r="H8" s="203" t="s">
        <v>95</v>
      </c>
      <c r="I8" s="203"/>
      <c r="J8" s="215">
        <f>处理量!L37/1000</f>
        <v>31.92</v>
      </c>
      <c r="K8" s="244" t="s">
        <v>96</v>
      </c>
      <c r="L8" s="224" t="s">
        <v>97</v>
      </c>
      <c r="M8" s="245">
        <f>处理量!M37</f>
        <v>91.62</v>
      </c>
    </row>
    <row r="9" s="196" customFormat="1" ht="24" customHeight="1" spans="1:13">
      <c r="A9" s="202"/>
      <c r="B9" s="216" t="s">
        <v>98</v>
      </c>
      <c r="C9" s="217">
        <f>处理量!B36</f>
        <v>18.6451612903226</v>
      </c>
      <c r="D9" s="202"/>
      <c r="E9" s="203" t="s">
        <v>90</v>
      </c>
      <c r="F9" s="215">
        <f>F8*1000/(C3/1000)</f>
        <v>41.4931735400375</v>
      </c>
      <c r="G9" s="213"/>
      <c r="H9" s="203" t="s">
        <v>90</v>
      </c>
      <c r="I9" s="203"/>
      <c r="J9" s="206">
        <f>J8*1000/(C3/1000)</f>
        <v>5.91077178902693</v>
      </c>
      <c r="K9" s="221"/>
      <c r="L9" s="36" t="s">
        <v>90</v>
      </c>
      <c r="M9" s="245">
        <f>M8*1000000/C3</f>
        <v>16.9656927102333</v>
      </c>
    </row>
    <row r="10" s="196" customFormat="1" ht="24" customHeight="1" spans="1:13">
      <c r="A10" s="202" t="s">
        <v>99</v>
      </c>
      <c r="B10" s="218" t="s">
        <v>100</v>
      </c>
      <c r="C10" s="219" t="s">
        <v>101</v>
      </c>
      <c r="D10" s="220"/>
      <c r="E10" s="219" t="s">
        <v>102</v>
      </c>
      <c r="F10" s="220"/>
      <c r="G10" s="219" t="s">
        <v>103</v>
      </c>
      <c r="H10" s="220"/>
      <c r="I10" s="219" t="s">
        <v>104</v>
      </c>
      <c r="J10" s="220"/>
      <c r="K10" s="205" t="s">
        <v>105</v>
      </c>
      <c r="L10" s="224" t="s">
        <v>97</v>
      </c>
      <c r="M10" s="36">
        <v>0</v>
      </c>
    </row>
    <row r="11" s="196" customFormat="1" ht="24" customHeight="1" spans="1:13">
      <c r="A11" s="202"/>
      <c r="B11" s="221"/>
      <c r="C11" s="222"/>
      <c r="D11" s="223"/>
      <c r="E11" s="222"/>
      <c r="F11" s="223"/>
      <c r="G11" s="222"/>
      <c r="H11" s="223"/>
      <c r="I11" s="222"/>
      <c r="J11" s="223"/>
      <c r="K11" s="213"/>
      <c r="L11" s="36" t="s">
        <v>90</v>
      </c>
      <c r="M11" s="36">
        <v>0</v>
      </c>
    </row>
    <row r="12" s="196" customFormat="1" ht="24" customHeight="1" spans="1:19">
      <c r="A12" s="202"/>
      <c r="B12" s="224" t="s">
        <v>106</v>
      </c>
      <c r="C12" s="209">
        <f>进出水!B38</f>
        <v>211</v>
      </c>
      <c r="D12" s="209"/>
      <c r="E12" s="225">
        <f>进出水!N38</f>
        <v>28.6</v>
      </c>
      <c r="F12" s="226"/>
      <c r="G12" s="225">
        <f t="shared" ref="G12:G17" si="0">(C12-E12)/C12*100</f>
        <v>86.4454976303318</v>
      </c>
      <c r="H12" s="226"/>
      <c r="I12" s="209">
        <f>$C$3*(C12-E12)/1000</f>
        <v>985016.544</v>
      </c>
      <c r="J12" s="209"/>
      <c r="K12" s="202" t="s">
        <v>107</v>
      </c>
      <c r="L12" s="203" t="s">
        <v>108</v>
      </c>
      <c r="M12" s="36">
        <f>处理量!S16</f>
        <v>2836.5</v>
      </c>
      <c r="P12" s="246">
        <f t="shared" ref="P12:P17" si="1">ROUND(E12,1)</f>
        <v>28.6</v>
      </c>
      <c r="Q12" s="253">
        <f>C3</f>
        <v>5400310</v>
      </c>
      <c r="R12" s="246">
        <f t="shared" ref="R12:R17" si="2">P12*Q12/1000000</f>
        <v>154.448866</v>
      </c>
      <c r="S12" s="224" t="s">
        <v>106</v>
      </c>
    </row>
    <row r="13" s="196" customFormat="1" ht="24" customHeight="1" spans="1:19">
      <c r="A13" s="202"/>
      <c r="B13" s="224" t="s">
        <v>109</v>
      </c>
      <c r="C13" s="209">
        <f>进出水!C38</f>
        <v>107</v>
      </c>
      <c r="D13" s="209"/>
      <c r="E13" s="227" t="str">
        <f>[1]进出水!O38</f>
        <v>&lt;2</v>
      </c>
      <c r="F13" s="228"/>
      <c r="G13" s="225">
        <f>(C13-1)/C13*100</f>
        <v>99.0654205607477</v>
      </c>
      <c r="H13" s="226"/>
      <c r="I13" s="209">
        <f>$C$3*(C13-1)/1000</f>
        <v>572432.86</v>
      </c>
      <c r="J13" s="209"/>
      <c r="K13" s="202"/>
      <c r="L13" s="33" t="s">
        <v>110</v>
      </c>
      <c r="M13" s="33">
        <f>处理量!R16</f>
        <v>1610.48</v>
      </c>
      <c r="P13" s="247">
        <v>1</v>
      </c>
      <c r="Q13" s="253">
        <f t="shared" ref="Q13:Q17" si="3">Q12</f>
        <v>5400310</v>
      </c>
      <c r="R13" s="246">
        <f t="shared" si="2"/>
        <v>5.40031</v>
      </c>
      <c r="S13" s="224" t="s">
        <v>109</v>
      </c>
    </row>
    <row r="14" s="196" customFormat="1" ht="24" customHeight="1" spans="1:19">
      <c r="A14" s="202"/>
      <c r="B14" s="224" t="s">
        <v>111</v>
      </c>
      <c r="C14" s="209">
        <f>进出水!D38</f>
        <v>136</v>
      </c>
      <c r="D14" s="209"/>
      <c r="E14" s="227">
        <f>进出水!P38</f>
        <v>5.13</v>
      </c>
      <c r="F14" s="228"/>
      <c r="G14" s="225">
        <f t="shared" si="0"/>
        <v>96.2279411764706</v>
      </c>
      <c r="H14" s="226"/>
      <c r="I14" s="209">
        <f>$C$3*(C14-E14)/1000</f>
        <v>706738.5697</v>
      </c>
      <c r="J14" s="209"/>
      <c r="K14" s="202"/>
      <c r="L14" s="33" t="s">
        <v>112</v>
      </c>
      <c r="M14" s="33">
        <f>处理量!T16</f>
        <v>1461.06</v>
      </c>
      <c r="P14" s="246">
        <f t="shared" si="1"/>
        <v>5.1</v>
      </c>
      <c r="Q14" s="253">
        <f t="shared" si="3"/>
        <v>5400310</v>
      </c>
      <c r="R14" s="246">
        <f t="shared" si="2"/>
        <v>27.541581</v>
      </c>
      <c r="S14" s="224" t="s">
        <v>111</v>
      </c>
    </row>
    <row r="15" s="196" customFormat="1" ht="24" customHeight="1" spans="1:19">
      <c r="A15" s="202"/>
      <c r="B15" s="224" t="s">
        <v>113</v>
      </c>
      <c r="C15" s="206">
        <f>进出水!E38</f>
        <v>2.51</v>
      </c>
      <c r="D15" s="206"/>
      <c r="E15" s="227">
        <f>进出水!Q38</f>
        <v>0.11</v>
      </c>
      <c r="F15" s="228"/>
      <c r="G15" s="225">
        <f t="shared" si="0"/>
        <v>95.6175298804781</v>
      </c>
      <c r="H15" s="226"/>
      <c r="I15" s="209">
        <f>$C$3*(C15-E15)/1000</f>
        <v>12960.744</v>
      </c>
      <c r="J15" s="209"/>
      <c r="K15" s="205" t="s">
        <v>114</v>
      </c>
      <c r="L15" s="248" t="s">
        <v>115</v>
      </c>
      <c r="M15" s="35">
        <v>31</v>
      </c>
      <c r="P15" s="246">
        <f t="shared" si="1"/>
        <v>0.1</v>
      </c>
      <c r="Q15" s="253">
        <f t="shared" si="3"/>
        <v>5400310</v>
      </c>
      <c r="R15" s="246">
        <f t="shared" si="2"/>
        <v>0.540031</v>
      </c>
      <c r="S15" s="224" t="s">
        <v>113</v>
      </c>
    </row>
    <row r="16" s="196" customFormat="1" ht="24" customHeight="1" spans="1:19">
      <c r="A16" s="202"/>
      <c r="B16" s="224" t="s">
        <v>116</v>
      </c>
      <c r="C16" s="229">
        <f>进出水!G38</f>
        <v>26.4</v>
      </c>
      <c r="D16" s="229"/>
      <c r="E16" s="227">
        <f>进出水!S38</f>
        <v>7.42</v>
      </c>
      <c r="F16" s="228"/>
      <c r="G16" s="225">
        <f t="shared" si="0"/>
        <v>71.8939393939394</v>
      </c>
      <c r="H16" s="226"/>
      <c r="I16" s="209">
        <f>$C$3*(C16-E16)/1000</f>
        <v>102497.8838</v>
      </c>
      <c r="J16" s="209"/>
      <c r="K16" s="208"/>
      <c r="L16" s="249" t="s">
        <v>117</v>
      </c>
      <c r="M16" s="36">
        <v>31</v>
      </c>
      <c r="P16" s="246">
        <f t="shared" si="1"/>
        <v>7.4</v>
      </c>
      <c r="Q16" s="253">
        <f t="shared" si="3"/>
        <v>5400310</v>
      </c>
      <c r="R16" s="246">
        <f t="shared" si="2"/>
        <v>39.962294</v>
      </c>
      <c r="S16" s="224" t="s">
        <v>116</v>
      </c>
    </row>
    <row r="17" s="196" customFormat="1" ht="24" customHeight="1" spans="1:19">
      <c r="A17" s="202"/>
      <c r="B17" s="224" t="s">
        <v>118</v>
      </c>
      <c r="C17" s="229">
        <f>进出水!F38</f>
        <v>20.2</v>
      </c>
      <c r="D17" s="229"/>
      <c r="E17" s="227">
        <f>进出水!R38</f>
        <v>0.52</v>
      </c>
      <c r="F17" s="228"/>
      <c r="G17" s="225">
        <f t="shared" si="0"/>
        <v>97.4257425742574</v>
      </c>
      <c r="H17" s="226"/>
      <c r="I17" s="209">
        <f>$C$3*(C17-E17)/1000</f>
        <v>106278.1008</v>
      </c>
      <c r="J17" s="209"/>
      <c r="K17" s="208"/>
      <c r="L17" s="249" t="s">
        <v>119</v>
      </c>
      <c r="M17" s="35">
        <v>31</v>
      </c>
      <c r="P17" s="246">
        <f t="shared" si="1"/>
        <v>0.5</v>
      </c>
      <c r="Q17" s="253">
        <f t="shared" si="3"/>
        <v>5400310</v>
      </c>
      <c r="R17" s="246">
        <f t="shared" si="2"/>
        <v>2.700155</v>
      </c>
      <c r="S17" s="224" t="s">
        <v>118</v>
      </c>
    </row>
    <row r="18" s="196" customFormat="1" ht="24" customHeight="1" spans="1:13">
      <c r="A18" s="202"/>
      <c r="B18" s="216" t="s">
        <v>120</v>
      </c>
      <c r="C18" s="230"/>
      <c r="D18" s="231"/>
      <c r="E18" s="232" t="s">
        <v>121</v>
      </c>
      <c r="F18" s="233"/>
      <c r="G18" s="230"/>
      <c r="H18" s="231"/>
      <c r="I18" s="230"/>
      <c r="J18" s="231"/>
      <c r="K18" s="213"/>
      <c r="L18" s="243" t="s">
        <v>122</v>
      </c>
      <c r="M18" s="36">
        <v>100</v>
      </c>
    </row>
    <row r="19" s="196" customFormat="1" ht="20.1" customHeight="1" spans="1:13">
      <c r="A19" s="202" t="s">
        <v>123</v>
      </c>
      <c r="B19" s="234" t="s">
        <v>124</v>
      </c>
      <c r="C19" s="235"/>
      <c r="D19" s="235"/>
      <c r="E19" s="235"/>
      <c r="F19" s="235"/>
      <c r="G19" s="235"/>
      <c r="H19" s="235"/>
      <c r="I19" s="235"/>
      <c r="J19" s="235"/>
      <c r="K19" s="235"/>
      <c r="L19" s="235"/>
      <c r="M19" s="250"/>
    </row>
    <row r="20" s="196" customFormat="1" ht="20.1" customHeight="1" spans="1:13">
      <c r="A20" s="202"/>
      <c r="B20" s="236"/>
      <c r="C20" s="237"/>
      <c r="D20" s="237"/>
      <c r="E20" s="237"/>
      <c r="F20" s="237"/>
      <c r="G20" s="237"/>
      <c r="H20" s="237"/>
      <c r="I20" s="237"/>
      <c r="J20" s="237"/>
      <c r="K20" s="237"/>
      <c r="L20" s="237"/>
      <c r="M20" s="251"/>
    </row>
    <row r="21" ht="20.1" customHeight="1" spans="1:13">
      <c r="A21" s="238" t="s">
        <v>125</v>
      </c>
      <c r="B21" s="238"/>
      <c r="C21" s="238"/>
      <c r="D21" s="238"/>
      <c r="E21" s="238"/>
      <c r="F21" s="238"/>
      <c r="G21" s="238"/>
      <c r="H21" s="238"/>
      <c r="I21" s="238"/>
      <c r="J21" s="238"/>
      <c r="K21" s="238"/>
      <c r="L21" s="238"/>
      <c r="M21" s="238"/>
    </row>
    <row r="22" ht="17.25" customHeight="1" spans="9:9">
      <c r="I22" s="252"/>
    </row>
    <row r="23" ht="17.25" customHeight="1" spans="5:9">
      <c r="E23" s="239"/>
      <c r="I23" s="252"/>
    </row>
    <row r="24" ht="17.25" customHeight="1" spans="5:9">
      <c r="E24" s="239"/>
      <c r="I24" s="252"/>
    </row>
    <row r="25" ht="17.25" customHeight="1" spans="5:9">
      <c r="E25" s="239"/>
      <c r="I25" s="252"/>
    </row>
    <row r="26" ht="17.25" customHeight="1" spans="5:9">
      <c r="E26" s="239"/>
      <c r="I26" s="252"/>
    </row>
    <row r="27" ht="17.25" customHeight="1" spans="5:9">
      <c r="E27" s="239"/>
      <c r="I27" s="252"/>
    </row>
    <row r="28" ht="17.25" customHeight="1" spans="5:9">
      <c r="E28" s="239"/>
      <c r="I28" s="252"/>
    </row>
    <row r="29" ht="17.25" customHeight="1" spans="9:9">
      <c r="I29" s="252"/>
    </row>
    <row r="30" ht="17.25" customHeight="1" spans="9:9">
      <c r="I30" s="252"/>
    </row>
    <row r="31" ht="17.25" customHeight="1" spans="9:9">
      <c r="I31" s="252"/>
    </row>
    <row r="32" ht="17.25" customHeight="1"/>
    <row r="33" ht="17.25" customHeight="1"/>
    <row r="34" ht="17.25" customHeight="1"/>
  </sheetData>
  <mergeCells count="60">
    <mergeCell ref="A1:M1"/>
    <mergeCell ref="A2:M2"/>
    <mergeCell ref="H3:I3"/>
    <mergeCell ref="H4:I4"/>
    <mergeCell ref="H5:I5"/>
    <mergeCell ref="H6:I6"/>
    <mergeCell ref="H7:I7"/>
    <mergeCell ref="H8:I8"/>
    <mergeCell ref="H9:I9"/>
    <mergeCell ref="C12:D12"/>
    <mergeCell ref="E12:F12"/>
    <mergeCell ref="G12:H12"/>
    <mergeCell ref="I12:J12"/>
    <mergeCell ref="C13:D13"/>
    <mergeCell ref="E13:F13"/>
    <mergeCell ref="G13:H13"/>
    <mergeCell ref="I13:J13"/>
    <mergeCell ref="C14:D14"/>
    <mergeCell ref="E14:F14"/>
    <mergeCell ref="G14:H14"/>
    <mergeCell ref="I14:J14"/>
    <mergeCell ref="C15:D15"/>
    <mergeCell ref="E15:F15"/>
    <mergeCell ref="G15:H15"/>
    <mergeCell ref="I15:J15"/>
    <mergeCell ref="C16:D16"/>
    <mergeCell ref="E16:F16"/>
    <mergeCell ref="G16:H16"/>
    <mergeCell ref="I16:J16"/>
    <mergeCell ref="C17:D17"/>
    <mergeCell ref="E17:F17"/>
    <mergeCell ref="G17:H17"/>
    <mergeCell ref="I17:J17"/>
    <mergeCell ref="C18:D18"/>
    <mergeCell ref="E18:F18"/>
    <mergeCell ref="G18:H18"/>
    <mergeCell ref="I18:J18"/>
    <mergeCell ref="A21:M21"/>
    <mergeCell ref="A3:A9"/>
    <mergeCell ref="A10:A18"/>
    <mergeCell ref="A19:A20"/>
    <mergeCell ref="B4:B5"/>
    <mergeCell ref="B10:B11"/>
    <mergeCell ref="C4:C5"/>
    <mergeCell ref="D3:D7"/>
    <mergeCell ref="D8:D9"/>
    <mergeCell ref="G3:G5"/>
    <mergeCell ref="G6:G9"/>
    <mergeCell ref="K3:K7"/>
    <mergeCell ref="K8:K9"/>
    <mergeCell ref="K10:K11"/>
    <mergeCell ref="K12:K14"/>
    <mergeCell ref="K15:K18"/>
    <mergeCell ref="L4:L5"/>
    <mergeCell ref="M4:M5"/>
    <mergeCell ref="B19:M20"/>
    <mergeCell ref="C10:D11"/>
    <mergeCell ref="E10:F11"/>
    <mergeCell ref="G10:H11"/>
    <mergeCell ref="I10:J11"/>
  </mergeCells>
  <pageMargins left="0.75" right="0.75" top="0.39" bottom="0.39" header="0.51" footer="0.51"/>
  <pageSetup paperSize="9" orientation="landscape" horizontalDpi="6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8"/>
  <sheetViews>
    <sheetView zoomScale="115" zoomScaleNormal="115" topLeftCell="A13" workbookViewId="0">
      <selection activeCell="G30" sqref="G30"/>
    </sheetView>
  </sheetViews>
  <sheetFormatPr defaultColWidth="9" defaultRowHeight="14.25"/>
  <cols>
    <col min="1" max="1" width="3.25" customWidth="1"/>
    <col min="2" max="2" width="6.125" customWidth="1"/>
    <col min="3" max="3" width="6.375" customWidth="1"/>
    <col min="4" max="4" width="6.125" customWidth="1"/>
    <col min="5" max="5" width="6.25" customWidth="1"/>
    <col min="6" max="6" width="6.625" customWidth="1"/>
    <col min="7" max="7" width="6.125" customWidth="1"/>
    <col min="8" max="8" width="5.75" style="93" customWidth="1"/>
    <col min="9" max="9" width="5.5" style="94" customWidth="1"/>
    <col min="10" max="10" width="6.25" style="94" customWidth="1"/>
    <col min="11" max="11" width="7" style="93" customWidth="1"/>
    <col min="12" max="12" width="6.625" customWidth="1"/>
    <col min="13" max="13" width="6.25" customWidth="1"/>
    <col min="14" max="14" width="6.625" customWidth="1"/>
    <col min="15" max="15" width="5.875" customWidth="1"/>
    <col min="16" max="16" width="6" customWidth="1"/>
    <col min="17" max="18" width="7" customWidth="1"/>
    <col min="19" max="19" width="6" customWidth="1"/>
    <col min="20" max="20" width="5.875" style="95" customWidth="1"/>
    <col min="21" max="21" width="8.75" customWidth="1"/>
    <col min="23" max="23" width="12.625"/>
  </cols>
  <sheetData>
    <row r="1" ht="21.75" customHeight="1" spans="1:21">
      <c r="A1" s="96" t="s">
        <v>126</v>
      </c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26"/>
    </row>
    <row r="2" hidden="1" spans="1:21">
      <c r="A2" s="97"/>
      <c r="B2" s="97"/>
      <c r="C2" s="97"/>
      <c r="D2" s="97"/>
      <c r="E2" s="97"/>
      <c r="F2" s="97"/>
      <c r="G2" s="97"/>
      <c r="H2" s="98"/>
      <c r="I2" s="164"/>
      <c r="J2" s="164"/>
      <c r="K2" s="98"/>
      <c r="L2" s="97"/>
      <c r="M2" s="97"/>
      <c r="N2" s="97"/>
      <c r="O2" s="97"/>
      <c r="P2" s="97"/>
      <c r="Q2" s="97"/>
      <c r="R2" s="97"/>
      <c r="S2" s="97"/>
      <c r="T2" s="97"/>
      <c r="U2" s="26"/>
    </row>
    <row r="3" spans="1:21">
      <c r="A3" s="32" t="s">
        <v>127</v>
      </c>
      <c r="B3" s="32"/>
      <c r="C3" s="32"/>
      <c r="D3" s="32"/>
      <c r="E3" s="32"/>
      <c r="F3" s="32"/>
      <c r="G3" s="32"/>
      <c r="H3" s="99"/>
      <c r="I3" s="165"/>
      <c r="J3" s="166">
        <v>44256</v>
      </c>
      <c r="K3" s="167"/>
      <c r="L3" s="32"/>
      <c r="M3" s="32"/>
      <c r="N3" s="32"/>
      <c r="O3" s="32"/>
      <c r="P3" s="32"/>
      <c r="Q3" s="32"/>
      <c r="R3" s="32"/>
      <c r="S3" s="32"/>
      <c r="T3" s="190"/>
      <c r="U3" s="26"/>
    </row>
    <row r="4" ht="12.75" customHeight="1" spans="1:21">
      <c r="A4" s="100" t="s">
        <v>128</v>
      </c>
      <c r="B4" s="101" t="s">
        <v>101</v>
      </c>
      <c r="C4" s="102"/>
      <c r="D4" s="102"/>
      <c r="E4" s="102"/>
      <c r="F4" s="102"/>
      <c r="G4" s="103"/>
      <c r="H4" s="104" t="s">
        <v>129</v>
      </c>
      <c r="I4" s="104"/>
      <c r="J4" s="104"/>
      <c r="K4" s="104"/>
      <c r="L4" s="104"/>
      <c r="M4" s="104"/>
      <c r="N4" s="168" t="s">
        <v>130</v>
      </c>
      <c r="O4" s="168"/>
      <c r="P4" s="168"/>
      <c r="Q4" s="168"/>
      <c r="R4" s="168"/>
      <c r="S4" s="168"/>
      <c r="T4" s="191" t="s">
        <v>131</v>
      </c>
      <c r="U4" s="191" t="s">
        <v>132</v>
      </c>
    </row>
    <row r="5" ht="15" customHeight="1" spans="1:21">
      <c r="A5" s="105"/>
      <c r="B5" s="106" t="s">
        <v>133</v>
      </c>
      <c r="C5" s="106" t="s">
        <v>109</v>
      </c>
      <c r="D5" s="106" t="s">
        <v>111</v>
      </c>
      <c r="E5" s="106" t="s">
        <v>113</v>
      </c>
      <c r="F5" s="106" t="s">
        <v>118</v>
      </c>
      <c r="G5" s="106" t="s">
        <v>116</v>
      </c>
      <c r="H5" s="107" t="s">
        <v>133</v>
      </c>
      <c r="I5" s="107" t="s">
        <v>109</v>
      </c>
      <c r="J5" s="107" t="s">
        <v>111</v>
      </c>
      <c r="K5" s="107" t="s">
        <v>113</v>
      </c>
      <c r="L5" s="106" t="s">
        <v>118</v>
      </c>
      <c r="M5" s="106" t="s">
        <v>116</v>
      </c>
      <c r="N5" s="100" t="s">
        <v>134</v>
      </c>
      <c r="O5" s="100" t="s">
        <v>135</v>
      </c>
      <c r="P5" s="100" t="s">
        <v>111</v>
      </c>
      <c r="Q5" s="100" t="s">
        <v>113</v>
      </c>
      <c r="R5" s="100" t="s">
        <v>136</v>
      </c>
      <c r="S5" s="100" t="s">
        <v>116</v>
      </c>
      <c r="T5" s="192"/>
      <c r="U5" s="192"/>
    </row>
    <row r="6" ht="22.5" customHeight="1" spans="1:21">
      <c r="A6" s="108"/>
      <c r="B6" s="109" t="s">
        <v>137</v>
      </c>
      <c r="C6" s="109" t="s">
        <v>137</v>
      </c>
      <c r="D6" s="109" t="s">
        <v>137</v>
      </c>
      <c r="E6" s="109" t="s">
        <v>137</v>
      </c>
      <c r="F6" s="109" t="s">
        <v>137</v>
      </c>
      <c r="G6" s="109" t="s">
        <v>137</v>
      </c>
      <c r="H6" s="110" t="s">
        <v>137</v>
      </c>
      <c r="I6" s="110" t="s">
        <v>137</v>
      </c>
      <c r="J6" s="110" t="s">
        <v>137</v>
      </c>
      <c r="K6" s="110" t="s">
        <v>137</v>
      </c>
      <c r="L6" s="109" t="s">
        <v>137</v>
      </c>
      <c r="M6" s="109" t="s">
        <v>137</v>
      </c>
      <c r="N6" s="109" t="s">
        <v>137</v>
      </c>
      <c r="O6" s="109" t="s">
        <v>137</v>
      </c>
      <c r="P6" s="109" t="s">
        <v>137</v>
      </c>
      <c r="Q6" s="109" t="s">
        <v>137</v>
      </c>
      <c r="R6" s="109" t="s">
        <v>137</v>
      </c>
      <c r="S6" s="109" t="s">
        <v>137</v>
      </c>
      <c r="T6" s="108" t="s">
        <v>138</v>
      </c>
      <c r="U6" s="108" t="s">
        <v>139</v>
      </c>
    </row>
    <row r="7" ht="12.95" customHeight="1" spans="1:23">
      <c r="A7" s="111">
        <v>1</v>
      </c>
      <c r="B7" s="112">
        <v>280</v>
      </c>
      <c r="C7" s="113">
        <v>137</v>
      </c>
      <c r="D7" s="114">
        <v>164</v>
      </c>
      <c r="E7" s="115">
        <v>2.39</v>
      </c>
      <c r="F7" s="116">
        <v>19.3</v>
      </c>
      <c r="G7" s="117">
        <v>25.4</v>
      </c>
      <c r="H7" s="118">
        <v>30</v>
      </c>
      <c r="I7" s="115" t="s">
        <v>140</v>
      </c>
      <c r="J7" s="118">
        <v>18</v>
      </c>
      <c r="K7" s="115">
        <v>0.51</v>
      </c>
      <c r="L7" s="169">
        <v>0.56</v>
      </c>
      <c r="M7" s="169">
        <v>7.21</v>
      </c>
      <c r="N7" s="114">
        <v>22</v>
      </c>
      <c r="O7" s="170" t="s">
        <v>140</v>
      </c>
      <c r="P7" s="114">
        <v>6</v>
      </c>
      <c r="Q7" s="169">
        <v>0.09</v>
      </c>
      <c r="R7" s="173">
        <v>0.4</v>
      </c>
      <c r="S7" s="169">
        <v>7.18</v>
      </c>
      <c r="T7" s="121">
        <v>77.8</v>
      </c>
      <c r="U7" s="119" t="s">
        <v>121</v>
      </c>
      <c r="V7" s="193"/>
      <c r="W7" s="194">
        <f>1-S7/G7</f>
        <v>0.717322834645669</v>
      </c>
    </row>
    <row r="8" ht="12.95" customHeight="1" spans="1:23">
      <c r="A8" s="111">
        <v>2</v>
      </c>
      <c r="B8" s="112">
        <v>146</v>
      </c>
      <c r="C8" s="116">
        <v>70.4</v>
      </c>
      <c r="D8" s="114">
        <v>80</v>
      </c>
      <c r="E8" s="119">
        <v>2.08</v>
      </c>
      <c r="F8" s="117">
        <v>19.2</v>
      </c>
      <c r="G8" s="117">
        <v>24.7</v>
      </c>
      <c r="H8" s="118">
        <v>33</v>
      </c>
      <c r="I8" s="115">
        <v>2.17</v>
      </c>
      <c r="J8" s="118">
        <v>16</v>
      </c>
      <c r="K8" s="115">
        <v>0.54</v>
      </c>
      <c r="L8" s="169">
        <v>0.97</v>
      </c>
      <c r="M8" s="169">
        <v>8.54</v>
      </c>
      <c r="N8" s="114">
        <v>24</v>
      </c>
      <c r="O8" s="170" t="s">
        <v>140</v>
      </c>
      <c r="P8" s="114">
        <v>5</v>
      </c>
      <c r="Q8" s="169">
        <v>0.12</v>
      </c>
      <c r="R8" s="173">
        <v>0.44</v>
      </c>
      <c r="S8" s="169">
        <v>8.28</v>
      </c>
      <c r="T8" s="121">
        <v>77.6</v>
      </c>
      <c r="U8" s="119" t="s">
        <v>121</v>
      </c>
      <c r="V8" s="193"/>
      <c r="W8" s="194">
        <f t="shared" ref="W8:W37" si="0">1-S8/G8</f>
        <v>0.664777327935223</v>
      </c>
    </row>
    <row r="9" ht="12.95" customHeight="1" spans="1:23">
      <c r="A9" s="111">
        <v>3</v>
      </c>
      <c r="B9" s="112">
        <v>174</v>
      </c>
      <c r="C9" s="116">
        <v>90.4</v>
      </c>
      <c r="D9" s="114">
        <v>92</v>
      </c>
      <c r="E9" s="115">
        <v>2.08</v>
      </c>
      <c r="F9" s="117">
        <v>18.6</v>
      </c>
      <c r="G9" s="117">
        <v>23.6</v>
      </c>
      <c r="H9" s="118">
        <v>38</v>
      </c>
      <c r="I9" s="115">
        <v>2.08</v>
      </c>
      <c r="J9" s="118">
        <v>17</v>
      </c>
      <c r="K9" s="115">
        <v>0.55</v>
      </c>
      <c r="L9" s="169">
        <v>0.7</v>
      </c>
      <c r="M9" s="169">
        <v>7.61</v>
      </c>
      <c r="N9" s="114">
        <v>29</v>
      </c>
      <c r="O9" s="170" t="s">
        <v>140</v>
      </c>
      <c r="P9" s="114">
        <v>5</v>
      </c>
      <c r="Q9" s="169">
        <v>0.19</v>
      </c>
      <c r="R9" s="173">
        <v>0.56</v>
      </c>
      <c r="S9" s="169">
        <v>7.16</v>
      </c>
      <c r="T9" s="121">
        <v>78</v>
      </c>
      <c r="U9" s="119" t="s">
        <v>121</v>
      </c>
      <c r="V9" s="193"/>
      <c r="W9" s="194">
        <f t="shared" si="0"/>
        <v>0.696610169491525</v>
      </c>
    </row>
    <row r="10" ht="12.95" customHeight="1" spans="1:23">
      <c r="A10" s="111">
        <v>4</v>
      </c>
      <c r="B10" s="112">
        <v>176</v>
      </c>
      <c r="C10" s="116">
        <v>86.2</v>
      </c>
      <c r="D10" s="114">
        <v>88</v>
      </c>
      <c r="E10" s="115">
        <v>2.69</v>
      </c>
      <c r="F10" s="117">
        <v>23.4</v>
      </c>
      <c r="G10" s="117">
        <v>29</v>
      </c>
      <c r="H10" s="118">
        <v>46</v>
      </c>
      <c r="I10" s="115">
        <v>2.38</v>
      </c>
      <c r="J10" s="118">
        <v>18</v>
      </c>
      <c r="K10" s="115">
        <v>0.47</v>
      </c>
      <c r="L10" s="169">
        <v>0.89</v>
      </c>
      <c r="M10" s="169">
        <v>7.46</v>
      </c>
      <c r="N10" s="114">
        <v>27</v>
      </c>
      <c r="O10" s="170" t="s">
        <v>140</v>
      </c>
      <c r="P10" s="114">
        <v>5</v>
      </c>
      <c r="Q10" s="169">
        <v>0.17</v>
      </c>
      <c r="R10" s="173">
        <v>0.48</v>
      </c>
      <c r="S10" s="169">
        <v>7.44</v>
      </c>
      <c r="T10" s="121">
        <v>77.7</v>
      </c>
      <c r="U10" s="119">
        <v>20</v>
      </c>
      <c r="V10" s="193"/>
      <c r="W10" s="194">
        <f t="shared" si="0"/>
        <v>0.743448275862069</v>
      </c>
    </row>
    <row r="11" ht="12.95" customHeight="1" spans="1:23">
      <c r="A11" s="111">
        <v>5</v>
      </c>
      <c r="B11" s="112">
        <v>243</v>
      </c>
      <c r="C11" s="113">
        <v>126</v>
      </c>
      <c r="D11" s="114">
        <v>166</v>
      </c>
      <c r="E11" s="115">
        <v>2.2</v>
      </c>
      <c r="F11" s="120">
        <v>20.1</v>
      </c>
      <c r="G11" s="117">
        <v>26.1</v>
      </c>
      <c r="H11" s="118">
        <v>38</v>
      </c>
      <c r="I11" s="115">
        <v>2.17</v>
      </c>
      <c r="J11" s="118">
        <v>18</v>
      </c>
      <c r="K11" s="115">
        <v>0.56</v>
      </c>
      <c r="L11" s="169">
        <v>0.79</v>
      </c>
      <c r="M11" s="169">
        <v>6.92</v>
      </c>
      <c r="N11" s="114">
        <v>27</v>
      </c>
      <c r="O11" s="170" t="s">
        <v>140</v>
      </c>
      <c r="P11" s="114">
        <v>6</v>
      </c>
      <c r="Q11" s="169">
        <v>0.17</v>
      </c>
      <c r="R11" s="173">
        <v>0.48</v>
      </c>
      <c r="S11" s="169">
        <v>6</v>
      </c>
      <c r="T11" s="121">
        <v>78.2</v>
      </c>
      <c r="U11" s="119">
        <v>50</v>
      </c>
      <c r="V11" s="193"/>
      <c r="W11" s="194">
        <f t="shared" si="0"/>
        <v>0.770114942528736</v>
      </c>
    </row>
    <row r="12" ht="12.95" customHeight="1" spans="1:23">
      <c r="A12" s="111">
        <v>6</v>
      </c>
      <c r="B12" s="112">
        <v>155</v>
      </c>
      <c r="C12" s="116">
        <v>77.4</v>
      </c>
      <c r="D12" s="114">
        <v>96</v>
      </c>
      <c r="E12" s="115">
        <v>2.59</v>
      </c>
      <c r="F12" s="116">
        <v>23</v>
      </c>
      <c r="G12" s="117">
        <v>28.8</v>
      </c>
      <c r="H12" s="118">
        <v>38</v>
      </c>
      <c r="I12" s="115">
        <v>2.09</v>
      </c>
      <c r="J12" s="118">
        <v>17</v>
      </c>
      <c r="K12" s="115">
        <v>0.56</v>
      </c>
      <c r="L12" s="169">
        <v>0.77</v>
      </c>
      <c r="M12" s="169">
        <v>6.67</v>
      </c>
      <c r="N12" s="114">
        <v>26</v>
      </c>
      <c r="O12" s="170" t="s">
        <v>140</v>
      </c>
      <c r="P12" s="114">
        <v>5</v>
      </c>
      <c r="Q12" s="169">
        <v>0.12</v>
      </c>
      <c r="R12" s="173">
        <v>0.48</v>
      </c>
      <c r="S12" s="169">
        <v>6.44</v>
      </c>
      <c r="T12" s="121">
        <v>77.5</v>
      </c>
      <c r="U12" s="119"/>
      <c r="V12" s="193"/>
      <c r="W12" s="194">
        <f t="shared" si="0"/>
        <v>0.776388888888889</v>
      </c>
    </row>
    <row r="13" ht="12.95" customHeight="1" spans="1:23">
      <c r="A13" s="111">
        <v>7</v>
      </c>
      <c r="B13" s="112">
        <v>238</v>
      </c>
      <c r="C13" s="113">
        <v>120</v>
      </c>
      <c r="D13" s="114">
        <v>196</v>
      </c>
      <c r="E13" s="115">
        <v>2.84</v>
      </c>
      <c r="F13" s="116">
        <v>19</v>
      </c>
      <c r="G13" s="117">
        <v>25.4</v>
      </c>
      <c r="H13" s="118">
        <v>44</v>
      </c>
      <c r="I13" s="115">
        <v>2.98</v>
      </c>
      <c r="J13" s="118">
        <v>18</v>
      </c>
      <c r="K13" s="115">
        <v>0.41</v>
      </c>
      <c r="L13" s="169">
        <v>0.79</v>
      </c>
      <c r="M13" s="169">
        <v>7.06</v>
      </c>
      <c r="N13" s="114">
        <v>29</v>
      </c>
      <c r="O13" s="170" t="s">
        <v>140</v>
      </c>
      <c r="P13" s="114">
        <v>5</v>
      </c>
      <c r="Q13" s="169">
        <v>0.12</v>
      </c>
      <c r="R13" s="173">
        <v>0.56</v>
      </c>
      <c r="S13" s="169">
        <v>6.3</v>
      </c>
      <c r="T13" s="121">
        <v>77.9</v>
      </c>
      <c r="U13" s="119"/>
      <c r="V13" s="193"/>
      <c r="W13" s="194">
        <f t="shared" si="0"/>
        <v>0.751968503937008</v>
      </c>
    </row>
    <row r="14" ht="12.95" customHeight="1" spans="1:23">
      <c r="A14" s="111">
        <v>8</v>
      </c>
      <c r="B14" s="112">
        <v>238</v>
      </c>
      <c r="C14" s="113">
        <v>117</v>
      </c>
      <c r="D14" s="114">
        <v>190</v>
      </c>
      <c r="E14" s="115">
        <v>4.55</v>
      </c>
      <c r="F14" s="121">
        <v>22.1</v>
      </c>
      <c r="G14" s="117">
        <v>29.9</v>
      </c>
      <c r="H14" s="118">
        <v>45</v>
      </c>
      <c r="I14" s="115">
        <v>2.15</v>
      </c>
      <c r="J14" s="118">
        <v>19</v>
      </c>
      <c r="K14" s="115">
        <v>0.41</v>
      </c>
      <c r="L14" s="169">
        <v>0.87</v>
      </c>
      <c r="M14" s="169">
        <v>7.41</v>
      </c>
      <c r="N14" s="114">
        <v>31</v>
      </c>
      <c r="O14" s="170" t="s">
        <v>140</v>
      </c>
      <c r="P14" s="114">
        <v>5</v>
      </c>
      <c r="Q14" s="169">
        <v>0.12</v>
      </c>
      <c r="R14" s="173">
        <v>0.56</v>
      </c>
      <c r="S14" s="169">
        <v>7.31</v>
      </c>
      <c r="T14" s="121">
        <v>77.7</v>
      </c>
      <c r="U14" s="119" t="s">
        <v>121</v>
      </c>
      <c r="V14" s="193"/>
      <c r="W14" s="194">
        <f t="shared" si="0"/>
        <v>0.755518394648829</v>
      </c>
    </row>
    <row r="15" ht="12.95" customHeight="1" spans="1:23">
      <c r="A15" s="111">
        <v>9</v>
      </c>
      <c r="B15" s="112">
        <v>221</v>
      </c>
      <c r="C15" s="113">
        <v>113</v>
      </c>
      <c r="D15" s="114">
        <v>170</v>
      </c>
      <c r="E15" s="115">
        <v>2.15</v>
      </c>
      <c r="F15" s="117">
        <v>19</v>
      </c>
      <c r="G15" s="117">
        <v>25.3</v>
      </c>
      <c r="H15" s="118">
        <v>35</v>
      </c>
      <c r="I15" s="115" t="s">
        <v>140</v>
      </c>
      <c r="J15" s="118">
        <v>15</v>
      </c>
      <c r="K15" s="115">
        <v>0.58</v>
      </c>
      <c r="L15" s="169">
        <v>0.66</v>
      </c>
      <c r="M15" s="169">
        <v>8.1</v>
      </c>
      <c r="N15" s="114">
        <v>28</v>
      </c>
      <c r="O15" s="170" t="s">
        <v>140</v>
      </c>
      <c r="P15" s="114">
        <v>5</v>
      </c>
      <c r="Q15" s="169">
        <v>0.11</v>
      </c>
      <c r="R15" s="173">
        <v>0.52</v>
      </c>
      <c r="S15" s="169">
        <v>7.85</v>
      </c>
      <c r="T15" s="121">
        <v>78.4</v>
      </c>
      <c r="U15" s="119">
        <v>20</v>
      </c>
      <c r="V15" s="193"/>
      <c r="W15" s="194">
        <f t="shared" si="0"/>
        <v>0.689723320158103</v>
      </c>
    </row>
    <row r="16" ht="12.95" customHeight="1" spans="1:23">
      <c r="A16" s="111">
        <v>10</v>
      </c>
      <c r="B16" s="112">
        <v>166</v>
      </c>
      <c r="C16" s="122">
        <v>86.7</v>
      </c>
      <c r="D16" s="114">
        <v>98</v>
      </c>
      <c r="E16" s="115">
        <v>2.3</v>
      </c>
      <c r="F16" s="117">
        <v>25</v>
      </c>
      <c r="G16" s="117">
        <v>31.3</v>
      </c>
      <c r="H16" s="118">
        <v>41</v>
      </c>
      <c r="I16" s="171">
        <v>2.65</v>
      </c>
      <c r="J16" s="118">
        <v>17</v>
      </c>
      <c r="K16" s="115">
        <v>0.52</v>
      </c>
      <c r="L16" s="169">
        <v>0.73</v>
      </c>
      <c r="M16" s="169">
        <v>7.75</v>
      </c>
      <c r="N16" s="114">
        <v>29</v>
      </c>
      <c r="O16" s="170" t="s">
        <v>140</v>
      </c>
      <c r="P16" s="114">
        <v>5</v>
      </c>
      <c r="Q16" s="169">
        <v>0.12</v>
      </c>
      <c r="R16" s="173">
        <v>0.5</v>
      </c>
      <c r="S16" s="169">
        <v>7.56</v>
      </c>
      <c r="T16" s="121">
        <v>78.2</v>
      </c>
      <c r="U16" s="119">
        <v>50</v>
      </c>
      <c r="V16" s="193"/>
      <c r="W16" s="194">
        <f t="shared" si="0"/>
        <v>0.758466453674121</v>
      </c>
    </row>
    <row r="17" ht="12.95" customHeight="1" spans="1:23">
      <c r="A17" s="111">
        <v>11</v>
      </c>
      <c r="B17" s="112">
        <v>234</v>
      </c>
      <c r="C17" s="113">
        <v>115</v>
      </c>
      <c r="D17" s="114">
        <v>166</v>
      </c>
      <c r="E17" s="115">
        <v>2.45</v>
      </c>
      <c r="F17" s="116">
        <v>21.1</v>
      </c>
      <c r="G17" s="117">
        <v>26.2</v>
      </c>
      <c r="H17" s="118">
        <v>46</v>
      </c>
      <c r="I17" s="115">
        <v>2.78</v>
      </c>
      <c r="J17" s="118">
        <v>20</v>
      </c>
      <c r="K17" s="115">
        <v>0.44</v>
      </c>
      <c r="L17" s="169">
        <v>0.74</v>
      </c>
      <c r="M17" s="169">
        <v>7.8</v>
      </c>
      <c r="N17" s="114">
        <v>25</v>
      </c>
      <c r="O17" s="170" t="s">
        <v>140</v>
      </c>
      <c r="P17" s="114">
        <v>5</v>
      </c>
      <c r="Q17" s="169">
        <v>0.09</v>
      </c>
      <c r="R17" s="173">
        <v>0.53</v>
      </c>
      <c r="S17" s="169">
        <v>7.46</v>
      </c>
      <c r="T17" s="121">
        <v>77.8</v>
      </c>
      <c r="U17" s="119" t="s">
        <v>121</v>
      </c>
      <c r="V17" s="193"/>
      <c r="W17" s="194">
        <f t="shared" si="0"/>
        <v>0.715267175572519</v>
      </c>
    </row>
    <row r="18" ht="12.95" customHeight="1" spans="1:23">
      <c r="A18" s="111">
        <v>12</v>
      </c>
      <c r="B18" s="114">
        <v>260</v>
      </c>
      <c r="C18" s="113">
        <v>127</v>
      </c>
      <c r="D18" s="123">
        <v>132</v>
      </c>
      <c r="E18" s="115">
        <v>3.13</v>
      </c>
      <c r="F18" s="117">
        <v>20</v>
      </c>
      <c r="G18" s="117">
        <v>29.2</v>
      </c>
      <c r="H18" s="118">
        <v>44</v>
      </c>
      <c r="I18" s="115">
        <v>2.12</v>
      </c>
      <c r="J18" s="60">
        <v>16</v>
      </c>
      <c r="K18" s="115">
        <v>0.54</v>
      </c>
      <c r="L18" s="169">
        <v>0.76</v>
      </c>
      <c r="M18" s="169">
        <v>7.76</v>
      </c>
      <c r="N18" s="114">
        <v>27</v>
      </c>
      <c r="O18" s="170" t="s">
        <v>140</v>
      </c>
      <c r="P18" s="114">
        <v>5</v>
      </c>
      <c r="Q18" s="169">
        <v>0.09</v>
      </c>
      <c r="R18" s="173">
        <v>0.45</v>
      </c>
      <c r="S18" s="172">
        <v>7.26</v>
      </c>
      <c r="T18" s="121">
        <v>77.4</v>
      </c>
      <c r="U18" s="119">
        <v>20</v>
      </c>
      <c r="V18" s="193"/>
      <c r="W18" s="194">
        <f t="shared" si="0"/>
        <v>0.751369863013699</v>
      </c>
    </row>
    <row r="19" ht="12.95" customHeight="1" spans="1:23">
      <c r="A19" s="111">
        <v>13</v>
      </c>
      <c r="B19" s="112">
        <v>175</v>
      </c>
      <c r="C19" s="116">
        <v>89.2</v>
      </c>
      <c r="D19" s="123">
        <v>82</v>
      </c>
      <c r="E19" s="115">
        <v>2.45</v>
      </c>
      <c r="F19" s="117">
        <v>22.9</v>
      </c>
      <c r="G19" s="117">
        <v>28.4</v>
      </c>
      <c r="H19" s="118">
        <v>40</v>
      </c>
      <c r="I19" s="115" t="s">
        <v>140</v>
      </c>
      <c r="J19" s="60">
        <v>20</v>
      </c>
      <c r="K19" s="115">
        <v>0.56</v>
      </c>
      <c r="L19" s="169">
        <v>0.6</v>
      </c>
      <c r="M19" s="169">
        <v>8</v>
      </c>
      <c r="N19" s="114">
        <v>28</v>
      </c>
      <c r="O19" s="170" t="s">
        <v>140</v>
      </c>
      <c r="P19" s="114">
        <v>5</v>
      </c>
      <c r="Q19" s="169">
        <v>0.08</v>
      </c>
      <c r="R19" s="173">
        <v>0.42</v>
      </c>
      <c r="S19" s="169">
        <v>7.16</v>
      </c>
      <c r="T19" s="121">
        <v>77.6</v>
      </c>
      <c r="U19" s="119"/>
      <c r="V19" s="193"/>
      <c r="W19" s="194">
        <f t="shared" si="0"/>
        <v>0.747887323943662</v>
      </c>
    </row>
    <row r="20" ht="12.95" customHeight="1" spans="1:23">
      <c r="A20" s="111">
        <v>14</v>
      </c>
      <c r="B20" s="112">
        <v>138</v>
      </c>
      <c r="C20" s="122">
        <v>72.4</v>
      </c>
      <c r="D20" s="114">
        <v>86</v>
      </c>
      <c r="E20" s="115">
        <v>2.5</v>
      </c>
      <c r="F20" s="121">
        <v>23</v>
      </c>
      <c r="G20" s="117">
        <v>27.8</v>
      </c>
      <c r="H20" s="118">
        <v>45</v>
      </c>
      <c r="I20" s="171">
        <v>2.66</v>
      </c>
      <c r="J20" s="118">
        <v>20</v>
      </c>
      <c r="K20" s="115">
        <v>0.48</v>
      </c>
      <c r="L20" s="169">
        <v>0.86</v>
      </c>
      <c r="M20" s="116">
        <v>11.9</v>
      </c>
      <c r="N20" s="114">
        <v>28</v>
      </c>
      <c r="O20" s="170" t="s">
        <v>140</v>
      </c>
      <c r="P20" s="114">
        <v>5</v>
      </c>
      <c r="Q20" s="169">
        <v>0.14</v>
      </c>
      <c r="R20" s="173">
        <v>0.5</v>
      </c>
      <c r="S20" s="169">
        <v>8.69</v>
      </c>
      <c r="T20" s="121">
        <v>78.2</v>
      </c>
      <c r="U20" s="119"/>
      <c r="V20" s="193"/>
      <c r="W20" s="194">
        <f t="shared" si="0"/>
        <v>0.687410071942446</v>
      </c>
    </row>
    <row r="21" ht="12.95" customHeight="1" spans="1:23">
      <c r="A21" s="111">
        <v>15</v>
      </c>
      <c r="B21" s="112">
        <v>266</v>
      </c>
      <c r="C21" s="113">
        <v>135</v>
      </c>
      <c r="D21" s="114">
        <v>196</v>
      </c>
      <c r="E21" s="115">
        <v>2.92</v>
      </c>
      <c r="F21" s="116">
        <v>26.4</v>
      </c>
      <c r="G21" s="117">
        <v>32.7</v>
      </c>
      <c r="H21" s="118">
        <v>44</v>
      </c>
      <c r="I21" s="115">
        <v>2.56</v>
      </c>
      <c r="J21" s="118">
        <v>18</v>
      </c>
      <c r="K21" s="115">
        <v>0.57</v>
      </c>
      <c r="L21" s="169">
        <v>0.72</v>
      </c>
      <c r="M21" s="169">
        <v>7.61</v>
      </c>
      <c r="N21" s="114">
        <v>29</v>
      </c>
      <c r="O21" s="170" t="s">
        <v>140</v>
      </c>
      <c r="P21" s="114">
        <v>5</v>
      </c>
      <c r="Q21" s="169">
        <v>0.1</v>
      </c>
      <c r="R21" s="173">
        <v>0.55</v>
      </c>
      <c r="S21" s="169">
        <v>7.41</v>
      </c>
      <c r="T21" s="121">
        <v>77.9</v>
      </c>
      <c r="U21" s="119" t="s">
        <v>121</v>
      </c>
      <c r="V21" s="193"/>
      <c r="W21" s="194">
        <f t="shared" si="0"/>
        <v>0.773394495412844</v>
      </c>
    </row>
    <row r="22" ht="12" customHeight="1" spans="1:23">
      <c r="A22" s="111">
        <v>16</v>
      </c>
      <c r="B22" s="112">
        <v>212</v>
      </c>
      <c r="C22" s="113">
        <v>105</v>
      </c>
      <c r="D22" s="114">
        <v>148</v>
      </c>
      <c r="E22" s="115">
        <v>3.73</v>
      </c>
      <c r="F22" s="116">
        <v>25.8</v>
      </c>
      <c r="G22" s="117">
        <v>31.9</v>
      </c>
      <c r="H22" s="118">
        <v>42</v>
      </c>
      <c r="I22" s="115">
        <v>2.14</v>
      </c>
      <c r="J22" s="118">
        <v>19</v>
      </c>
      <c r="K22" s="115">
        <v>0.48</v>
      </c>
      <c r="L22" s="169">
        <v>1.62</v>
      </c>
      <c r="M22" s="169">
        <v>9.36</v>
      </c>
      <c r="N22" s="114">
        <v>31</v>
      </c>
      <c r="O22" s="170" t="s">
        <v>140</v>
      </c>
      <c r="P22" s="114">
        <v>5</v>
      </c>
      <c r="Q22" s="169">
        <v>0.16</v>
      </c>
      <c r="R22" s="173">
        <v>0.97</v>
      </c>
      <c r="S22" s="169">
        <v>8.27</v>
      </c>
      <c r="T22" s="121">
        <v>77.8</v>
      </c>
      <c r="U22" s="119" t="s">
        <v>121</v>
      </c>
      <c r="V22" s="193"/>
      <c r="W22" s="194">
        <f t="shared" si="0"/>
        <v>0.740752351097179</v>
      </c>
    </row>
    <row r="23" ht="12.95" customHeight="1" spans="1:23">
      <c r="A23" s="111">
        <v>17</v>
      </c>
      <c r="B23" s="112">
        <v>224</v>
      </c>
      <c r="C23" s="113">
        <v>116</v>
      </c>
      <c r="D23" s="114">
        <v>160</v>
      </c>
      <c r="E23" s="115">
        <v>3.16</v>
      </c>
      <c r="F23" s="116">
        <v>27.3</v>
      </c>
      <c r="G23" s="117">
        <v>33.6</v>
      </c>
      <c r="H23" s="118">
        <v>34</v>
      </c>
      <c r="I23" s="115" t="s">
        <v>140</v>
      </c>
      <c r="J23" s="118">
        <v>16</v>
      </c>
      <c r="K23" s="115">
        <v>0.52</v>
      </c>
      <c r="L23" s="169">
        <v>0.53</v>
      </c>
      <c r="M23" s="169">
        <v>7.74</v>
      </c>
      <c r="N23" s="114">
        <v>25</v>
      </c>
      <c r="O23" s="170" t="s">
        <v>140</v>
      </c>
      <c r="P23" s="114">
        <v>5</v>
      </c>
      <c r="Q23" s="169">
        <v>0.15</v>
      </c>
      <c r="R23" s="173">
        <v>0.38</v>
      </c>
      <c r="S23" s="169">
        <v>7.52</v>
      </c>
      <c r="T23" s="121">
        <v>77.5</v>
      </c>
      <c r="U23" s="119" t="s">
        <v>121</v>
      </c>
      <c r="V23" s="193"/>
      <c r="W23" s="194">
        <f t="shared" si="0"/>
        <v>0.776190476190476</v>
      </c>
    </row>
    <row r="24" ht="12.95" customHeight="1" spans="1:23">
      <c r="A24" s="111">
        <v>18</v>
      </c>
      <c r="B24" s="119">
        <v>146</v>
      </c>
      <c r="C24" s="116">
        <v>75.8</v>
      </c>
      <c r="D24" s="114">
        <v>98</v>
      </c>
      <c r="E24" s="115">
        <v>2.37</v>
      </c>
      <c r="F24" s="116">
        <v>16</v>
      </c>
      <c r="G24" s="117">
        <v>23.6</v>
      </c>
      <c r="H24" s="118">
        <v>40</v>
      </c>
      <c r="I24" s="115" t="s">
        <v>140</v>
      </c>
      <c r="J24" s="118">
        <v>14</v>
      </c>
      <c r="K24" s="115">
        <v>0.53</v>
      </c>
      <c r="L24" s="169">
        <v>0.72</v>
      </c>
      <c r="M24" s="169">
        <v>7.97</v>
      </c>
      <c r="N24" s="114">
        <v>27</v>
      </c>
      <c r="O24" s="170" t="s">
        <v>140</v>
      </c>
      <c r="P24" s="114">
        <v>5</v>
      </c>
      <c r="Q24" s="169">
        <v>0.11</v>
      </c>
      <c r="R24" s="173">
        <v>0.54</v>
      </c>
      <c r="S24" s="169">
        <v>7.62</v>
      </c>
      <c r="T24" s="121">
        <v>77.8</v>
      </c>
      <c r="U24" s="119" t="s">
        <v>121</v>
      </c>
      <c r="V24" s="193"/>
      <c r="W24" s="194">
        <f t="shared" si="0"/>
        <v>0.677118644067797</v>
      </c>
    </row>
    <row r="25" ht="12.95" customHeight="1" spans="1:23">
      <c r="A25" s="111">
        <v>19</v>
      </c>
      <c r="B25" s="119">
        <v>210</v>
      </c>
      <c r="C25" s="124">
        <v>111</v>
      </c>
      <c r="D25" s="114">
        <v>132</v>
      </c>
      <c r="E25" s="115">
        <v>2.32</v>
      </c>
      <c r="F25" s="117">
        <v>18.7</v>
      </c>
      <c r="G25" s="117">
        <v>23.8</v>
      </c>
      <c r="H25" s="118">
        <v>44</v>
      </c>
      <c r="I25" s="171">
        <v>2.14</v>
      </c>
      <c r="J25" s="118">
        <v>18</v>
      </c>
      <c r="K25" s="115">
        <v>0.51</v>
      </c>
      <c r="L25" s="169">
        <v>0.62</v>
      </c>
      <c r="M25" s="169">
        <v>7.72</v>
      </c>
      <c r="N25" s="114">
        <v>30</v>
      </c>
      <c r="O25" s="170" t="s">
        <v>140</v>
      </c>
      <c r="P25" s="114">
        <v>5</v>
      </c>
      <c r="Q25" s="169">
        <v>0.08</v>
      </c>
      <c r="R25" s="173">
        <v>0.45</v>
      </c>
      <c r="S25" s="169">
        <v>7.28</v>
      </c>
      <c r="T25" s="121">
        <v>77.9</v>
      </c>
      <c r="U25" s="119" t="s">
        <v>121</v>
      </c>
      <c r="V25" s="193"/>
      <c r="W25" s="194">
        <f t="shared" si="0"/>
        <v>0.694117647058824</v>
      </c>
    </row>
    <row r="26" ht="12.95" customHeight="1" spans="1:23">
      <c r="A26" s="111">
        <v>20</v>
      </c>
      <c r="B26" s="119">
        <v>242</v>
      </c>
      <c r="C26" s="113">
        <v>120</v>
      </c>
      <c r="D26" s="114">
        <v>106</v>
      </c>
      <c r="E26" s="115">
        <v>2.52</v>
      </c>
      <c r="F26" s="117">
        <v>17.4</v>
      </c>
      <c r="G26" s="117">
        <v>23.4</v>
      </c>
      <c r="H26" s="118">
        <v>46</v>
      </c>
      <c r="I26" s="115">
        <v>2.77</v>
      </c>
      <c r="J26" s="118">
        <v>20</v>
      </c>
      <c r="K26" s="115">
        <v>0.56</v>
      </c>
      <c r="L26" s="169">
        <v>0.7</v>
      </c>
      <c r="M26" s="169">
        <v>8.32</v>
      </c>
      <c r="N26" s="114">
        <v>33</v>
      </c>
      <c r="O26" s="170" t="s">
        <v>140</v>
      </c>
      <c r="P26" s="114">
        <v>5</v>
      </c>
      <c r="Q26" s="169">
        <v>0.08</v>
      </c>
      <c r="R26" s="173">
        <v>0.46</v>
      </c>
      <c r="S26" s="169">
        <v>7.82</v>
      </c>
      <c r="T26" s="121">
        <v>78.1</v>
      </c>
      <c r="U26" s="119"/>
      <c r="V26" s="193"/>
      <c r="W26" s="194">
        <f t="shared" si="0"/>
        <v>0.665811965811966</v>
      </c>
    </row>
    <row r="27" ht="12.95" customHeight="1" spans="1:23">
      <c r="A27" s="111">
        <v>21</v>
      </c>
      <c r="B27" s="119">
        <v>224</v>
      </c>
      <c r="C27" s="113">
        <v>116</v>
      </c>
      <c r="D27" s="114">
        <v>168</v>
      </c>
      <c r="E27" s="115">
        <v>1.9</v>
      </c>
      <c r="F27" s="121">
        <v>18.2</v>
      </c>
      <c r="G27" s="117">
        <v>25.3</v>
      </c>
      <c r="H27" s="118">
        <v>37</v>
      </c>
      <c r="I27" s="115" t="s">
        <v>140</v>
      </c>
      <c r="J27" s="118">
        <v>16</v>
      </c>
      <c r="K27" s="115">
        <v>0.52</v>
      </c>
      <c r="L27" s="169">
        <v>0.6</v>
      </c>
      <c r="M27" s="169">
        <v>6.38</v>
      </c>
      <c r="N27" s="114">
        <v>28</v>
      </c>
      <c r="O27" s="170" t="s">
        <v>140</v>
      </c>
      <c r="P27" s="114">
        <v>5</v>
      </c>
      <c r="Q27" s="169">
        <v>0.09</v>
      </c>
      <c r="R27" s="173">
        <v>0.44</v>
      </c>
      <c r="S27" s="169">
        <v>6.24</v>
      </c>
      <c r="T27" s="121">
        <v>77.8</v>
      </c>
      <c r="U27" s="119"/>
      <c r="V27" s="193"/>
      <c r="W27" s="194">
        <f t="shared" si="0"/>
        <v>0.753359683794466</v>
      </c>
    </row>
    <row r="28" ht="12.95" customHeight="1" spans="1:23">
      <c r="A28" s="111">
        <v>22</v>
      </c>
      <c r="B28" s="119">
        <v>130</v>
      </c>
      <c r="C28" s="116">
        <v>65.2</v>
      </c>
      <c r="D28" s="114">
        <v>80</v>
      </c>
      <c r="E28" s="115">
        <v>2.38</v>
      </c>
      <c r="F28" s="121">
        <v>23.9</v>
      </c>
      <c r="G28" s="117">
        <v>29.6</v>
      </c>
      <c r="H28" s="118">
        <v>36</v>
      </c>
      <c r="I28" s="115" t="s">
        <v>140</v>
      </c>
      <c r="J28" s="118">
        <v>16</v>
      </c>
      <c r="K28" s="115">
        <v>0.5</v>
      </c>
      <c r="L28" s="169">
        <v>0.69</v>
      </c>
      <c r="M28" s="169">
        <v>7.82</v>
      </c>
      <c r="N28" s="114">
        <v>26</v>
      </c>
      <c r="O28" s="170" t="s">
        <v>140</v>
      </c>
      <c r="P28" s="114">
        <v>5</v>
      </c>
      <c r="Q28" s="169">
        <v>0.08</v>
      </c>
      <c r="R28" s="173">
        <v>0.45</v>
      </c>
      <c r="S28" s="169">
        <v>7.38</v>
      </c>
      <c r="T28" s="121">
        <v>77.7</v>
      </c>
      <c r="U28" s="119" t="s">
        <v>121</v>
      </c>
      <c r="V28" s="193"/>
      <c r="W28" s="194">
        <f t="shared" si="0"/>
        <v>0.750675675675676</v>
      </c>
    </row>
    <row r="29" ht="12.95" customHeight="1" spans="1:23">
      <c r="A29" s="111">
        <v>23</v>
      </c>
      <c r="B29" s="119">
        <v>259</v>
      </c>
      <c r="C29" s="124">
        <v>137</v>
      </c>
      <c r="D29" s="114">
        <v>136</v>
      </c>
      <c r="E29" s="115">
        <v>3.11</v>
      </c>
      <c r="F29" s="121">
        <v>23.7</v>
      </c>
      <c r="G29" s="117">
        <v>29.2</v>
      </c>
      <c r="H29" s="118">
        <v>40</v>
      </c>
      <c r="I29" s="171" t="s">
        <v>140</v>
      </c>
      <c r="J29" s="118">
        <v>14</v>
      </c>
      <c r="K29" s="115">
        <v>0.51</v>
      </c>
      <c r="L29" s="169">
        <v>0.8</v>
      </c>
      <c r="M29" s="169">
        <v>8.47</v>
      </c>
      <c r="N29" s="114">
        <v>28</v>
      </c>
      <c r="O29" s="170" t="s">
        <v>140</v>
      </c>
      <c r="P29" s="114">
        <v>5</v>
      </c>
      <c r="Q29" s="169">
        <v>0.07</v>
      </c>
      <c r="R29" s="173">
        <v>0.73</v>
      </c>
      <c r="S29" s="169">
        <v>7.54</v>
      </c>
      <c r="T29" s="121">
        <v>78</v>
      </c>
      <c r="U29" s="119" t="s">
        <v>121</v>
      </c>
      <c r="V29" s="193"/>
      <c r="W29" s="194">
        <f t="shared" si="0"/>
        <v>0.741780821917808</v>
      </c>
    </row>
    <row r="30" ht="12.95" customHeight="1" spans="1:23">
      <c r="A30" s="111">
        <v>24</v>
      </c>
      <c r="B30" s="119">
        <v>226</v>
      </c>
      <c r="C30" s="113">
        <v>115</v>
      </c>
      <c r="D30" s="114">
        <v>118</v>
      </c>
      <c r="E30" s="115">
        <v>1.92</v>
      </c>
      <c r="F30" s="125">
        <v>17.1</v>
      </c>
      <c r="G30" s="126">
        <v>22.6</v>
      </c>
      <c r="H30" s="118">
        <v>39</v>
      </c>
      <c r="I30" s="115" t="s">
        <v>140</v>
      </c>
      <c r="J30" s="118">
        <v>13</v>
      </c>
      <c r="K30" s="115">
        <v>0.56</v>
      </c>
      <c r="L30" s="169">
        <v>0.66</v>
      </c>
      <c r="M30" s="169">
        <v>9.36</v>
      </c>
      <c r="N30" s="114">
        <v>26</v>
      </c>
      <c r="O30" s="170" t="s">
        <v>140</v>
      </c>
      <c r="P30" s="114">
        <v>5</v>
      </c>
      <c r="Q30" s="169">
        <v>0.08</v>
      </c>
      <c r="R30" s="169">
        <v>0.45</v>
      </c>
      <c r="S30" s="169">
        <v>8.47</v>
      </c>
      <c r="T30" s="125">
        <v>77.8</v>
      </c>
      <c r="U30" s="119" t="s">
        <v>121</v>
      </c>
      <c r="V30" s="193"/>
      <c r="W30" s="194">
        <f t="shared" si="0"/>
        <v>0.625221238938053</v>
      </c>
    </row>
    <row r="31" ht="12.95" customHeight="1" spans="1:23">
      <c r="A31" s="111">
        <v>25</v>
      </c>
      <c r="B31" s="119">
        <v>249</v>
      </c>
      <c r="C31" s="113">
        <v>125</v>
      </c>
      <c r="D31" s="114">
        <v>148</v>
      </c>
      <c r="E31" s="115">
        <v>1.8</v>
      </c>
      <c r="F31" s="117">
        <v>15</v>
      </c>
      <c r="G31" s="126">
        <v>21.2</v>
      </c>
      <c r="H31" s="118">
        <v>42</v>
      </c>
      <c r="I31" s="115">
        <v>2.14</v>
      </c>
      <c r="J31" s="118">
        <v>17</v>
      </c>
      <c r="K31" s="115">
        <v>0.56</v>
      </c>
      <c r="L31" s="169">
        <v>0.62</v>
      </c>
      <c r="M31" s="172">
        <v>7.87</v>
      </c>
      <c r="N31" s="114">
        <v>30</v>
      </c>
      <c r="O31" s="170" t="s">
        <v>140</v>
      </c>
      <c r="P31" s="114">
        <v>5</v>
      </c>
      <c r="Q31" s="169">
        <v>0.08</v>
      </c>
      <c r="R31" s="169">
        <v>0.6</v>
      </c>
      <c r="S31" s="172">
        <v>7.7</v>
      </c>
      <c r="T31" s="121">
        <v>77.5</v>
      </c>
      <c r="U31" s="119" t="s">
        <v>121</v>
      </c>
      <c r="V31" s="193"/>
      <c r="W31" s="194">
        <f t="shared" si="0"/>
        <v>0.636792452830189</v>
      </c>
    </row>
    <row r="32" ht="12.95" customHeight="1" spans="1:23">
      <c r="A32" s="111">
        <v>26</v>
      </c>
      <c r="B32" s="119">
        <v>152</v>
      </c>
      <c r="C32" s="116">
        <v>80.2</v>
      </c>
      <c r="D32" s="114">
        <v>60</v>
      </c>
      <c r="E32" s="115">
        <v>1.69</v>
      </c>
      <c r="F32" s="116">
        <v>15.3</v>
      </c>
      <c r="G32" s="117">
        <v>21.6</v>
      </c>
      <c r="H32" s="118">
        <v>49</v>
      </c>
      <c r="I32" s="115" t="s">
        <v>140</v>
      </c>
      <c r="J32" s="118">
        <v>19</v>
      </c>
      <c r="K32" s="115">
        <v>0.53</v>
      </c>
      <c r="L32" s="169">
        <v>0.6</v>
      </c>
      <c r="M32" s="169">
        <v>6.48</v>
      </c>
      <c r="N32" s="114">
        <v>30</v>
      </c>
      <c r="O32" s="170" t="s">
        <v>140</v>
      </c>
      <c r="P32" s="114">
        <v>5</v>
      </c>
      <c r="Q32" s="169">
        <v>0.09</v>
      </c>
      <c r="R32" s="169">
        <v>0.44</v>
      </c>
      <c r="S32" s="169">
        <v>6.38</v>
      </c>
      <c r="T32" s="121">
        <v>77.9</v>
      </c>
      <c r="U32" s="119" t="s">
        <v>121</v>
      </c>
      <c r="V32" s="193"/>
      <c r="W32" s="194">
        <f t="shared" si="0"/>
        <v>0.70462962962963</v>
      </c>
    </row>
    <row r="33" ht="12.95" customHeight="1" spans="1:23">
      <c r="A33" s="111">
        <v>27</v>
      </c>
      <c r="B33" s="119">
        <v>232</v>
      </c>
      <c r="C33" s="113">
        <v>118</v>
      </c>
      <c r="D33" s="114">
        <v>146</v>
      </c>
      <c r="E33" s="115">
        <v>2.32</v>
      </c>
      <c r="F33" s="121">
        <v>16.7</v>
      </c>
      <c r="G33" s="117">
        <v>22.9</v>
      </c>
      <c r="H33" s="118">
        <v>45</v>
      </c>
      <c r="I33" s="115" t="s">
        <v>140</v>
      </c>
      <c r="J33" s="118">
        <v>18</v>
      </c>
      <c r="K33" s="115">
        <v>0.52</v>
      </c>
      <c r="L33" s="169">
        <v>0.61</v>
      </c>
      <c r="M33" s="169">
        <v>8.22</v>
      </c>
      <c r="N33" s="114">
        <v>31</v>
      </c>
      <c r="O33" s="170" t="s">
        <v>140</v>
      </c>
      <c r="P33" s="114">
        <v>5</v>
      </c>
      <c r="Q33" s="169">
        <v>0.1</v>
      </c>
      <c r="R33" s="169">
        <v>0.54</v>
      </c>
      <c r="S33" s="169">
        <v>7.2</v>
      </c>
      <c r="T33" s="121">
        <v>77.5</v>
      </c>
      <c r="U33" s="119"/>
      <c r="V33" s="193"/>
      <c r="W33" s="194">
        <f t="shared" si="0"/>
        <v>0.685589519650655</v>
      </c>
    </row>
    <row r="34" ht="12.95" customHeight="1" spans="1:23">
      <c r="A34" s="111">
        <v>28</v>
      </c>
      <c r="B34" s="119">
        <v>270</v>
      </c>
      <c r="C34" s="113">
        <v>140</v>
      </c>
      <c r="D34" s="114">
        <v>240</v>
      </c>
      <c r="E34" s="115">
        <v>3.56</v>
      </c>
      <c r="F34" s="116">
        <v>15.7</v>
      </c>
      <c r="G34" s="117">
        <v>22.6</v>
      </c>
      <c r="H34" s="118">
        <v>54</v>
      </c>
      <c r="I34" s="115">
        <v>2.33</v>
      </c>
      <c r="J34" s="118">
        <v>19</v>
      </c>
      <c r="K34" s="115">
        <v>0.41</v>
      </c>
      <c r="L34" s="169">
        <v>0.77</v>
      </c>
      <c r="M34" s="169">
        <v>7.67</v>
      </c>
      <c r="N34" s="114">
        <v>33</v>
      </c>
      <c r="O34" s="170" t="s">
        <v>140</v>
      </c>
      <c r="P34" s="114">
        <v>6</v>
      </c>
      <c r="Q34" s="169">
        <v>0.11</v>
      </c>
      <c r="R34" s="169">
        <v>0.54</v>
      </c>
      <c r="S34" s="169">
        <v>7.6</v>
      </c>
      <c r="T34" s="121">
        <v>77.9</v>
      </c>
      <c r="U34" s="119"/>
      <c r="V34" s="193"/>
      <c r="W34" s="194">
        <f t="shared" si="0"/>
        <v>0.663716814159292</v>
      </c>
    </row>
    <row r="35" ht="12.95" customHeight="1" spans="1:23">
      <c r="A35" s="111">
        <v>29</v>
      </c>
      <c r="B35" s="119">
        <v>320</v>
      </c>
      <c r="C35" s="113">
        <v>170</v>
      </c>
      <c r="D35" s="114">
        <v>252</v>
      </c>
      <c r="E35" s="115">
        <v>2.08</v>
      </c>
      <c r="F35" s="116">
        <v>20.4</v>
      </c>
      <c r="G35" s="117">
        <v>26.9</v>
      </c>
      <c r="H35" s="118">
        <v>48</v>
      </c>
      <c r="I35" s="115" t="s">
        <v>140</v>
      </c>
      <c r="J35" s="118">
        <v>19</v>
      </c>
      <c r="K35" s="115">
        <v>0.45</v>
      </c>
      <c r="L35" s="169">
        <v>0.68</v>
      </c>
      <c r="M35" s="169">
        <v>8.22</v>
      </c>
      <c r="N35" s="114">
        <v>34</v>
      </c>
      <c r="O35" s="170" t="s">
        <v>140</v>
      </c>
      <c r="P35" s="114">
        <v>5</v>
      </c>
      <c r="Q35" s="169">
        <v>0.13</v>
      </c>
      <c r="R35" s="169">
        <v>0.6</v>
      </c>
      <c r="S35" s="169">
        <v>8.17</v>
      </c>
      <c r="T35" s="121">
        <v>78.2</v>
      </c>
      <c r="U35" s="119" t="s">
        <v>121</v>
      </c>
      <c r="V35" s="193"/>
      <c r="W35" s="194">
        <f t="shared" si="0"/>
        <v>0.696282527881041</v>
      </c>
    </row>
    <row r="36" ht="12.95" customHeight="1" spans="1:23">
      <c r="A36" s="111">
        <v>30</v>
      </c>
      <c r="B36" s="119">
        <v>190</v>
      </c>
      <c r="C36" s="116">
        <v>97.1</v>
      </c>
      <c r="D36" s="114">
        <v>110</v>
      </c>
      <c r="E36" s="115">
        <v>2</v>
      </c>
      <c r="F36" s="121">
        <v>17.7</v>
      </c>
      <c r="G36" s="117">
        <v>24.9</v>
      </c>
      <c r="H36" s="118">
        <v>54</v>
      </c>
      <c r="I36" s="115">
        <v>2.98</v>
      </c>
      <c r="J36" s="118">
        <v>20</v>
      </c>
      <c r="K36" s="115">
        <v>0.44</v>
      </c>
      <c r="L36" s="169">
        <v>0.77</v>
      </c>
      <c r="M36" s="169">
        <v>8.67</v>
      </c>
      <c r="N36" s="114">
        <v>31</v>
      </c>
      <c r="O36" s="170" t="s">
        <v>140</v>
      </c>
      <c r="P36" s="114">
        <v>5</v>
      </c>
      <c r="Q36" s="169">
        <v>0.11</v>
      </c>
      <c r="R36" s="169">
        <v>0.58</v>
      </c>
      <c r="S36" s="169">
        <v>7.98</v>
      </c>
      <c r="T36" s="121">
        <v>77.8</v>
      </c>
      <c r="U36" s="119" t="s">
        <v>121</v>
      </c>
      <c r="V36" s="193"/>
      <c r="W36" s="194">
        <f t="shared" si="0"/>
        <v>0.679518072289157</v>
      </c>
    </row>
    <row r="37" ht="12.95" customHeight="1" spans="1:23">
      <c r="A37" s="111">
        <v>31</v>
      </c>
      <c r="B37" s="119">
        <v>152</v>
      </c>
      <c r="C37" s="116">
        <v>77.4</v>
      </c>
      <c r="D37" s="114">
        <v>120</v>
      </c>
      <c r="E37" s="115">
        <v>1.55</v>
      </c>
      <c r="F37" s="121">
        <v>16.1</v>
      </c>
      <c r="G37" s="117">
        <v>21.8</v>
      </c>
      <c r="H37" s="118">
        <v>46</v>
      </c>
      <c r="I37" s="115">
        <v>2.03</v>
      </c>
      <c r="J37" s="118">
        <v>20</v>
      </c>
      <c r="K37" s="115">
        <v>0.55</v>
      </c>
      <c r="L37" s="169">
        <v>0.71</v>
      </c>
      <c r="M37" s="173">
        <v>7.87</v>
      </c>
      <c r="N37" s="114">
        <v>34</v>
      </c>
      <c r="O37" s="170" t="s">
        <v>140</v>
      </c>
      <c r="P37" s="114">
        <v>6</v>
      </c>
      <c r="Q37" s="169">
        <v>0.15</v>
      </c>
      <c r="R37" s="169">
        <v>0.54</v>
      </c>
      <c r="S37" s="169">
        <v>7.5</v>
      </c>
      <c r="T37" s="121">
        <v>77.7</v>
      </c>
      <c r="U37" s="119" t="s">
        <v>121</v>
      </c>
      <c r="V37" s="193"/>
      <c r="W37" s="194">
        <f t="shared" si="0"/>
        <v>0.655963302752294</v>
      </c>
    </row>
    <row r="38" ht="12.95" customHeight="1" spans="1:21">
      <c r="A38" s="111" t="s">
        <v>58</v>
      </c>
      <c r="B38" s="114">
        <f>ROUND(AVERAGE(B7:B37),0)</f>
        <v>211</v>
      </c>
      <c r="C38" s="114">
        <f>ROUND(AVERAGE(C7:C37),0)</f>
        <v>107</v>
      </c>
      <c r="D38" s="114">
        <f>ROUND(AVERAGE(D7:D37),0)</f>
        <v>136</v>
      </c>
      <c r="E38" s="115">
        <f>ROUND(AVERAGE(E7:E37),2)</f>
        <v>2.51</v>
      </c>
      <c r="F38" s="121">
        <f>ROUND(AVERAGE(F7:F37),1)</f>
        <v>20.2</v>
      </c>
      <c r="G38" s="121">
        <f>ROUND(AVERAGE(G7:G37),1)</f>
        <v>26.4</v>
      </c>
      <c r="H38" s="127">
        <f>ROUND(AVERAGE(H7:H37),1)</f>
        <v>42</v>
      </c>
      <c r="I38" s="174">
        <f>ROUND(AVERAGE(I7:I37),2)</f>
        <v>2.39</v>
      </c>
      <c r="J38" s="175">
        <f>ROUND(AVERAGE(J7:J37),2)</f>
        <v>17.58</v>
      </c>
      <c r="K38" s="174">
        <f>ROUND(AVERAGE(K7:K37),2)</f>
        <v>0.51</v>
      </c>
      <c r="L38" s="174">
        <f>ROUND(AVERAGE(L7:L37),2)</f>
        <v>0.75</v>
      </c>
      <c r="M38" s="173">
        <f>ROUND(AVERAGE(M7:M37),1)</f>
        <v>7.9</v>
      </c>
      <c r="N38" s="114">
        <f>ROUND(AVERAGE(N7:N37),1)</f>
        <v>28.6</v>
      </c>
      <c r="O38" s="170" t="s">
        <v>140</v>
      </c>
      <c r="P38" s="114">
        <f>ROUND(AVERAGE(P7:P37),2)</f>
        <v>5.13</v>
      </c>
      <c r="Q38" s="169">
        <f>ROUND(AVERAGE(Q7:Q37),2)</f>
        <v>0.11</v>
      </c>
      <c r="R38" s="115">
        <f>ROUND(AVERAGE(R7:R37),2)</f>
        <v>0.52</v>
      </c>
      <c r="S38" s="173">
        <f>ROUND(AVERAGE(S7:S37),2)</f>
        <v>7.42</v>
      </c>
      <c r="T38" s="117">
        <f>ROUND(AVERAGE(T7:T37),2)</f>
        <v>77.83</v>
      </c>
      <c r="U38" s="119" t="s">
        <v>121</v>
      </c>
    </row>
    <row r="39" ht="21" customHeight="1" spans="1:21">
      <c r="A39" s="128" t="s">
        <v>61</v>
      </c>
      <c r="B39" s="129"/>
      <c r="C39" s="129"/>
      <c r="D39" s="130"/>
      <c r="E39" s="131"/>
      <c r="F39" s="132"/>
      <c r="H39"/>
      <c r="I39"/>
      <c r="J39" s="128" t="s">
        <v>62</v>
      </c>
      <c r="K39" s="176"/>
      <c r="L39" s="176"/>
      <c r="M39" s="176"/>
      <c r="N39" s="128"/>
      <c r="O39" s="177"/>
      <c r="P39" s="177"/>
      <c r="Q39" s="195" t="s">
        <v>141</v>
      </c>
      <c r="R39" s="195"/>
      <c r="S39" s="195"/>
      <c r="T39" s="195"/>
      <c r="U39" s="196"/>
    </row>
    <row r="40" ht="21" customHeight="1" spans="1:21">
      <c r="A40" s="133"/>
      <c r="B40" s="134"/>
      <c r="C40" s="135"/>
      <c r="D40" s="136"/>
      <c r="E40" s="137"/>
      <c r="F40" s="138"/>
      <c r="H40"/>
      <c r="I40"/>
      <c r="J40" s="177"/>
      <c r="K40" s="177"/>
      <c r="L40" s="177"/>
      <c r="M40" s="177"/>
      <c r="N40" s="133"/>
      <c r="O40" s="177"/>
      <c r="P40" s="177"/>
      <c r="Q40" s="197"/>
      <c r="R40" s="197"/>
      <c r="S40" s="197"/>
      <c r="T40" s="197"/>
      <c r="U40" s="196"/>
    </row>
    <row r="41" ht="15.75" spans="2:19">
      <c r="B41" s="139" t="s">
        <v>100</v>
      </c>
      <c r="C41" s="139" t="s">
        <v>142</v>
      </c>
      <c r="D41" s="140" t="s">
        <v>143</v>
      </c>
      <c r="E41" s="139" t="s">
        <v>144</v>
      </c>
      <c r="F41" s="139" t="s">
        <v>145</v>
      </c>
      <c r="G41" s="140" t="s">
        <v>143</v>
      </c>
      <c r="H41" s="139" t="s">
        <v>144</v>
      </c>
      <c r="I41" s="140" t="s">
        <v>146</v>
      </c>
      <c r="J41" s="177"/>
      <c r="K41" s="177"/>
      <c r="L41" s="177"/>
      <c r="S41" s="198"/>
    </row>
    <row r="42" ht="30" spans="2:20">
      <c r="B42" s="139"/>
      <c r="C42" s="139"/>
      <c r="D42" s="141" t="s">
        <v>147</v>
      </c>
      <c r="E42" s="139"/>
      <c r="F42" s="139"/>
      <c r="G42" s="141" t="s">
        <v>147</v>
      </c>
      <c r="H42" s="139"/>
      <c r="I42" s="141" t="s">
        <v>148</v>
      </c>
      <c r="J42" s="177"/>
      <c r="K42" s="177"/>
      <c r="L42" s="177"/>
      <c r="M42" s="178"/>
      <c r="N42" s="178"/>
      <c r="O42" s="178"/>
      <c r="P42" s="178"/>
      <c r="Q42" s="178"/>
      <c r="R42" s="178"/>
      <c r="S42" s="199"/>
      <c r="T42" s="199"/>
    </row>
    <row r="43" ht="18" spans="2:18">
      <c r="B43" s="142" t="s">
        <v>149</v>
      </c>
      <c r="C43" s="143">
        <f>B38</f>
        <v>211</v>
      </c>
      <c r="D43" s="144">
        <f>MAX(B7:B37)</f>
        <v>320</v>
      </c>
      <c r="E43" s="144">
        <f>MIN(B7:B37)</f>
        <v>130</v>
      </c>
      <c r="F43" s="145">
        <f>N38</f>
        <v>28.6</v>
      </c>
      <c r="G43" s="146">
        <f>MAX(N7:N37)</f>
        <v>34</v>
      </c>
      <c r="H43" s="144">
        <f>MIN(N7:N37)</f>
        <v>22</v>
      </c>
      <c r="I43" s="179">
        <f t="shared" ref="I43:I48" si="1">1-F43/C43</f>
        <v>0.864454976303318</v>
      </c>
      <c r="J43" s="161"/>
      <c r="K43" s="142" t="s">
        <v>150</v>
      </c>
      <c r="L43" s="180">
        <f>C44/C43</f>
        <v>0.507109004739337</v>
      </c>
      <c r="M43" s="181"/>
      <c r="N43" s="182"/>
      <c r="O43" s="182"/>
      <c r="P43" s="182"/>
      <c r="Q43" s="181"/>
      <c r="R43" s="186"/>
    </row>
    <row r="44" ht="17.25" spans="2:18">
      <c r="B44" s="147" t="s">
        <v>151</v>
      </c>
      <c r="C44" s="148">
        <f>C38</f>
        <v>107</v>
      </c>
      <c r="D44" s="149">
        <f>MAX(C7:C37)</f>
        <v>170</v>
      </c>
      <c r="E44" s="150">
        <f>MIN(C7:C37)</f>
        <v>65.2</v>
      </c>
      <c r="F44" s="151" t="s">
        <v>140</v>
      </c>
      <c r="G44" s="150" t="s">
        <v>140</v>
      </c>
      <c r="H44" s="150" t="s">
        <v>140</v>
      </c>
      <c r="I44" s="183">
        <f>1-2/C44</f>
        <v>0.981308411214953</v>
      </c>
      <c r="J44" s="161"/>
      <c r="K44" s="147" t="s">
        <v>152</v>
      </c>
      <c r="L44" s="184">
        <f>C44/C48</f>
        <v>4.0530303030303</v>
      </c>
      <c r="M44" s="181"/>
      <c r="N44" s="182"/>
      <c r="O44" s="182"/>
      <c r="P44" s="182"/>
      <c r="Q44" s="181"/>
      <c r="R44" s="186"/>
    </row>
    <row r="45" ht="17.25" spans="2:18">
      <c r="B45" s="147" t="s">
        <v>111</v>
      </c>
      <c r="C45" s="152">
        <f>D38</f>
        <v>136</v>
      </c>
      <c r="D45" s="150">
        <f>MAX(D7:D37)</f>
        <v>252</v>
      </c>
      <c r="E45" s="153">
        <f>MIN(D7:D37)</f>
        <v>60</v>
      </c>
      <c r="F45" s="154">
        <f>P38</f>
        <v>5.13</v>
      </c>
      <c r="G45" s="155">
        <f>MAX(P7:P37)</f>
        <v>6</v>
      </c>
      <c r="H45" s="155">
        <f>MIN(P7:P37)</f>
        <v>5</v>
      </c>
      <c r="I45" s="183">
        <f t="shared" si="1"/>
        <v>0.962279411764706</v>
      </c>
      <c r="J45" s="161"/>
      <c r="K45" s="147" t="s">
        <v>153</v>
      </c>
      <c r="L45" s="185">
        <f>C44/C46</f>
        <v>42.6294820717131</v>
      </c>
      <c r="M45" s="186"/>
      <c r="N45" s="186"/>
      <c r="O45" s="186"/>
      <c r="P45" s="186"/>
      <c r="Q45" s="186"/>
      <c r="R45" s="186"/>
    </row>
    <row r="46" ht="17.25" spans="2:12">
      <c r="B46" s="147" t="s">
        <v>113</v>
      </c>
      <c r="C46" s="154">
        <f>E38</f>
        <v>2.51</v>
      </c>
      <c r="D46" s="150">
        <f>MAX(E7:E37)</f>
        <v>4.55</v>
      </c>
      <c r="E46" s="150">
        <f>MIN(E7:E37)</f>
        <v>1.55</v>
      </c>
      <c r="F46" s="154">
        <f>Q38</f>
        <v>0.11</v>
      </c>
      <c r="G46" s="155">
        <f>MAX(Q7:Q37)</f>
        <v>0.19</v>
      </c>
      <c r="H46" s="155">
        <f>MIN(Q7:Q37)</f>
        <v>0.07</v>
      </c>
      <c r="I46" s="183">
        <f t="shared" si="1"/>
        <v>0.956175298804781</v>
      </c>
      <c r="J46" s="161"/>
      <c r="K46" s="147"/>
      <c r="L46" s="187"/>
    </row>
    <row r="47" ht="17.25" spans="2:12">
      <c r="B47" s="147" t="s">
        <v>154</v>
      </c>
      <c r="C47" s="148">
        <f>F38</f>
        <v>20.2</v>
      </c>
      <c r="D47" s="150">
        <f>MAX(F7:F37)</f>
        <v>27.3</v>
      </c>
      <c r="E47" s="150">
        <f>MIN(F7:F37)</f>
        <v>15</v>
      </c>
      <c r="F47" s="154">
        <f>R38</f>
        <v>0.52</v>
      </c>
      <c r="G47" s="150">
        <f>MAX(R7:R37)</f>
        <v>0.97</v>
      </c>
      <c r="H47" s="155">
        <f>MIN(R7:R37)</f>
        <v>0.38</v>
      </c>
      <c r="I47" s="183">
        <f t="shared" si="1"/>
        <v>0.974257425742574</v>
      </c>
      <c r="J47" s="161"/>
      <c r="K47" s="147"/>
      <c r="L47" s="187"/>
    </row>
    <row r="48" ht="17.25" spans="2:12">
      <c r="B48" s="156" t="s">
        <v>116</v>
      </c>
      <c r="C48" s="157">
        <f>G38</f>
        <v>26.4</v>
      </c>
      <c r="D48" s="158">
        <f>MAX(G7:G37)</f>
        <v>33.6</v>
      </c>
      <c r="E48" s="158">
        <f>MIN(G7:G37)</f>
        <v>21.2</v>
      </c>
      <c r="F48" s="159">
        <f>S38</f>
        <v>7.42</v>
      </c>
      <c r="G48" s="158">
        <f>MAX(S7:S37)</f>
        <v>8.69</v>
      </c>
      <c r="H48" s="158">
        <f>MIN(S7:S37)</f>
        <v>6</v>
      </c>
      <c r="I48" s="188">
        <f t="shared" si="1"/>
        <v>0.718939393939394</v>
      </c>
      <c r="J48" s="161"/>
      <c r="K48" s="156"/>
      <c r="L48" s="189"/>
    </row>
    <row r="49" ht="17.25" spans="2:12">
      <c r="B49" s="160"/>
      <c r="C49" s="161"/>
      <c r="D49" s="161"/>
      <c r="E49" s="161"/>
      <c r="F49" s="161"/>
      <c r="G49" s="161"/>
      <c r="H49" s="162"/>
      <c r="I49" s="161"/>
      <c r="J49" s="161"/>
      <c r="K49" s="162"/>
      <c r="L49" s="161"/>
    </row>
    <row r="50" spans="2:2">
      <c r="B50" s="163"/>
    </row>
    <row r="51" spans="2:2">
      <c r="B51" s="163"/>
    </row>
    <row r="52" spans="2:2">
      <c r="B52" s="163"/>
    </row>
    <row r="53" spans="2:2">
      <c r="B53" s="163"/>
    </row>
    <row r="54" spans="2:2">
      <c r="B54" s="163"/>
    </row>
    <row r="55" spans="2:2">
      <c r="B55" s="163"/>
    </row>
    <row r="56" spans="2:2">
      <c r="B56" s="163"/>
    </row>
    <row r="57" spans="2:2">
      <c r="B57" s="163"/>
    </row>
    <row r="58" spans="2:2">
      <c r="B58" s="163"/>
    </row>
    <row r="59" spans="2:2">
      <c r="B59" s="163"/>
    </row>
    <row r="60" spans="2:2">
      <c r="B60" s="163"/>
    </row>
    <row r="61" spans="2:2">
      <c r="B61" s="163"/>
    </row>
    <row r="62" spans="2:2">
      <c r="B62" s="163"/>
    </row>
    <row r="63" spans="2:2">
      <c r="B63" s="163"/>
    </row>
    <row r="64" spans="2:2">
      <c r="B64" s="163"/>
    </row>
    <row r="65" spans="2:2">
      <c r="B65" s="163"/>
    </row>
    <row r="66" spans="2:2">
      <c r="B66" s="163"/>
    </row>
    <row r="67" spans="2:2">
      <c r="B67" s="163"/>
    </row>
    <row r="68" spans="2:2">
      <c r="B68" s="163"/>
    </row>
  </sheetData>
  <mergeCells count="15">
    <mergeCell ref="A1:T1"/>
    <mergeCell ref="J3:K3"/>
    <mergeCell ref="B4:G4"/>
    <mergeCell ref="H4:M4"/>
    <mergeCell ref="N4:S4"/>
    <mergeCell ref="J39:M39"/>
    <mergeCell ref="Q39:T39"/>
    <mergeCell ref="A4:A6"/>
    <mergeCell ref="B41:B42"/>
    <mergeCell ref="C41:C42"/>
    <mergeCell ref="E41:E42"/>
    <mergeCell ref="F41:F42"/>
    <mergeCell ref="H41:H42"/>
    <mergeCell ref="T4:T5"/>
    <mergeCell ref="U4:U5"/>
  </mergeCells>
  <pageMargins left="0.472222222222222" right="0.2" top="0.275" bottom="0.2" header="0.432638888888889" footer="0.51"/>
  <pageSetup paperSize="9" fitToWidth="0" fitToHeight="0" orientation="landscape" horizontalDpi="300" verticalDpi="300"/>
  <headerFooter alignWithMargins="0"/>
  <ignoredErrors>
    <ignoredError sqref="I44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D316"/>
  <sheetViews>
    <sheetView topLeftCell="A289" workbookViewId="0">
      <selection activeCell="D314" sqref="D314"/>
    </sheetView>
  </sheetViews>
  <sheetFormatPr defaultColWidth="8.75" defaultRowHeight="16.5" customHeight="1"/>
  <cols>
    <col min="1" max="1" width="6.25" style="53" customWidth="1"/>
    <col min="2" max="2" width="11.25" style="53" customWidth="1"/>
    <col min="3" max="3" width="3.88333333333333" style="53" customWidth="1"/>
    <col min="4" max="4" width="5.25" style="53" customWidth="1"/>
    <col min="5" max="5" width="7" style="53" customWidth="1"/>
    <col min="6" max="7" width="6.63333333333333" style="53" customWidth="1"/>
    <col min="8" max="8" width="5.5" style="54" customWidth="1"/>
    <col min="9" max="9" width="5.5" style="53" customWidth="1"/>
    <col min="10" max="10" width="28.875" style="53" customWidth="1"/>
    <col min="11" max="12" width="9" style="55"/>
    <col min="13" max="16384" width="8.75" style="55"/>
  </cols>
  <sheetData>
    <row r="1" ht="35" customHeight="1" spans="1:10">
      <c r="A1" s="56" t="s">
        <v>155</v>
      </c>
      <c r="B1" s="56"/>
      <c r="C1" s="56"/>
      <c r="D1" s="56"/>
      <c r="E1" s="56"/>
      <c r="F1" s="56"/>
      <c r="G1" s="56"/>
      <c r="H1" s="57"/>
      <c r="I1" s="56"/>
      <c r="J1" s="56"/>
    </row>
    <row r="2" customHeight="1" spans="1:10">
      <c r="A2" s="58">
        <v>44256</v>
      </c>
      <c r="B2" s="58"/>
      <c r="C2" s="58"/>
      <c r="D2" s="58"/>
      <c r="E2" s="58"/>
      <c r="F2" s="58"/>
      <c r="G2" s="58"/>
      <c r="H2" s="58"/>
      <c r="I2" s="58"/>
      <c r="J2" s="58"/>
    </row>
    <row r="3" customHeight="1" spans="1:10">
      <c r="A3" s="6" t="s">
        <v>156</v>
      </c>
      <c r="B3" s="6" t="s">
        <v>157</v>
      </c>
      <c r="C3" s="6" t="s">
        <v>158</v>
      </c>
      <c r="D3" s="6" t="s">
        <v>159</v>
      </c>
      <c r="E3" s="59" t="s">
        <v>160</v>
      </c>
      <c r="F3" s="59" t="s">
        <v>161</v>
      </c>
      <c r="G3" s="60" t="s">
        <v>162</v>
      </c>
      <c r="H3" s="61" t="s">
        <v>163</v>
      </c>
      <c r="I3" s="59" t="s">
        <v>164</v>
      </c>
      <c r="J3" s="6" t="s">
        <v>165</v>
      </c>
    </row>
    <row r="4" customHeight="1" spans="1:10">
      <c r="A4" s="6"/>
      <c r="B4" s="6"/>
      <c r="C4" s="6"/>
      <c r="D4" s="6"/>
      <c r="E4" s="59"/>
      <c r="F4" s="59"/>
      <c r="G4" s="60"/>
      <c r="H4" s="61"/>
      <c r="I4" s="59"/>
      <c r="J4" s="6"/>
    </row>
    <row r="5" customHeight="1" spans="1:10">
      <c r="A5" s="62"/>
      <c r="B5" s="6"/>
      <c r="C5" s="62"/>
      <c r="D5" s="6" t="s">
        <v>166</v>
      </c>
      <c r="E5" s="59" t="s">
        <v>167</v>
      </c>
      <c r="F5" s="59" t="s">
        <v>168</v>
      </c>
      <c r="G5" s="60" t="s">
        <v>168</v>
      </c>
      <c r="H5" s="61" t="s">
        <v>169</v>
      </c>
      <c r="I5" s="59" t="s">
        <v>169</v>
      </c>
      <c r="J5" s="6"/>
    </row>
    <row r="6" customHeight="1" spans="1:10">
      <c r="A6" s="63" t="s">
        <v>170</v>
      </c>
      <c r="B6" s="64" t="s">
        <v>171</v>
      </c>
      <c r="C6" s="64" t="s">
        <v>172</v>
      </c>
      <c r="D6" s="64">
        <v>31</v>
      </c>
      <c r="E6" s="64">
        <v>2</v>
      </c>
      <c r="F6" s="64">
        <v>62</v>
      </c>
      <c r="G6" s="64">
        <v>62</v>
      </c>
      <c r="H6" s="65">
        <v>1</v>
      </c>
      <c r="I6" s="65">
        <v>1</v>
      </c>
      <c r="J6" s="64"/>
    </row>
    <row r="7" customHeight="1" spans="1:10">
      <c r="A7" s="63"/>
      <c r="B7" s="64"/>
      <c r="C7" s="64" t="s">
        <v>173</v>
      </c>
      <c r="D7" s="64">
        <v>31</v>
      </c>
      <c r="E7" s="64">
        <v>2</v>
      </c>
      <c r="F7" s="64">
        <v>62</v>
      </c>
      <c r="G7" s="64">
        <v>62</v>
      </c>
      <c r="H7" s="65">
        <v>1</v>
      </c>
      <c r="I7" s="65">
        <v>1</v>
      </c>
      <c r="J7" s="64"/>
    </row>
    <row r="8" customHeight="1" spans="1:10">
      <c r="A8" s="63"/>
      <c r="B8" s="64" t="s">
        <v>174</v>
      </c>
      <c r="C8" s="64" t="s">
        <v>59</v>
      </c>
      <c r="D8" s="64">
        <v>31</v>
      </c>
      <c r="E8" s="64">
        <v>2</v>
      </c>
      <c r="F8" s="64">
        <v>62</v>
      </c>
      <c r="G8" s="64">
        <v>62</v>
      </c>
      <c r="H8" s="65">
        <v>1</v>
      </c>
      <c r="I8" s="65">
        <v>1</v>
      </c>
      <c r="J8" s="64"/>
    </row>
    <row r="9" customHeight="1" spans="1:10">
      <c r="A9" s="63"/>
      <c r="B9" s="64" t="s">
        <v>175</v>
      </c>
      <c r="C9" s="64" t="s">
        <v>59</v>
      </c>
      <c r="D9" s="64">
        <v>31</v>
      </c>
      <c r="E9" s="64">
        <v>2</v>
      </c>
      <c r="F9" s="64">
        <v>62</v>
      </c>
      <c r="G9" s="64">
        <v>62</v>
      </c>
      <c r="H9" s="65">
        <v>1</v>
      </c>
      <c r="I9" s="65">
        <v>1</v>
      </c>
      <c r="J9" s="64"/>
    </row>
    <row r="10" customHeight="1" spans="1:10">
      <c r="A10" s="63"/>
      <c r="B10" s="64" t="s">
        <v>176</v>
      </c>
      <c r="C10" s="64" t="s">
        <v>172</v>
      </c>
      <c r="D10" s="64">
        <v>31</v>
      </c>
      <c r="E10" s="64">
        <v>24</v>
      </c>
      <c r="F10" s="64">
        <v>744</v>
      </c>
      <c r="G10" s="64">
        <v>576</v>
      </c>
      <c r="H10" s="65">
        <v>0.774193548387097</v>
      </c>
      <c r="I10" s="65">
        <v>1</v>
      </c>
      <c r="J10" s="64"/>
    </row>
    <row r="11" customHeight="1" spans="1:10">
      <c r="A11" s="63"/>
      <c r="B11" s="64"/>
      <c r="C11" s="64" t="s">
        <v>173</v>
      </c>
      <c r="D11" s="64">
        <v>31</v>
      </c>
      <c r="E11" s="64">
        <v>24</v>
      </c>
      <c r="F11" s="64">
        <v>744</v>
      </c>
      <c r="G11" s="64">
        <v>404</v>
      </c>
      <c r="H11" s="65">
        <v>0.543010752688172</v>
      </c>
      <c r="I11" s="65">
        <v>1</v>
      </c>
      <c r="J11" s="64"/>
    </row>
    <row r="12" customHeight="1" spans="1:10">
      <c r="A12" s="63"/>
      <c r="B12" s="64"/>
      <c r="C12" s="64" t="s">
        <v>177</v>
      </c>
      <c r="D12" s="64">
        <v>31</v>
      </c>
      <c r="E12" s="64">
        <v>24</v>
      </c>
      <c r="F12" s="64">
        <v>744</v>
      </c>
      <c r="G12" s="64">
        <v>52</v>
      </c>
      <c r="H12" s="65">
        <v>0.0698924731182796</v>
      </c>
      <c r="I12" s="65">
        <v>1</v>
      </c>
      <c r="J12" s="64"/>
    </row>
    <row r="13" customHeight="1" spans="1:10">
      <c r="A13" s="63"/>
      <c r="B13" s="64"/>
      <c r="C13" s="64" t="s">
        <v>178</v>
      </c>
      <c r="D13" s="64">
        <v>31</v>
      </c>
      <c r="E13" s="64">
        <v>24</v>
      </c>
      <c r="F13" s="64">
        <v>744</v>
      </c>
      <c r="G13" s="64">
        <v>343</v>
      </c>
      <c r="H13" s="65">
        <v>0.461021505376344</v>
      </c>
      <c r="I13" s="65">
        <v>1</v>
      </c>
      <c r="J13" s="64"/>
    </row>
    <row r="14" customHeight="1" spans="1:10">
      <c r="A14" s="63"/>
      <c r="B14" s="64"/>
      <c r="C14" s="64" t="s">
        <v>179</v>
      </c>
      <c r="D14" s="64">
        <v>31</v>
      </c>
      <c r="E14" s="64">
        <v>24</v>
      </c>
      <c r="F14" s="64">
        <v>744</v>
      </c>
      <c r="G14" s="64">
        <v>738</v>
      </c>
      <c r="H14" s="65">
        <v>0.991935483870968</v>
      </c>
      <c r="I14" s="65">
        <v>1</v>
      </c>
      <c r="J14" s="64"/>
    </row>
    <row r="15" customHeight="1" spans="1:10">
      <c r="A15" s="63"/>
      <c r="B15" s="64" t="s">
        <v>180</v>
      </c>
      <c r="C15" s="64" t="s">
        <v>172</v>
      </c>
      <c r="D15" s="64">
        <v>31</v>
      </c>
      <c r="E15" s="64">
        <v>2.4</v>
      </c>
      <c r="F15" s="64">
        <v>74.4</v>
      </c>
      <c r="G15" s="64">
        <v>74.4</v>
      </c>
      <c r="H15" s="65">
        <v>1</v>
      </c>
      <c r="I15" s="65">
        <v>1</v>
      </c>
      <c r="J15" s="64"/>
    </row>
    <row r="16" customHeight="1" spans="1:10">
      <c r="A16" s="63"/>
      <c r="B16" s="64"/>
      <c r="C16" s="64" t="s">
        <v>173</v>
      </c>
      <c r="D16" s="64">
        <v>31</v>
      </c>
      <c r="E16" s="64">
        <v>2.4</v>
      </c>
      <c r="F16" s="64">
        <v>74.4</v>
      </c>
      <c r="G16" s="64">
        <v>74.4</v>
      </c>
      <c r="H16" s="65">
        <v>1</v>
      </c>
      <c r="I16" s="65">
        <v>1</v>
      </c>
      <c r="J16" s="64"/>
    </row>
    <row r="17" customHeight="1" spans="1:10">
      <c r="A17" s="63"/>
      <c r="B17" s="64"/>
      <c r="C17" s="64" t="s">
        <v>177</v>
      </c>
      <c r="D17" s="64">
        <v>31</v>
      </c>
      <c r="E17" s="64">
        <v>2.4</v>
      </c>
      <c r="F17" s="64">
        <v>74.4</v>
      </c>
      <c r="G17" s="64">
        <v>74.4</v>
      </c>
      <c r="H17" s="65">
        <v>1</v>
      </c>
      <c r="I17" s="65">
        <v>1</v>
      </c>
      <c r="J17" s="64"/>
    </row>
    <row r="18" customHeight="1" spans="1:10">
      <c r="A18" s="63"/>
      <c r="B18" s="64"/>
      <c r="C18" s="64" t="s">
        <v>178</v>
      </c>
      <c r="D18" s="64">
        <v>31</v>
      </c>
      <c r="E18" s="64">
        <v>2.4</v>
      </c>
      <c r="F18" s="64">
        <v>74.4</v>
      </c>
      <c r="G18" s="64">
        <v>74.4</v>
      </c>
      <c r="H18" s="65">
        <v>1</v>
      </c>
      <c r="I18" s="65">
        <v>1</v>
      </c>
      <c r="J18" s="64"/>
    </row>
    <row r="19" customHeight="1" spans="1:10">
      <c r="A19" s="63"/>
      <c r="B19" s="64"/>
      <c r="C19" s="64" t="s">
        <v>179</v>
      </c>
      <c r="D19" s="64">
        <v>31</v>
      </c>
      <c r="E19" s="64">
        <v>2.4</v>
      </c>
      <c r="F19" s="64">
        <v>74.4</v>
      </c>
      <c r="G19" s="64">
        <v>74.4</v>
      </c>
      <c r="H19" s="65">
        <v>1</v>
      </c>
      <c r="I19" s="65">
        <v>1</v>
      </c>
      <c r="J19" s="64"/>
    </row>
    <row r="20" customHeight="1" spans="1:10">
      <c r="A20" s="63"/>
      <c r="B20" s="64"/>
      <c r="C20" s="64" t="s">
        <v>181</v>
      </c>
      <c r="D20" s="64">
        <v>31</v>
      </c>
      <c r="E20" s="64">
        <v>2.4</v>
      </c>
      <c r="F20" s="64">
        <v>74.4</v>
      </c>
      <c r="G20" s="64">
        <v>74.4</v>
      </c>
      <c r="H20" s="65">
        <v>1</v>
      </c>
      <c r="I20" s="65">
        <v>1</v>
      </c>
      <c r="J20" s="64"/>
    </row>
    <row r="21" customHeight="1" spans="1:10">
      <c r="A21" s="63"/>
      <c r="B21" s="64" t="s">
        <v>174</v>
      </c>
      <c r="C21" s="64" t="s">
        <v>172</v>
      </c>
      <c r="D21" s="64">
        <v>31</v>
      </c>
      <c r="E21" s="64">
        <v>0.5</v>
      </c>
      <c r="F21" s="64">
        <v>15.5</v>
      </c>
      <c r="G21" s="64">
        <v>15.5</v>
      </c>
      <c r="H21" s="65">
        <v>1</v>
      </c>
      <c r="I21" s="65">
        <v>1</v>
      </c>
      <c r="J21" s="64"/>
    </row>
    <row r="22" customHeight="1" spans="1:10">
      <c r="A22" s="63"/>
      <c r="B22" s="64"/>
      <c r="C22" s="64" t="s">
        <v>173</v>
      </c>
      <c r="D22" s="64">
        <v>31</v>
      </c>
      <c r="E22" s="64">
        <v>0.5</v>
      </c>
      <c r="F22" s="64">
        <v>15.5</v>
      </c>
      <c r="G22" s="64">
        <v>15.5</v>
      </c>
      <c r="H22" s="65">
        <v>1</v>
      </c>
      <c r="I22" s="65">
        <v>1</v>
      </c>
      <c r="J22" s="64"/>
    </row>
    <row r="23" customHeight="1" spans="1:10">
      <c r="A23" s="63"/>
      <c r="B23" s="64" t="s">
        <v>175</v>
      </c>
      <c r="C23" s="64" t="s">
        <v>172</v>
      </c>
      <c r="D23" s="64">
        <v>31</v>
      </c>
      <c r="E23" s="64">
        <v>0.5</v>
      </c>
      <c r="F23" s="64">
        <v>15.5</v>
      </c>
      <c r="G23" s="64">
        <v>15.5</v>
      </c>
      <c r="H23" s="65">
        <v>1</v>
      </c>
      <c r="I23" s="65">
        <v>1</v>
      </c>
      <c r="J23" s="64"/>
    </row>
    <row r="24" customHeight="1" spans="1:10">
      <c r="A24" s="63"/>
      <c r="B24" s="64"/>
      <c r="C24" s="64" t="s">
        <v>173</v>
      </c>
      <c r="D24" s="64">
        <v>31</v>
      </c>
      <c r="E24" s="64">
        <v>0.5</v>
      </c>
      <c r="F24" s="64">
        <v>15.5</v>
      </c>
      <c r="G24" s="64">
        <v>15.5</v>
      </c>
      <c r="H24" s="65">
        <v>1</v>
      </c>
      <c r="I24" s="65">
        <v>1</v>
      </c>
      <c r="J24" s="64"/>
    </row>
    <row r="25" customHeight="1" spans="1:10">
      <c r="A25" s="63"/>
      <c r="B25" s="64" t="s">
        <v>182</v>
      </c>
      <c r="C25" s="64" t="s">
        <v>172</v>
      </c>
      <c r="D25" s="64">
        <v>31</v>
      </c>
      <c r="E25" s="64">
        <v>24</v>
      </c>
      <c r="F25" s="64">
        <v>744</v>
      </c>
      <c r="G25" s="64">
        <v>0</v>
      </c>
      <c r="H25" s="65">
        <v>0</v>
      </c>
      <c r="I25" s="65">
        <v>0</v>
      </c>
      <c r="J25" s="64"/>
    </row>
    <row r="26" customHeight="1" spans="1:10">
      <c r="A26" s="63"/>
      <c r="B26" s="64" t="s">
        <v>183</v>
      </c>
      <c r="C26" s="64" t="s">
        <v>172</v>
      </c>
      <c r="D26" s="64">
        <v>31</v>
      </c>
      <c r="E26" s="64">
        <v>0.5</v>
      </c>
      <c r="F26" s="64">
        <v>15.5</v>
      </c>
      <c r="G26" s="64">
        <v>15.5</v>
      </c>
      <c r="H26" s="65">
        <v>1</v>
      </c>
      <c r="I26" s="65">
        <v>1</v>
      </c>
      <c r="J26" s="64"/>
    </row>
    <row r="27" customHeight="1" spans="1:10">
      <c r="A27" s="63"/>
      <c r="B27" s="64" t="s">
        <v>182</v>
      </c>
      <c r="C27" s="64" t="s">
        <v>173</v>
      </c>
      <c r="D27" s="64">
        <v>31</v>
      </c>
      <c r="E27" s="64">
        <v>24</v>
      </c>
      <c r="F27" s="64">
        <v>744</v>
      </c>
      <c r="G27" s="64">
        <v>744</v>
      </c>
      <c r="H27" s="65">
        <v>1</v>
      </c>
      <c r="I27" s="65">
        <v>1</v>
      </c>
      <c r="J27" s="64"/>
    </row>
    <row r="28" customHeight="1" spans="1:10">
      <c r="A28" s="63"/>
      <c r="B28" s="64" t="s">
        <v>183</v>
      </c>
      <c r="C28" s="64" t="s">
        <v>173</v>
      </c>
      <c r="D28" s="64">
        <v>31</v>
      </c>
      <c r="E28" s="64">
        <v>0.5</v>
      </c>
      <c r="F28" s="64">
        <v>15.5</v>
      </c>
      <c r="G28" s="64">
        <v>15.5</v>
      </c>
      <c r="H28" s="65">
        <v>1</v>
      </c>
      <c r="I28" s="65">
        <v>1</v>
      </c>
      <c r="J28" s="64"/>
    </row>
    <row r="29" customHeight="1" spans="1:10">
      <c r="A29" s="63"/>
      <c r="B29" s="64" t="s">
        <v>182</v>
      </c>
      <c r="C29" s="64" t="s">
        <v>177</v>
      </c>
      <c r="D29" s="64">
        <v>31</v>
      </c>
      <c r="E29" s="64">
        <v>24</v>
      </c>
      <c r="F29" s="64">
        <v>744</v>
      </c>
      <c r="G29" s="64">
        <v>744</v>
      </c>
      <c r="H29" s="65">
        <v>1</v>
      </c>
      <c r="I29" s="65">
        <v>1</v>
      </c>
      <c r="J29" s="64"/>
    </row>
    <row r="30" customHeight="1" spans="1:10">
      <c r="A30" s="63"/>
      <c r="B30" s="64" t="s">
        <v>183</v>
      </c>
      <c r="C30" s="64" t="s">
        <v>177</v>
      </c>
      <c r="D30" s="64">
        <v>31</v>
      </c>
      <c r="E30" s="64">
        <v>0.5</v>
      </c>
      <c r="F30" s="64">
        <v>15.5</v>
      </c>
      <c r="G30" s="64">
        <v>15.5</v>
      </c>
      <c r="H30" s="65">
        <v>1</v>
      </c>
      <c r="I30" s="65">
        <v>1</v>
      </c>
      <c r="J30" s="64"/>
    </row>
    <row r="31" customHeight="1" spans="1:10">
      <c r="A31" s="63"/>
      <c r="B31" s="64" t="s">
        <v>182</v>
      </c>
      <c r="C31" s="64" t="s">
        <v>178</v>
      </c>
      <c r="D31" s="64">
        <v>31</v>
      </c>
      <c r="E31" s="64">
        <v>24</v>
      </c>
      <c r="F31" s="64">
        <v>744</v>
      </c>
      <c r="G31" s="64">
        <v>0</v>
      </c>
      <c r="H31" s="65">
        <v>0</v>
      </c>
      <c r="I31" s="65">
        <v>0</v>
      </c>
      <c r="J31" s="64"/>
    </row>
    <row r="32" customHeight="1" spans="1:10">
      <c r="A32" s="63"/>
      <c r="B32" s="64" t="s">
        <v>183</v>
      </c>
      <c r="C32" s="64" t="s">
        <v>178</v>
      </c>
      <c r="D32" s="64">
        <v>31</v>
      </c>
      <c r="E32" s="64">
        <v>0.5</v>
      </c>
      <c r="F32" s="64">
        <v>15.5</v>
      </c>
      <c r="G32" s="64">
        <v>15.5</v>
      </c>
      <c r="H32" s="65">
        <v>1</v>
      </c>
      <c r="I32" s="65">
        <v>1</v>
      </c>
      <c r="J32" s="64"/>
    </row>
    <row r="33" customHeight="1" spans="1:10">
      <c r="A33" s="63"/>
      <c r="B33" s="64" t="s">
        <v>184</v>
      </c>
      <c r="C33" s="64" t="s">
        <v>172</v>
      </c>
      <c r="D33" s="64">
        <v>31</v>
      </c>
      <c r="E33" s="64">
        <v>24</v>
      </c>
      <c r="F33" s="64">
        <v>744</v>
      </c>
      <c r="G33" s="64">
        <v>268</v>
      </c>
      <c r="H33" s="65">
        <v>0.360215053763441</v>
      </c>
      <c r="I33" s="65">
        <v>1</v>
      </c>
      <c r="J33" s="64" t="s">
        <v>185</v>
      </c>
    </row>
    <row r="34" customHeight="1" spans="1:10">
      <c r="A34" s="63"/>
      <c r="B34" s="64"/>
      <c r="C34" s="64" t="s">
        <v>173</v>
      </c>
      <c r="D34" s="64">
        <v>31</v>
      </c>
      <c r="E34" s="64">
        <v>24</v>
      </c>
      <c r="F34" s="64">
        <v>744</v>
      </c>
      <c r="G34" s="64">
        <v>78</v>
      </c>
      <c r="H34" s="65">
        <v>0.104838709677419</v>
      </c>
      <c r="I34" s="65">
        <v>1</v>
      </c>
      <c r="J34" s="64" t="s">
        <v>185</v>
      </c>
    </row>
    <row r="35" customHeight="1" spans="1:10">
      <c r="A35" s="63"/>
      <c r="B35" s="64"/>
      <c r="C35" s="64" t="s">
        <v>177</v>
      </c>
      <c r="D35" s="64">
        <v>31</v>
      </c>
      <c r="E35" s="64">
        <v>24</v>
      </c>
      <c r="F35" s="64">
        <v>744</v>
      </c>
      <c r="G35" s="64">
        <v>486</v>
      </c>
      <c r="H35" s="65">
        <v>0.653225806451613</v>
      </c>
      <c r="I35" s="65">
        <v>1</v>
      </c>
      <c r="J35" s="64" t="s">
        <v>185</v>
      </c>
    </row>
    <row r="36" customHeight="1" spans="1:10">
      <c r="A36" s="63"/>
      <c r="B36" s="64"/>
      <c r="C36" s="64" t="s">
        <v>178</v>
      </c>
      <c r="D36" s="64">
        <v>31</v>
      </c>
      <c r="E36" s="64">
        <v>24</v>
      </c>
      <c r="F36" s="64">
        <v>744</v>
      </c>
      <c r="G36" s="64">
        <v>282</v>
      </c>
      <c r="H36" s="65">
        <v>0.379032258064516</v>
      </c>
      <c r="I36" s="65">
        <v>1</v>
      </c>
      <c r="J36" s="64" t="s">
        <v>185</v>
      </c>
    </row>
    <row r="37" customHeight="1" spans="1:10">
      <c r="A37" s="63"/>
      <c r="B37" s="64"/>
      <c r="C37" s="64" t="s">
        <v>179</v>
      </c>
      <c r="D37" s="64">
        <v>31</v>
      </c>
      <c r="E37" s="64">
        <v>24</v>
      </c>
      <c r="F37" s="64">
        <v>744</v>
      </c>
      <c r="G37" s="64">
        <v>406</v>
      </c>
      <c r="H37" s="65">
        <v>0.545698924731183</v>
      </c>
      <c r="I37" s="65">
        <v>1</v>
      </c>
      <c r="J37" s="64" t="s">
        <v>186</v>
      </c>
    </row>
    <row r="38" customHeight="1" spans="1:10">
      <c r="A38" s="66" t="s">
        <v>61</v>
      </c>
      <c r="B38" s="66"/>
      <c r="C38" s="67"/>
      <c r="D38" s="67"/>
      <c r="E38" s="68" t="s">
        <v>62</v>
      </c>
      <c r="F38" s="68"/>
      <c r="G38" s="69"/>
      <c r="H38" s="70" t="s">
        <v>187</v>
      </c>
      <c r="I38" s="70"/>
      <c r="J38" s="70"/>
    </row>
    <row r="39" ht="34" customHeight="1"/>
    <row r="46" ht="33" customHeight="1" spans="1:10">
      <c r="A46" s="56" t="s">
        <v>155</v>
      </c>
      <c r="B46" s="56"/>
      <c r="C46" s="56"/>
      <c r="D46" s="56"/>
      <c r="E46" s="56"/>
      <c r="F46" s="56"/>
      <c r="G46" s="56"/>
      <c r="H46" s="57"/>
      <c r="I46" s="56"/>
      <c r="J46" s="56"/>
    </row>
    <row r="47" customHeight="1" spans="1:10">
      <c r="A47" s="71">
        <v>44256</v>
      </c>
      <c r="B47" s="71"/>
      <c r="C47" s="71"/>
      <c r="D47" s="71"/>
      <c r="E47" s="71"/>
      <c r="F47" s="71"/>
      <c r="G47" s="71"/>
      <c r="H47" s="71"/>
      <c r="I47" s="71"/>
      <c r="J47" s="71"/>
    </row>
    <row r="48" customHeight="1" spans="1:10">
      <c r="A48" s="6" t="s">
        <v>156</v>
      </c>
      <c r="B48" s="6" t="s">
        <v>157</v>
      </c>
      <c r="C48" s="6" t="s">
        <v>158</v>
      </c>
      <c r="D48" s="6" t="s">
        <v>159</v>
      </c>
      <c r="E48" s="59" t="s">
        <v>160</v>
      </c>
      <c r="F48" s="59" t="s">
        <v>161</v>
      </c>
      <c r="G48" s="60" t="s">
        <v>162</v>
      </c>
      <c r="H48" s="61" t="s">
        <v>163</v>
      </c>
      <c r="I48" s="59" t="s">
        <v>164</v>
      </c>
      <c r="J48" s="6" t="s">
        <v>165</v>
      </c>
    </row>
    <row r="49" customHeight="1" spans="1:10">
      <c r="A49" s="6"/>
      <c r="B49" s="6"/>
      <c r="C49" s="6"/>
      <c r="D49" s="6"/>
      <c r="E49" s="59"/>
      <c r="F49" s="59"/>
      <c r="G49" s="60"/>
      <c r="H49" s="61"/>
      <c r="I49" s="59"/>
      <c r="J49" s="6"/>
    </row>
    <row r="50" customHeight="1" spans="1:10">
      <c r="A50" s="62"/>
      <c r="B50" s="8"/>
      <c r="C50" s="72"/>
      <c r="D50" s="8" t="s">
        <v>166</v>
      </c>
      <c r="E50" s="73" t="s">
        <v>167</v>
      </c>
      <c r="F50" s="73" t="s">
        <v>168</v>
      </c>
      <c r="G50" s="74" t="s">
        <v>168</v>
      </c>
      <c r="H50" s="75" t="s">
        <v>169</v>
      </c>
      <c r="I50" s="59" t="s">
        <v>169</v>
      </c>
      <c r="J50" s="6"/>
    </row>
    <row r="51" customHeight="1" spans="1:10">
      <c r="A51" s="76" t="s">
        <v>188</v>
      </c>
      <c r="B51" s="63" t="s">
        <v>189</v>
      </c>
      <c r="C51" s="64" t="s">
        <v>172</v>
      </c>
      <c r="D51" s="64">
        <v>31</v>
      </c>
      <c r="E51" s="64">
        <v>24</v>
      </c>
      <c r="F51" s="64">
        <v>744</v>
      </c>
      <c r="G51" s="64">
        <v>0</v>
      </c>
      <c r="H51" s="65">
        <v>0</v>
      </c>
      <c r="I51" s="78">
        <v>1</v>
      </c>
      <c r="J51" s="64" t="s">
        <v>190</v>
      </c>
    </row>
    <row r="52" customHeight="1" spans="1:10">
      <c r="A52" s="77"/>
      <c r="B52" s="64"/>
      <c r="C52" s="64" t="s">
        <v>173</v>
      </c>
      <c r="D52" s="64">
        <v>31</v>
      </c>
      <c r="E52" s="64">
        <v>24</v>
      </c>
      <c r="F52" s="64">
        <v>744</v>
      </c>
      <c r="G52" s="64">
        <v>0</v>
      </c>
      <c r="H52" s="65">
        <v>0</v>
      </c>
      <c r="I52" s="78">
        <v>1</v>
      </c>
      <c r="J52" s="64" t="s">
        <v>190</v>
      </c>
    </row>
    <row r="53" customHeight="1" spans="1:10">
      <c r="A53" s="77"/>
      <c r="B53" s="64"/>
      <c r="C53" s="64" t="s">
        <v>177</v>
      </c>
      <c r="D53" s="64">
        <v>31</v>
      </c>
      <c r="E53" s="64">
        <v>24</v>
      </c>
      <c r="F53" s="64">
        <v>744</v>
      </c>
      <c r="G53" s="64">
        <v>0</v>
      </c>
      <c r="H53" s="65">
        <v>0</v>
      </c>
      <c r="I53" s="78">
        <v>1</v>
      </c>
      <c r="J53" s="64" t="s">
        <v>190</v>
      </c>
    </row>
    <row r="54" customHeight="1" spans="1:10">
      <c r="A54" s="77"/>
      <c r="B54" s="64"/>
      <c r="C54" s="64" t="s">
        <v>178</v>
      </c>
      <c r="D54" s="64">
        <v>31</v>
      </c>
      <c r="E54" s="64">
        <v>24</v>
      </c>
      <c r="F54" s="64">
        <v>744</v>
      </c>
      <c r="G54" s="64">
        <v>0</v>
      </c>
      <c r="H54" s="65">
        <v>0</v>
      </c>
      <c r="I54" s="78">
        <v>1</v>
      </c>
      <c r="J54" s="64" t="s">
        <v>190</v>
      </c>
    </row>
    <row r="55" customHeight="1" spans="1:10">
      <c r="A55" s="77"/>
      <c r="B55" s="64"/>
      <c r="C55" s="64" t="s">
        <v>179</v>
      </c>
      <c r="D55" s="64">
        <v>31</v>
      </c>
      <c r="E55" s="64">
        <v>24</v>
      </c>
      <c r="F55" s="64">
        <v>744</v>
      </c>
      <c r="G55" s="64">
        <v>0</v>
      </c>
      <c r="H55" s="65">
        <v>0</v>
      </c>
      <c r="I55" s="78">
        <v>1</v>
      </c>
      <c r="J55" s="64" t="s">
        <v>190</v>
      </c>
    </row>
    <row r="56" customHeight="1" spans="1:10">
      <c r="A56" s="77"/>
      <c r="B56" s="64"/>
      <c r="C56" s="64" t="s">
        <v>181</v>
      </c>
      <c r="D56" s="64">
        <v>31</v>
      </c>
      <c r="E56" s="64">
        <v>24</v>
      </c>
      <c r="F56" s="64">
        <v>744</v>
      </c>
      <c r="G56" s="64">
        <v>0</v>
      </c>
      <c r="H56" s="65">
        <v>0</v>
      </c>
      <c r="I56" s="78">
        <v>1</v>
      </c>
      <c r="J56" s="64" t="s">
        <v>190</v>
      </c>
    </row>
    <row r="57" customHeight="1" spans="1:10">
      <c r="A57" s="77"/>
      <c r="B57" s="64"/>
      <c r="C57" s="64" t="s">
        <v>191</v>
      </c>
      <c r="D57" s="64">
        <v>31</v>
      </c>
      <c r="E57" s="64">
        <v>24</v>
      </c>
      <c r="F57" s="64">
        <v>744</v>
      </c>
      <c r="G57" s="64">
        <v>0</v>
      </c>
      <c r="H57" s="65">
        <v>0</v>
      </c>
      <c r="I57" s="78">
        <v>1</v>
      </c>
      <c r="J57" s="64" t="s">
        <v>190</v>
      </c>
    </row>
    <row r="58" customHeight="1" spans="1:10">
      <c r="A58" s="77"/>
      <c r="B58" s="64"/>
      <c r="C58" s="64" t="s">
        <v>192</v>
      </c>
      <c r="D58" s="64">
        <v>31</v>
      </c>
      <c r="E58" s="64">
        <v>24</v>
      </c>
      <c r="F58" s="64">
        <v>744</v>
      </c>
      <c r="G58" s="64">
        <v>0</v>
      </c>
      <c r="H58" s="65">
        <v>0</v>
      </c>
      <c r="I58" s="78">
        <v>1</v>
      </c>
      <c r="J58" s="64" t="s">
        <v>190</v>
      </c>
    </row>
    <row r="59" customHeight="1" spans="1:10">
      <c r="A59" s="77"/>
      <c r="B59" s="64"/>
      <c r="C59" s="64" t="s">
        <v>193</v>
      </c>
      <c r="D59" s="64">
        <v>31</v>
      </c>
      <c r="E59" s="64">
        <v>24</v>
      </c>
      <c r="F59" s="64">
        <v>744</v>
      </c>
      <c r="G59" s="64">
        <v>0</v>
      </c>
      <c r="H59" s="65">
        <v>0</v>
      </c>
      <c r="I59" s="78">
        <v>1</v>
      </c>
      <c r="J59" s="64" t="s">
        <v>190</v>
      </c>
    </row>
    <row r="60" customHeight="1" spans="1:10">
      <c r="A60" s="77"/>
      <c r="B60" s="64"/>
      <c r="C60" s="64" t="s">
        <v>194</v>
      </c>
      <c r="D60" s="64">
        <v>31</v>
      </c>
      <c r="E60" s="64">
        <v>24</v>
      </c>
      <c r="F60" s="64">
        <v>744</v>
      </c>
      <c r="G60" s="64">
        <v>0</v>
      </c>
      <c r="H60" s="65">
        <v>0</v>
      </c>
      <c r="I60" s="78">
        <v>1</v>
      </c>
      <c r="J60" s="64" t="s">
        <v>190</v>
      </c>
    </row>
    <row r="61" customHeight="1" spans="1:10">
      <c r="A61" s="77"/>
      <c r="B61" s="64"/>
      <c r="C61" s="64" t="s">
        <v>195</v>
      </c>
      <c r="D61" s="64">
        <v>31</v>
      </c>
      <c r="E61" s="64">
        <v>24</v>
      </c>
      <c r="F61" s="64">
        <v>744</v>
      </c>
      <c r="G61" s="64">
        <v>0</v>
      </c>
      <c r="H61" s="65">
        <v>0</v>
      </c>
      <c r="I61" s="78">
        <v>1</v>
      </c>
      <c r="J61" s="64" t="s">
        <v>190</v>
      </c>
    </row>
    <row r="62" customHeight="1" spans="1:10">
      <c r="A62" s="77"/>
      <c r="B62" s="64"/>
      <c r="C62" s="64" t="s">
        <v>196</v>
      </c>
      <c r="D62" s="64">
        <v>31</v>
      </c>
      <c r="E62" s="64">
        <v>24</v>
      </c>
      <c r="F62" s="64">
        <v>744</v>
      </c>
      <c r="G62" s="64">
        <v>0</v>
      </c>
      <c r="H62" s="65">
        <v>0</v>
      </c>
      <c r="I62" s="78">
        <v>1</v>
      </c>
      <c r="J62" s="64" t="s">
        <v>190</v>
      </c>
    </row>
    <row r="63" customHeight="1" spans="1:10">
      <c r="A63" s="77"/>
      <c r="B63" s="64"/>
      <c r="C63" s="64" t="s">
        <v>197</v>
      </c>
      <c r="D63" s="64">
        <v>31</v>
      </c>
      <c r="E63" s="64">
        <v>24</v>
      </c>
      <c r="F63" s="64">
        <v>744</v>
      </c>
      <c r="G63" s="64">
        <v>0</v>
      </c>
      <c r="H63" s="65">
        <v>0</v>
      </c>
      <c r="I63" s="78">
        <v>1</v>
      </c>
      <c r="J63" s="64" t="s">
        <v>190</v>
      </c>
    </row>
    <row r="64" customHeight="1" spans="1:10">
      <c r="A64" s="77"/>
      <c r="B64" s="64"/>
      <c r="C64" s="64" t="s">
        <v>198</v>
      </c>
      <c r="D64" s="64">
        <v>31</v>
      </c>
      <c r="E64" s="64">
        <v>24</v>
      </c>
      <c r="F64" s="64">
        <v>744</v>
      </c>
      <c r="G64" s="64">
        <v>0</v>
      </c>
      <c r="H64" s="65">
        <v>0</v>
      </c>
      <c r="I64" s="78">
        <v>1</v>
      </c>
      <c r="J64" s="64" t="s">
        <v>190</v>
      </c>
    </row>
    <row r="65" customHeight="1" spans="1:10">
      <c r="A65" s="77"/>
      <c r="B65" s="64"/>
      <c r="C65" s="64" t="s">
        <v>199</v>
      </c>
      <c r="D65" s="64">
        <v>31</v>
      </c>
      <c r="E65" s="64">
        <v>24</v>
      </c>
      <c r="F65" s="64">
        <v>744</v>
      </c>
      <c r="G65" s="64">
        <v>0</v>
      </c>
      <c r="H65" s="65">
        <v>0</v>
      </c>
      <c r="I65" s="78">
        <v>1</v>
      </c>
      <c r="J65" s="64" t="s">
        <v>190</v>
      </c>
    </row>
    <row r="66" customHeight="1" spans="1:10">
      <c r="A66" s="77"/>
      <c r="B66" s="64"/>
      <c r="C66" s="64" t="s">
        <v>200</v>
      </c>
      <c r="D66" s="64">
        <v>31</v>
      </c>
      <c r="E66" s="64">
        <v>24</v>
      </c>
      <c r="F66" s="64">
        <v>744</v>
      </c>
      <c r="G66" s="64">
        <v>0</v>
      </c>
      <c r="H66" s="65">
        <v>0</v>
      </c>
      <c r="I66" s="78">
        <v>1</v>
      </c>
      <c r="J66" s="64" t="s">
        <v>190</v>
      </c>
    </row>
    <row r="67" customHeight="1" spans="1:10">
      <c r="A67" s="77"/>
      <c r="B67" s="64"/>
      <c r="C67" s="64" t="s">
        <v>201</v>
      </c>
      <c r="D67" s="64">
        <v>31</v>
      </c>
      <c r="E67" s="64">
        <v>24</v>
      </c>
      <c r="F67" s="64">
        <v>744</v>
      </c>
      <c r="G67" s="64">
        <v>0</v>
      </c>
      <c r="H67" s="65">
        <v>0</v>
      </c>
      <c r="I67" s="78">
        <v>1</v>
      </c>
      <c r="J67" s="64" t="s">
        <v>190</v>
      </c>
    </row>
    <row r="68" customHeight="1" spans="1:10">
      <c r="A68" s="77"/>
      <c r="B68" s="64"/>
      <c r="C68" s="64" t="s">
        <v>202</v>
      </c>
      <c r="D68" s="64">
        <v>31</v>
      </c>
      <c r="E68" s="64">
        <v>24</v>
      </c>
      <c r="F68" s="64">
        <v>744</v>
      </c>
      <c r="G68" s="64">
        <v>0</v>
      </c>
      <c r="H68" s="65">
        <v>0</v>
      </c>
      <c r="I68" s="78">
        <v>1</v>
      </c>
      <c r="J68" s="64" t="s">
        <v>190</v>
      </c>
    </row>
    <row r="69" customHeight="1" spans="1:10">
      <c r="A69" s="77"/>
      <c r="B69" s="63" t="s">
        <v>203</v>
      </c>
      <c r="C69" s="64" t="s">
        <v>204</v>
      </c>
      <c r="D69" s="64">
        <v>31</v>
      </c>
      <c r="E69" s="64">
        <v>24</v>
      </c>
      <c r="F69" s="64">
        <v>744</v>
      </c>
      <c r="G69" s="64">
        <v>0</v>
      </c>
      <c r="H69" s="65">
        <v>0</v>
      </c>
      <c r="I69" s="78">
        <v>1</v>
      </c>
      <c r="J69" s="64" t="s">
        <v>190</v>
      </c>
    </row>
    <row r="70" customHeight="1" spans="1:10">
      <c r="A70" s="77"/>
      <c r="B70" s="64"/>
      <c r="C70" s="64" t="s">
        <v>205</v>
      </c>
      <c r="D70" s="64">
        <v>31</v>
      </c>
      <c r="E70" s="64">
        <v>24</v>
      </c>
      <c r="F70" s="64">
        <v>744</v>
      </c>
      <c r="G70" s="64">
        <v>0</v>
      </c>
      <c r="H70" s="65">
        <v>0</v>
      </c>
      <c r="I70" s="78">
        <v>1</v>
      </c>
      <c r="J70" s="64" t="s">
        <v>190</v>
      </c>
    </row>
    <row r="71" customHeight="1" spans="1:10">
      <c r="A71" s="77"/>
      <c r="B71" s="64"/>
      <c r="C71" s="64" t="s">
        <v>206</v>
      </c>
      <c r="D71" s="64">
        <v>31</v>
      </c>
      <c r="E71" s="64">
        <v>24</v>
      </c>
      <c r="F71" s="64">
        <v>744</v>
      </c>
      <c r="G71" s="64">
        <v>0</v>
      </c>
      <c r="H71" s="65">
        <v>0</v>
      </c>
      <c r="I71" s="78">
        <v>1</v>
      </c>
      <c r="J71" s="64" t="s">
        <v>190</v>
      </c>
    </row>
    <row r="72" customHeight="1" spans="1:10">
      <c r="A72" s="77"/>
      <c r="B72" s="64"/>
      <c r="C72" s="64" t="s">
        <v>207</v>
      </c>
      <c r="D72" s="64">
        <v>31</v>
      </c>
      <c r="E72" s="64">
        <v>24</v>
      </c>
      <c r="F72" s="64">
        <v>744</v>
      </c>
      <c r="G72" s="64">
        <v>0</v>
      </c>
      <c r="H72" s="65">
        <v>0</v>
      </c>
      <c r="I72" s="78">
        <v>1</v>
      </c>
      <c r="J72" s="64" t="s">
        <v>190</v>
      </c>
    </row>
    <row r="73" customHeight="1" spans="1:10">
      <c r="A73" s="77"/>
      <c r="B73" s="64"/>
      <c r="C73" s="64" t="s">
        <v>208</v>
      </c>
      <c r="D73" s="64">
        <v>31</v>
      </c>
      <c r="E73" s="64">
        <v>24</v>
      </c>
      <c r="F73" s="64">
        <v>744</v>
      </c>
      <c r="G73" s="64">
        <v>0</v>
      </c>
      <c r="H73" s="65">
        <v>0</v>
      </c>
      <c r="I73" s="78">
        <v>1</v>
      </c>
      <c r="J73" s="64" t="s">
        <v>190</v>
      </c>
    </row>
    <row r="74" customHeight="1" spans="1:10">
      <c r="A74" s="77"/>
      <c r="B74" s="64"/>
      <c r="C74" s="64" t="s">
        <v>209</v>
      </c>
      <c r="D74" s="64">
        <v>31</v>
      </c>
      <c r="E74" s="64">
        <v>24</v>
      </c>
      <c r="F74" s="64">
        <v>744</v>
      </c>
      <c r="G74" s="64">
        <v>0</v>
      </c>
      <c r="H74" s="65">
        <v>0</v>
      </c>
      <c r="I74" s="78">
        <v>1</v>
      </c>
      <c r="J74" s="64" t="s">
        <v>190</v>
      </c>
    </row>
    <row r="75" customHeight="1" spans="1:10">
      <c r="A75" s="77"/>
      <c r="B75" s="64"/>
      <c r="C75" s="64" t="s">
        <v>210</v>
      </c>
      <c r="D75" s="64">
        <v>31</v>
      </c>
      <c r="E75" s="64">
        <v>24</v>
      </c>
      <c r="F75" s="64">
        <v>744</v>
      </c>
      <c r="G75" s="64">
        <v>0</v>
      </c>
      <c r="H75" s="65">
        <v>0</v>
      </c>
      <c r="I75" s="78">
        <v>1</v>
      </c>
      <c r="J75" s="64" t="s">
        <v>190</v>
      </c>
    </row>
    <row r="76" customHeight="1" spans="1:10">
      <c r="A76" s="77"/>
      <c r="B76" s="64"/>
      <c r="C76" s="64" t="s">
        <v>211</v>
      </c>
      <c r="D76" s="64">
        <v>31</v>
      </c>
      <c r="E76" s="64">
        <v>24</v>
      </c>
      <c r="F76" s="64">
        <v>744</v>
      </c>
      <c r="G76" s="64">
        <v>0</v>
      </c>
      <c r="H76" s="65">
        <v>0</v>
      </c>
      <c r="I76" s="78">
        <v>1</v>
      </c>
      <c r="J76" s="64" t="s">
        <v>190</v>
      </c>
    </row>
    <row r="77" customHeight="1" spans="1:10">
      <c r="A77" s="77"/>
      <c r="B77" s="64"/>
      <c r="C77" s="64" t="s">
        <v>212</v>
      </c>
      <c r="D77" s="64">
        <v>31</v>
      </c>
      <c r="E77" s="64">
        <v>24</v>
      </c>
      <c r="F77" s="64">
        <v>744</v>
      </c>
      <c r="G77" s="64">
        <v>0</v>
      </c>
      <c r="H77" s="65">
        <v>0</v>
      </c>
      <c r="I77" s="78">
        <v>1</v>
      </c>
      <c r="J77" s="64" t="s">
        <v>190</v>
      </c>
    </row>
    <row r="78" customHeight="1" spans="1:10">
      <c r="A78" s="77"/>
      <c r="B78" s="64"/>
      <c r="C78" s="64" t="s">
        <v>213</v>
      </c>
      <c r="D78" s="64">
        <v>31</v>
      </c>
      <c r="E78" s="64">
        <v>24</v>
      </c>
      <c r="F78" s="64">
        <v>744</v>
      </c>
      <c r="G78" s="64">
        <v>0</v>
      </c>
      <c r="H78" s="65">
        <v>0</v>
      </c>
      <c r="I78" s="78">
        <v>1</v>
      </c>
      <c r="J78" s="64" t="s">
        <v>190</v>
      </c>
    </row>
    <row r="79" customHeight="1" spans="1:10">
      <c r="A79" s="77"/>
      <c r="B79" s="64"/>
      <c r="C79" s="64" t="s">
        <v>214</v>
      </c>
      <c r="D79" s="64">
        <v>31</v>
      </c>
      <c r="E79" s="64">
        <v>24</v>
      </c>
      <c r="F79" s="64">
        <v>744</v>
      </c>
      <c r="G79" s="64">
        <v>0</v>
      </c>
      <c r="H79" s="65">
        <v>0</v>
      </c>
      <c r="I79" s="78">
        <v>1</v>
      </c>
      <c r="J79" s="64" t="s">
        <v>190</v>
      </c>
    </row>
    <row r="80" customHeight="1" spans="1:10">
      <c r="A80" s="77"/>
      <c r="B80" s="64"/>
      <c r="C80" s="64" t="s">
        <v>215</v>
      </c>
      <c r="D80" s="64">
        <v>31</v>
      </c>
      <c r="E80" s="64">
        <v>24</v>
      </c>
      <c r="F80" s="64">
        <v>744</v>
      </c>
      <c r="G80" s="64">
        <v>0</v>
      </c>
      <c r="H80" s="65">
        <v>0</v>
      </c>
      <c r="I80" s="78">
        <v>1</v>
      </c>
      <c r="J80" s="64" t="s">
        <v>190</v>
      </c>
    </row>
    <row r="81" customHeight="1" spans="1:10">
      <c r="A81" s="77"/>
      <c r="B81" s="64"/>
      <c r="C81" s="64" t="s">
        <v>216</v>
      </c>
      <c r="D81" s="64">
        <v>31</v>
      </c>
      <c r="E81" s="64">
        <v>24</v>
      </c>
      <c r="F81" s="64">
        <v>744</v>
      </c>
      <c r="G81" s="64">
        <v>0</v>
      </c>
      <c r="H81" s="65">
        <v>0</v>
      </c>
      <c r="I81" s="78">
        <v>1</v>
      </c>
      <c r="J81" s="64" t="s">
        <v>190</v>
      </c>
    </row>
    <row r="82" customHeight="1" spans="1:10">
      <c r="A82" s="77"/>
      <c r="B82" s="64"/>
      <c r="C82" s="64" t="s">
        <v>217</v>
      </c>
      <c r="D82" s="64">
        <v>31</v>
      </c>
      <c r="E82" s="64">
        <v>24</v>
      </c>
      <c r="F82" s="64">
        <v>744</v>
      </c>
      <c r="G82" s="64">
        <v>0</v>
      </c>
      <c r="H82" s="65">
        <v>0</v>
      </c>
      <c r="I82" s="78">
        <v>1</v>
      </c>
      <c r="J82" s="64" t="s">
        <v>190</v>
      </c>
    </row>
    <row r="83" customHeight="1" spans="1:10">
      <c r="A83" s="77"/>
      <c r="B83" s="64"/>
      <c r="C83" s="64" t="s">
        <v>218</v>
      </c>
      <c r="D83" s="64">
        <v>31</v>
      </c>
      <c r="E83" s="64">
        <v>24</v>
      </c>
      <c r="F83" s="64">
        <v>744</v>
      </c>
      <c r="G83" s="64">
        <v>0</v>
      </c>
      <c r="H83" s="65">
        <v>0</v>
      </c>
      <c r="I83" s="78">
        <v>1</v>
      </c>
      <c r="J83" s="64" t="s">
        <v>190</v>
      </c>
    </row>
    <row r="84" customHeight="1" spans="1:10">
      <c r="A84" s="77"/>
      <c r="B84" s="64"/>
      <c r="C84" s="64" t="s">
        <v>219</v>
      </c>
      <c r="D84" s="64">
        <v>31</v>
      </c>
      <c r="E84" s="64">
        <v>24</v>
      </c>
      <c r="F84" s="64">
        <v>744</v>
      </c>
      <c r="G84" s="64">
        <v>0</v>
      </c>
      <c r="H84" s="65">
        <v>0</v>
      </c>
      <c r="I84" s="78">
        <v>1</v>
      </c>
      <c r="J84" s="64" t="s">
        <v>190</v>
      </c>
    </row>
    <row r="85" customHeight="1" spans="1:10">
      <c r="A85" s="77"/>
      <c r="B85" s="64"/>
      <c r="C85" s="64" t="s">
        <v>220</v>
      </c>
      <c r="D85" s="64">
        <v>31</v>
      </c>
      <c r="E85" s="64">
        <v>24</v>
      </c>
      <c r="F85" s="64">
        <v>744</v>
      </c>
      <c r="G85" s="64">
        <v>0</v>
      </c>
      <c r="H85" s="65">
        <v>0</v>
      </c>
      <c r="I85" s="78">
        <v>1</v>
      </c>
      <c r="J85" s="64" t="s">
        <v>190</v>
      </c>
    </row>
    <row r="86" customHeight="1" spans="1:10">
      <c r="A86" s="79"/>
      <c r="B86" s="64"/>
      <c r="C86" s="64" t="s">
        <v>221</v>
      </c>
      <c r="D86" s="64">
        <v>31</v>
      </c>
      <c r="E86" s="64">
        <v>24</v>
      </c>
      <c r="F86" s="64">
        <v>744</v>
      </c>
      <c r="G86" s="64">
        <v>0</v>
      </c>
      <c r="H86" s="65">
        <v>0</v>
      </c>
      <c r="I86" s="78">
        <v>1</v>
      </c>
      <c r="J86" s="64" t="s">
        <v>190</v>
      </c>
    </row>
    <row r="87" customHeight="1" spans="1:10">
      <c r="A87" s="66" t="s">
        <v>61</v>
      </c>
      <c r="B87" s="66"/>
      <c r="C87" s="67"/>
      <c r="D87" s="67"/>
      <c r="E87" s="68" t="s">
        <v>62</v>
      </c>
      <c r="F87" s="68"/>
      <c r="G87" s="69"/>
      <c r="H87" s="70" t="s">
        <v>187</v>
      </c>
      <c r="I87" s="70"/>
      <c r="J87" s="70"/>
    </row>
    <row r="88" ht="16" customHeight="1"/>
    <row r="89" ht="15.95" customHeight="1"/>
    <row r="90" ht="20.1" customHeight="1"/>
    <row r="91" ht="34" customHeight="1" spans="1:10">
      <c r="A91" s="56" t="s">
        <v>155</v>
      </c>
      <c r="B91" s="56"/>
      <c r="C91" s="56"/>
      <c r="D91" s="56"/>
      <c r="E91" s="56"/>
      <c r="F91" s="56"/>
      <c r="G91" s="56"/>
      <c r="H91" s="57"/>
      <c r="I91" s="56"/>
      <c r="J91" s="56"/>
    </row>
    <row r="92" customHeight="1" spans="1:10">
      <c r="A92" s="58">
        <v>44256</v>
      </c>
      <c r="B92" s="58"/>
      <c r="C92" s="58"/>
      <c r="D92" s="58"/>
      <c r="E92" s="58"/>
      <c r="F92" s="58"/>
      <c r="G92" s="58"/>
      <c r="H92" s="58"/>
      <c r="I92" s="58"/>
      <c r="J92" s="58"/>
    </row>
    <row r="93" ht="24.95" customHeight="1" spans="1:10">
      <c r="A93" s="6" t="s">
        <v>156</v>
      </c>
      <c r="B93" s="6" t="s">
        <v>157</v>
      </c>
      <c r="C93" s="6" t="s">
        <v>158</v>
      </c>
      <c r="D93" s="6" t="s">
        <v>159</v>
      </c>
      <c r="E93" s="59" t="s">
        <v>160</v>
      </c>
      <c r="F93" s="59" t="s">
        <v>161</v>
      </c>
      <c r="G93" s="60" t="s">
        <v>162</v>
      </c>
      <c r="H93" s="61" t="s">
        <v>163</v>
      </c>
      <c r="I93" s="59" t="s">
        <v>164</v>
      </c>
      <c r="J93" s="6" t="s">
        <v>165</v>
      </c>
    </row>
    <row r="94" customHeight="1" spans="1:10">
      <c r="A94" s="6"/>
      <c r="B94" s="6"/>
      <c r="C94" s="6"/>
      <c r="D94" s="6"/>
      <c r="E94" s="59"/>
      <c r="F94" s="59"/>
      <c r="G94" s="60"/>
      <c r="H94" s="61"/>
      <c r="I94" s="59"/>
      <c r="J94" s="6"/>
    </row>
    <row r="95" customHeight="1" spans="1:10">
      <c r="A95" s="62"/>
      <c r="B95" s="6"/>
      <c r="C95" s="62"/>
      <c r="D95" s="6" t="s">
        <v>166</v>
      </c>
      <c r="E95" s="59" t="s">
        <v>167</v>
      </c>
      <c r="F95" s="59" t="s">
        <v>168</v>
      </c>
      <c r="G95" s="60" t="s">
        <v>168</v>
      </c>
      <c r="H95" s="61" t="s">
        <v>169</v>
      </c>
      <c r="I95" s="59" t="s">
        <v>169</v>
      </c>
      <c r="J95" s="6"/>
    </row>
    <row r="96" customHeight="1" spans="1:10">
      <c r="A96" s="63" t="s">
        <v>188</v>
      </c>
      <c r="B96" s="63" t="s">
        <v>222</v>
      </c>
      <c r="C96" s="64" t="s">
        <v>172</v>
      </c>
      <c r="D96" s="64">
        <v>31</v>
      </c>
      <c r="E96" s="64">
        <v>24</v>
      </c>
      <c r="F96" s="64">
        <v>744</v>
      </c>
      <c r="G96" s="64">
        <v>0</v>
      </c>
      <c r="H96" s="80">
        <v>0</v>
      </c>
      <c r="I96" s="65">
        <v>1</v>
      </c>
      <c r="J96" s="64"/>
    </row>
    <row r="97" customHeight="1" spans="1:10">
      <c r="A97" s="64"/>
      <c r="B97" s="64"/>
      <c r="C97" s="64" t="s">
        <v>173</v>
      </c>
      <c r="D97" s="64">
        <v>31</v>
      </c>
      <c r="E97" s="64">
        <v>24</v>
      </c>
      <c r="F97" s="64">
        <v>744</v>
      </c>
      <c r="G97" s="64">
        <v>0</v>
      </c>
      <c r="H97" s="80">
        <v>0</v>
      </c>
      <c r="I97" s="65">
        <v>1</v>
      </c>
      <c r="J97" s="64"/>
    </row>
    <row r="98" customHeight="1" spans="1:10">
      <c r="A98" s="64"/>
      <c r="B98" s="63" t="s">
        <v>223</v>
      </c>
      <c r="C98" s="64" t="s">
        <v>172</v>
      </c>
      <c r="D98" s="64">
        <v>31</v>
      </c>
      <c r="E98" s="64">
        <v>24</v>
      </c>
      <c r="F98" s="64">
        <v>744</v>
      </c>
      <c r="G98" s="64">
        <v>0</v>
      </c>
      <c r="H98" s="65">
        <v>0</v>
      </c>
      <c r="I98" s="65">
        <v>1</v>
      </c>
      <c r="J98" s="64"/>
    </row>
    <row r="99" customHeight="1" spans="1:10">
      <c r="A99" s="64"/>
      <c r="B99" s="64"/>
      <c r="C99" s="64" t="s">
        <v>173</v>
      </c>
      <c r="D99" s="64">
        <v>31</v>
      </c>
      <c r="E99" s="64">
        <v>24</v>
      </c>
      <c r="F99" s="64">
        <v>744</v>
      </c>
      <c r="G99" s="64">
        <v>0</v>
      </c>
      <c r="H99" s="65">
        <v>0</v>
      </c>
      <c r="I99" s="65">
        <v>1</v>
      </c>
      <c r="J99" s="64"/>
    </row>
    <row r="100" customHeight="1" spans="1:10">
      <c r="A100" s="64"/>
      <c r="B100" s="64"/>
      <c r="C100" s="64" t="s">
        <v>177</v>
      </c>
      <c r="D100" s="64">
        <v>31</v>
      </c>
      <c r="E100" s="64">
        <v>24</v>
      </c>
      <c r="F100" s="64">
        <v>744</v>
      </c>
      <c r="G100" s="64">
        <v>0</v>
      </c>
      <c r="H100" s="65">
        <v>0</v>
      </c>
      <c r="I100" s="65">
        <v>1</v>
      </c>
      <c r="J100" s="64"/>
    </row>
    <row r="101" customHeight="1" spans="1:10">
      <c r="A101" s="64"/>
      <c r="B101" s="64"/>
      <c r="C101" s="64" t="s">
        <v>178</v>
      </c>
      <c r="D101" s="64">
        <v>31</v>
      </c>
      <c r="E101" s="64">
        <v>24</v>
      </c>
      <c r="F101" s="64">
        <v>744</v>
      </c>
      <c r="G101" s="64">
        <v>0</v>
      </c>
      <c r="H101" s="65">
        <v>0</v>
      </c>
      <c r="I101" s="65">
        <v>1</v>
      </c>
      <c r="J101" s="64"/>
    </row>
    <row r="102" customHeight="1" spans="1:10">
      <c r="A102" s="64"/>
      <c r="B102" s="64"/>
      <c r="C102" s="64" t="s">
        <v>179</v>
      </c>
      <c r="D102" s="64">
        <v>31</v>
      </c>
      <c r="E102" s="64">
        <v>24</v>
      </c>
      <c r="F102" s="64">
        <v>744</v>
      </c>
      <c r="G102" s="64">
        <v>0</v>
      </c>
      <c r="H102" s="65">
        <v>0</v>
      </c>
      <c r="I102" s="65">
        <v>1</v>
      </c>
      <c r="J102" s="64"/>
    </row>
    <row r="103" customHeight="1" spans="1:10">
      <c r="A103" s="64"/>
      <c r="B103" s="64"/>
      <c r="C103" s="64" t="s">
        <v>181</v>
      </c>
      <c r="D103" s="64">
        <v>31</v>
      </c>
      <c r="E103" s="64">
        <v>24</v>
      </c>
      <c r="F103" s="64">
        <v>744</v>
      </c>
      <c r="G103" s="64">
        <v>0</v>
      </c>
      <c r="H103" s="65">
        <v>0</v>
      </c>
      <c r="I103" s="65">
        <v>1</v>
      </c>
      <c r="J103" s="64"/>
    </row>
    <row r="104" customHeight="1" spans="1:10">
      <c r="A104" s="64"/>
      <c r="B104" s="63" t="s">
        <v>224</v>
      </c>
      <c r="C104" s="64" t="s">
        <v>172</v>
      </c>
      <c r="D104" s="64">
        <v>31</v>
      </c>
      <c r="E104" s="64">
        <v>24</v>
      </c>
      <c r="F104" s="64">
        <v>744</v>
      </c>
      <c r="G104" s="64">
        <v>0</v>
      </c>
      <c r="H104" s="65">
        <v>0</v>
      </c>
      <c r="I104" s="65">
        <v>1</v>
      </c>
      <c r="J104" s="64"/>
    </row>
    <row r="105" customHeight="1" spans="1:10">
      <c r="A105" s="64"/>
      <c r="B105" s="64"/>
      <c r="C105" s="64" t="s">
        <v>173</v>
      </c>
      <c r="D105" s="64">
        <v>31</v>
      </c>
      <c r="E105" s="64">
        <v>24</v>
      </c>
      <c r="F105" s="64">
        <v>744</v>
      </c>
      <c r="G105" s="64">
        <v>0</v>
      </c>
      <c r="H105" s="65">
        <v>0</v>
      </c>
      <c r="I105" s="65">
        <v>1</v>
      </c>
      <c r="J105" s="64"/>
    </row>
    <row r="106" customHeight="1" spans="1:10">
      <c r="A106" s="64"/>
      <c r="B106" s="64"/>
      <c r="C106" s="64" t="s">
        <v>177</v>
      </c>
      <c r="D106" s="64">
        <v>31</v>
      </c>
      <c r="E106" s="64">
        <v>24</v>
      </c>
      <c r="F106" s="64">
        <v>744</v>
      </c>
      <c r="G106" s="64">
        <v>0</v>
      </c>
      <c r="H106" s="65">
        <v>0</v>
      </c>
      <c r="I106" s="65">
        <v>1</v>
      </c>
      <c r="J106" s="64"/>
    </row>
    <row r="107" customHeight="1" spans="1:10">
      <c r="A107" s="64"/>
      <c r="B107" s="63" t="s">
        <v>225</v>
      </c>
      <c r="C107" s="64" t="s">
        <v>172</v>
      </c>
      <c r="D107" s="64">
        <v>31</v>
      </c>
      <c r="E107" s="64">
        <v>24</v>
      </c>
      <c r="F107" s="64">
        <v>744</v>
      </c>
      <c r="G107" s="64">
        <v>0</v>
      </c>
      <c r="H107" s="65">
        <v>0</v>
      </c>
      <c r="I107" s="65">
        <v>1</v>
      </c>
      <c r="J107" s="64"/>
    </row>
    <row r="108" customHeight="1" spans="1:10">
      <c r="A108" s="64"/>
      <c r="B108" s="64"/>
      <c r="C108" s="64" t="s">
        <v>173</v>
      </c>
      <c r="D108" s="64">
        <v>31</v>
      </c>
      <c r="E108" s="64">
        <v>24</v>
      </c>
      <c r="F108" s="64">
        <v>744</v>
      </c>
      <c r="G108" s="64">
        <v>0</v>
      </c>
      <c r="H108" s="65">
        <v>0</v>
      </c>
      <c r="I108" s="65">
        <v>1</v>
      </c>
      <c r="J108" s="64"/>
    </row>
    <row r="109" customHeight="1" spans="1:10">
      <c r="A109" s="64"/>
      <c r="B109" s="64"/>
      <c r="C109" s="64" t="s">
        <v>177</v>
      </c>
      <c r="D109" s="64">
        <v>31</v>
      </c>
      <c r="E109" s="64">
        <v>24</v>
      </c>
      <c r="F109" s="64">
        <v>744</v>
      </c>
      <c r="G109" s="64">
        <v>0</v>
      </c>
      <c r="H109" s="65">
        <v>0</v>
      </c>
      <c r="I109" s="65">
        <v>1</v>
      </c>
      <c r="J109" s="64"/>
    </row>
    <row r="110" customHeight="1" spans="1:10">
      <c r="A110" s="64"/>
      <c r="B110" s="64"/>
      <c r="C110" s="64" t="s">
        <v>178</v>
      </c>
      <c r="D110" s="64">
        <v>31</v>
      </c>
      <c r="E110" s="64">
        <v>24</v>
      </c>
      <c r="F110" s="64">
        <v>744</v>
      </c>
      <c r="G110" s="64">
        <v>0</v>
      </c>
      <c r="H110" s="65">
        <v>0</v>
      </c>
      <c r="I110" s="65">
        <v>1</v>
      </c>
      <c r="J110" s="64"/>
    </row>
    <row r="111" customHeight="1" spans="1:10">
      <c r="A111" s="81" t="s">
        <v>226</v>
      </c>
      <c r="B111" s="81" t="s">
        <v>227</v>
      </c>
      <c r="C111" s="64" t="s">
        <v>172</v>
      </c>
      <c r="D111" s="64">
        <v>31</v>
      </c>
      <c r="E111" s="64">
        <v>24</v>
      </c>
      <c r="F111" s="64">
        <v>744</v>
      </c>
      <c r="G111" s="64">
        <v>744</v>
      </c>
      <c r="H111" s="65">
        <v>1</v>
      </c>
      <c r="I111" s="65">
        <v>1</v>
      </c>
      <c r="J111" s="64"/>
    </row>
    <row r="112" customHeight="1" spans="1:10">
      <c r="A112" s="82"/>
      <c r="B112" s="83"/>
      <c r="C112" s="64" t="s">
        <v>173</v>
      </c>
      <c r="D112" s="64">
        <v>31</v>
      </c>
      <c r="E112" s="64">
        <v>24</v>
      </c>
      <c r="F112" s="64">
        <v>744</v>
      </c>
      <c r="G112" s="64">
        <v>744</v>
      </c>
      <c r="H112" s="65">
        <v>1</v>
      </c>
      <c r="I112" s="65">
        <v>1</v>
      </c>
      <c r="J112" s="64"/>
    </row>
    <row r="113" customHeight="1" spans="1:10">
      <c r="A113" s="82"/>
      <c r="B113" s="83"/>
      <c r="C113" s="64" t="s">
        <v>177</v>
      </c>
      <c r="D113" s="64">
        <v>31</v>
      </c>
      <c r="E113" s="64">
        <v>24</v>
      </c>
      <c r="F113" s="64">
        <v>744</v>
      </c>
      <c r="G113" s="64">
        <v>744</v>
      </c>
      <c r="H113" s="65">
        <v>1</v>
      </c>
      <c r="I113" s="65">
        <v>1</v>
      </c>
      <c r="J113" s="64"/>
    </row>
    <row r="114" customHeight="1" spans="1:10">
      <c r="A114" s="82"/>
      <c r="B114" s="83"/>
      <c r="C114" s="64" t="s">
        <v>178</v>
      </c>
      <c r="D114" s="64">
        <v>31</v>
      </c>
      <c r="E114" s="64">
        <v>24</v>
      </c>
      <c r="F114" s="64">
        <v>744</v>
      </c>
      <c r="G114" s="64">
        <v>744</v>
      </c>
      <c r="H114" s="65">
        <v>1</v>
      </c>
      <c r="I114" s="65">
        <v>1</v>
      </c>
      <c r="J114" s="64"/>
    </row>
    <row r="115" customHeight="1" spans="1:10">
      <c r="A115" s="82"/>
      <c r="B115" s="83"/>
      <c r="C115" s="64" t="s">
        <v>179</v>
      </c>
      <c r="D115" s="64">
        <v>31</v>
      </c>
      <c r="E115" s="64">
        <v>24</v>
      </c>
      <c r="F115" s="64">
        <v>744</v>
      </c>
      <c r="G115" s="64">
        <v>0</v>
      </c>
      <c r="H115" s="65">
        <v>0</v>
      </c>
      <c r="I115" s="65">
        <v>0</v>
      </c>
      <c r="J115" s="64"/>
    </row>
    <row r="116" customHeight="1" spans="1:10">
      <c r="A116" s="82"/>
      <c r="B116" s="83"/>
      <c r="C116" s="64" t="s">
        <v>181</v>
      </c>
      <c r="D116" s="64">
        <v>31</v>
      </c>
      <c r="E116" s="64">
        <v>24</v>
      </c>
      <c r="F116" s="64">
        <v>744</v>
      </c>
      <c r="G116" s="64">
        <v>720</v>
      </c>
      <c r="H116" s="80">
        <v>0.97</v>
      </c>
      <c r="I116" s="80">
        <v>1</v>
      </c>
      <c r="J116" s="64"/>
    </row>
    <row r="117" customHeight="1" spans="1:10">
      <c r="A117" s="82"/>
      <c r="B117" s="83"/>
      <c r="C117" s="64" t="s">
        <v>191</v>
      </c>
      <c r="D117" s="64">
        <v>31</v>
      </c>
      <c r="E117" s="64">
        <v>24</v>
      </c>
      <c r="F117" s="64">
        <v>744</v>
      </c>
      <c r="G117" s="64">
        <v>384</v>
      </c>
      <c r="H117" s="65">
        <v>0.516129032258065</v>
      </c>
      <c r="I117" s="65">
        <v>0.52</v>
      </c>
      <c r="J117" s="64" t="s">
        <v>228</v>
      </c>
    </row>
    <row r="118" customHeight="1" spans="1:10">
      <c r="A118" s="82"/>
      <c r="B118" s="83"/>
      <c r="C118" s="64" t="s">
        <v>192</v>
      </c>
      <c r="D118" s="64">
        <v>31</v>
      </c>
      <c r="E118" s="64">
        <v>24</v>
      </c>
      <c r="F118" s="64">
        <v>744</v>
      </c>
      <c r="G118" s="64">
        <v>744</v>
      </c>
      <c r="H118" s="65">
        <v>1</v>
      </c>
      <c r="I118" s="65">
        <v>1</v>
      </c>
      <c r="J118" s="64"/>
    </row>
    <row r="119" customHeight="1" spans="1:10">
      <c r="A119" s="82"/>
      <c r="B119" s="83"/>
      <c r="C119" s="64" t="s">
        <v>193</v>
      </c>
      <c r="D119" s="64">
        <v>31</v>
      </c>
      <c r="E119" s="64">
        <v>24</v>
      </c>
      <c r="F119" s="64">
        <v>744</v>
      </c>
      <c r="G119" s="64">
        <v>744</v>
      </c>
      <c r="H119" s="65">
        <v>1</v>
      </c>
      <c r="I119" s="65">
        <v>1</v>
      </c>
      <c r="J119" s="64"/>
    </row>
    <row r="120" customHeight="1" spans="1:10">
      <c r="A120" s="82"/>
      <c r="B120" s="83"/>
      <c r="C120" s="64" t="s">
        <v>194</v>
      </c>
      <c r="D120" s="64">
        <v>31</v>
      </c>
      <c r="E120" s="64">
        <v>24</v>
      </c>
      <c r="F120" s="64">
        <v>744</v>
      </c>
      <c r="G120" s="64">
        <v>528</v>
      </c>
      <c r="H120" s="65">
        <v>0.709677419354839</v>
      </c>
      <c r="I120" s="65">
        <v>1</v>
      </c>
      <c r="J120" s="64"/>
    </row>
    <row r="121" customHeight="1" spans="1:10">
      <c r="A121" s="82"/>
      <c r="B121" s="83"/>
      <c r="C121" s="64" t="s">
        <v>195</v>
      </c>
      <c r="D121" s="64">
        <v>31</v>
      </c>
      <c r="E121" s="64">
        <v>24</v>
      </c>
      <c r="F121" s="64">
        <v>744</v>
      </c>
      <c r="G121" s="64">
        <v>744</v>
      </c>
      <c r="H121" s="65">
        <v>1</v>
      </c>
      <c r="I121" s="65">
        <v>1</v>
      </c>
      <c r="J121" s="64"/>
    </row>
    <row r="122" customHeight="1" spans="1:10">
      <c r="A122" s="82"/>
      <c r="B122" s="83"/>
      <c r="C122" s="64" t="s">
        <v>196</v>
      </c>
      <c r="D122" s="64">
        <v>31</v>
      </c>
      <c r="E122" s="64">
        <v>24</v>
      </c>
      <c r="F122" s="64">
        <v>744</v>
      </c>
      <c r="G122" s="64">
        <v>744</v>
      </c>
      <c r="H122" s="65">
        <v>1</v>
      </c>
      <c r="I122" s="65">
        <v>1</v>
      </c>
      <c r="J122" s="64"/>
    </row>
    <row r="123" customHeight="1" spans="1:10">
      <c r="A123" s="82"/>
      <c r="B123" s="83"/>
      <c r="C123" s="64" t="s">
        <v>197</v>
      </c>
      <c r="D123" s="64">
        <v>31</v>
      </c>
      <c r="E123" s="64">
        <v>24</v>
      </c>
      <c r="F123" s="64">
        <v>744</v>
      </c>
      <c r="G123" s="64">
        <v>744</v>
      </c>
      <c r="H123" s="65">
        <v>1</v>
      </c>
      <c r="I123" s="65">
        <v>1</v>
      </c>
      <c r="J123" s="64"/>
    </row>
    <row r="124" customHeight="1" spans="1:10">
      <c r="A124" s="82"/>
      <c r="B124" s="83"/>
      <c r="C124" s="64" t="s">
        <v>198</v>
      </c>
      <c r="D124" s="64">
        <v>31</v>
      </c>
      <c r="E124" s="64">
        <v>24</v>
      </c>
      <c r="F124" s="64">
        <v>744</v>
      </c>
      <c r="G124" s="64">
        <v>744</v>
      </c>
      <c r="H124" s="65">
        <v>1</v>
      </c>
      <c r="I124" s="65">
        <v>1</v>
      </c>
      <c r="J124" s="64"/>
    </row>
    <row r="125" customHeight="1" spans="1:10">
      <c r="A125" s="82"/>
      <c r="B125" s="83"/>
      <c r="C125" s="64" t="s">
        <v>199</v>
      </c>
      <c r="D125" s="64">
        <v>31</v>
      </c>
      <c r="E125" s="64">
        <v>24</v>
      </c>
      <c r="F125" s="64">
        <v>744</v>
      </c>
      <c r="G125" s="64">
        <v>696</v>
      </c>
      <c r="H125" s="65">
        <v>0.935483870967742</v>
      </c>
      <c r="I125" s="65">
        <v>1</v>
      </c>
      <c r="J125" s="64"/>
    </row>
    <row r="126" customHeight="1" spans="1:10">
      <c r="A126" s="82"/>
      <c r="B126" s="83"/>
      <c r="C126" s="64" t="s">
        <v>200</v>
      </c>
      <c r="D126" s="64">
        <v>31</v>
      </c>
      <c r="E126" s="64">
        <v>24</v>
      </c>
      <c r="F126" s="64">
        <v>744</v>
      </c>
      <c r="G126" s="64">
        <v>744</v>
      </c>
      <c r="H126" s="65">
        <v>1</v>
      </c>
      <c r="I126" s="65">
        <v>1</v>
      </c>
      <c r="J126" s="64"/>
    </row>
    <row r="127" customHeight="1" spans="1:10">
      <c r="A127" s="82"/>
      <c r="B127" s="83"/>
      <c r="C127" s="64" t="s">
        <v>201</v>
      </c>
      <c r="D127" s="64">
        <v>31</v>
      </c>
      <c r="E127" s="64">
        <v>24</v>
      </c>
      <c r="F127" s="64">
        <v>744</v>
      </c>
      <c r="G127" s="64">
        <v>744</v>
      </c>
      <c r="H127" s="65">
        <v>1</v>
      </c>
      <c r="I127" s="65">
        <v>1</v>
      </c>
      <c r="J127" s="64"/>
    </row>
    <row r="128" customHeight="1" spans="1:10">
      <c r="A128" s="82"/>
      <c r="B128" s="83"/>
      <c r="C128" s="64" t="s">
        <v>202</v>
      </c>
      <c r="D128" s="64">
        <v>31</v>
      </c>
      <c r="E128" s="64">
        <v>24</v>
      </c>
      <c r="F128" s="64">
        <v>744</v>
      </c>
      <c r="G128" s="64">
        <v>744</v>
      </c>
      <c r="H128" s="65">
        <v>1</v>
      </c>
      <c r="I128" s="65">
        <v>1</v>
      </c>
      <c r="J128" s="64"/>
    </row>
    <row r="129" customHeight="1" spans="1:10">
      <c r="A129" s="82"/>
      <c r="B129" s="83"/>
      <c r="C129" s="64" t="s">
        <v>204</v>
      </c>
      <c r="D129" s="64">
        <v>31</v>
      </c>
      <c r="E129" s="64">
        <v>24</v>
      </c>
      <c r="F129" s="64">
        <v>744</v>
      </c>
      <c r="G129" s="64">
        <v>744</v>
      </c>
      <c r="H129" s="65">
        <v>1</v>
      </c>
      <c r="I129" s="65">
        <v>1</v>
      </c>
      <c r="J129" s="64"/>
    </row>
    <row r="130" customHeight="1" spans="1:10">
      <c r="A130" s="82"/>
      <c r="B130" s="83"/>
      <c r="C130" s="64" t="s">
        <v>205</v>
      </c>
      <c r="D130" s="64">
        <v>31</v>
      </c>
      <c r="E130" s="64">
        <v>24</v>
      </c>
      <c r="F130" s="64">
        <v>744</v>
      </c>
      <c r="G130" s="64">
        <v>552</v>
      </c>
      <c r="H130" s="65">
        <v>0.741935483870968</v>
      </c>
      <c r="I130" s="65">
        <v>1</v>
      </c>
      <c r="J130" s="64"/>
    </row>
    <row r="131" customHeight="1" spans="1:10">
      <c r="A131" s="82"/>
      <c r="B131" s="83"/>
      <c r="C131" s="64" t="s">
        <v>206</v>
      </c>
      <c r="D131" s="64">
        <v>31</v>
      </c>
      <c r="E131" s="64">
        <v>24</v>
      </c>
      <c r="F131" s="64">
        <v>744</v>
      </c>
      <c r="G131" s="64">
        <v>720</v>
      </c>
      <c r="H131" s="80">
        <v>0.97</v>
      </c>
      <c r="I131" s="80">
        <v>1</v>
      </c>
      <c r="J131" s="64"/>
    </row>
    <row r="132" customHeight="1" spans="1:10">
      <c r="A132" s="84"/>
      <c r="B132" s="85"/>
      <c r="C132" s="64" t="s">
        <v>207</v>
      </c>
      <c r="D132" s="64">
        <v>31</v>
      </c>
      <c r="E132" s="64">
        <v>24</v>
      </c>
      <c r="F132" s="64">
        <v>744</v>
      </c>
      <c r="G132" s="64">
        <v>744</v>
      </c>
      <c r="H132" s="65">
        <v>1</v>
      </c>
      <c r="I132" s="65">
        <v>1</v>
      </c>
      <c r="J132" s="64"/>
    </row>
    <row r="133" ht="14.25" spans="1:10">
      <c r="A133" s="66" t="s">
        <v>61</v>
      </c>
      <c r="B133" s="66"/>
      <c r="C133" s="67"/>
      <c r="D133" s="67"/>
      <c r="E133" s="68" t="s">
        <v>62</v>
      </c>
      <c r="F133" s="68"/>
      <c r="G133" s="69"/>
      <c r="H133" s="70" t="s">
        <v>187</v>
      </c>
      <c r="I133" s="70"/>
      <c r="J133" s="70"/>
    </row>
    <row r="134" ht="7" customHeight="1" spans="2:6">
      <c r="B134" s="86"/>
      <c r="F134" s="87"/>
    </row>
    <row r="135" ht="5" customHeight="1" spans="2:6">
      <c r="B135" s="86"/>
      <c r="F135" s="87"/>
    </row>
    <row r="136" s="52" customFormat="1" ht="29" customHeight="1" spans="1:212">
      <c r="A136" s="56" t="s">
        <v>155</v>
      </c>
      <c r="B136" s="56"/>
      <c r="C136" s="56"/>
      <c r="D136" s="56"/>
      <c r="E136" s="56"/>
      <c r="F136" s="56"/>
      <c r="G136" s="56"/>
      <c r="H136" s="57"/>
      <c r="I136" s="56"/>
      <c r="J136" s="56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  <c r="AA136" s="55"/>
      <c r="AB136" s="55"/>
      <c r="AC136" s="55"/>
      <c r="AD136" s="55"/>
      <c r="AE136" s="55"/>
      <c r="AF136" s="55"/>
      <c r="AG136" s="55"/>
      <c r="AH136" s="55"/>
      <c r="AI136" s="55"/>
      <c r="AJ136" s="55"/>
      <c r="AK136" s="55"/>
      <c r="AL136" s="55"/>
      <c r="AM136" s="55"/>
      <c r="AN136" s="55"/>
      <c r="AO136" s="55"/>
      <c r="AP136" s="55"/>
      <c r="AQ136" s="55"/>
      <c r="AR136" s="55"/>
      <c r="AS136" s="55"/>
      <c r="AT136" s="55"/>
      <c r="AU136" s="55"/>
      <c r="AV136" s="55"/>
      <c r="AW136" s="55"/>
      <c r="AX136" s="55"/>
      <c r="AY136" s="55"/>
      <c r="AZ136" s="55"/>
      <c r="BA136" s="55"/>
      <c r="BB136" s="55"/>
      <c r="BC136" s="55"/>
      <c r="BD136" s="55"/>
      <c r="BE136" s="55"/>
      <c r="BF136" s="55"/>
      <c r="BG136" s="55"/>
      <c r="BH136" s="55"/>
      <c r="BI136" s="55"/>
      <c r="BJ136" s="55"/>
      <c r="BK136" s="55"/>
      <c r="BL136" s="55"/>
      <c r="BM136" s="55"/>
      <c r="BN136" s="55"/>
      <c r="BO136" s="55"/>
      <c r="BP136" s="55"/>
      <c r="BQ136" s="55"/>
      <c r="BR136" s="55"/>
      <c r="BS136" s="55"/>
      <c r="BT136" s="55"/>
      <c r="BU136" s="55"/>
      <c r="BV136" s="55"/>
      <c r="BW136" s="55"/>
      <c r="BX136" s="55"/>
      <c r="BY136" s="55"/>
      <c r="BZ136" s="55"/>
      <c r="CA136" s="55"/>
      <c r="CB136" s="55"/>
      <c r="CC136" s="55"/>
      <c r="CD136" s="55"/>
      <c r="CE136" s="55"/>
      <c r="CF136" s="55"/>
      <c r="CG136" s="55"/>
      <c r="CH136" s="55"/>
      <c r="CI136" s="55"/>
      <c r="CJ136" s="55"/>
      <c r="CK136" s="55"/>
      <c r="CL136" s="55"/>
      <c r="CM136" s="55"/>
      <c r="CN136" s="55"/>
      <c r="CO136" s="55"/>
      <c r="CP136" s="55"/>
      <c r="CQ136" s="55"/>
      <c r="CR136" s="55"/>
      <c r="CS136" s="55"/>
      <c r="CT136" s="55"/>
      <c r="CU136" s="55"/>
      <c r="CV136" s="55"/>
      <c r="CW136" s="55"/>
      <c r="CX136" s="55"/>
      <c r="CY136" s="55"/>
      <c r="CZ136" s="55"/>
      <c r="DA136" s="55"/>
      <c r="DB136" s="55"/>
      <c r="DC136" s="55"/>
      <c r="DD136" s="55"/>
      <c r="DE136" s="55"/>
      <c r="DF136" s="55"/>
      <c r="DG136" s="55"/>
      <c r="DH136" s="55"/>
      <c r="DI136" s="55"/>
      <c r="DJ136" s="55"/>
      <c r="DK136" s="55"/>
      <c r="DL136" s="55"/>
      <c r="DM136" s="55"/>
      <c r="DN136" s="55"/>
      <c r="DO136" s="55"/>
      <c r="DP136" s="55"/>
      <c r="DQ136" s="55"/>
      <c r="DR136" s="55"/>
      <c r="DS136" s="55"/>
      <c r="DT136" s="55"/>
      <c r="DU136" s="55"/>
      <c r="DV136" s="55"/>
      <c r="DW136" s="55"/>
      <c r="DX136" s="55"/>
      <c r="DY136" s="55"/>
      <c r="DZ136" s="55"/>
      <c r="EA136" s="55"/>
      <c r="EB136" s="55"/>
      <c r="EC136" s="55"/>
      <c r="ED136" s="55"/>
      <c r="EE136" s="55"/>
      <c r="EF136" s="55"/>
      <c r="EG136" s="55"/>
      <c r="EH136" s="55"/>
      <c r="EI136" s="55"/>
      <c r="EJ136" s="55"/>
      <c r="EK136" s="55"/>
      <c r="EL136" s="55"/>
      <c r="EM136" s="55"/>
      <c r="EN136" s="55"/>
      <c r="EO136" s="55"/>
      <c r="EP136" s="55"/>
      <c r="EQ136" s="55"/>
      <c r="ER136" s="55"/>
      <c r="ES136" s="55"/>
      <c r="ET136" s="55"/>
      <c r="EU136" s="55"/>
      <c r="EV136" s="55"/>
      <c r="EW136" s="55"/>
      <c r="EX136" s="55"/>
      <c r="EY136" s="55"/>
      <c r="EZ136" s="55"/>
      <c r="FA136" s="55"/>
      <c r="FB136" s="55"/>
      <c r="FC136" s="55"/>
      <c r="FD136" s="55"/>
      <c r="FE136" s="55"/>
      <c r="FF136" s="55"/>
      <c r="FG136" s="55"/>
      <c r="FH136" s="55"/>
      <c r="FI136" s="55"/>
      <c r="FJ136" s="55"/>
      <c r="FK136" s="55"/>
      <c r="FL136" s="55"/>
      <c r="FM136" s="55"/>
      <c r="FN136" s="55"/>
      <c r="FO136" s="55"/>
      <c r="FP136" s="55"/>
      <c r="FQ136" s="55"/>
      <c r="FR136" s="55"/>
      <c r="FS136" s="55"/>
      <c r="FT136" s="55"/>
      <c r="FU136" s="55"/>
      <c r="FV136" s="55"/>
      <c r="FW136" s="55"/>
      <c r="FX136" s="55"/>
      <c r="FY136" s="55"/>
      <c r="FZ136" s="55"/>
      <c r="GA136" s="55"/>
      <c r="GB136" s="55"/>
      <c r="GC136" s="55"/>
      <c r="GD136" s="55"/>
      <c r="GE136" s="55"/>
      <c r="GF136" s="55"/>
      <c r="GG136" s="55"/>
      <c r="GH136" s="55"/>
      <c r="GI136" s="55"/>
      <c r="GJ136" s="55"/>
      <c r="GK136" s="55"/>
      <c r="GL136" s="55"/>
      <c r="GM136" s="55"/>
      <c r="GN136" s="55"/>
      <c r="GO136" s="55"/>
      <c r="GP136" s="55"/>
      <c r="GQ136" s="55"/>
      <c r="GR136" s="55"/>
      <c r="GS136" s="55"/>
      <c r="GT136" s="55"/>
      <c r="GU136" s="55"/>
      <c r="GV136" s="55"/>
      <c r="GW136" s="55"/>
      <c r="GX136" s="55"/>
      <c r="GY136" s="55"/>
      <c r="GZ136" s="55"/>
      <c r="HA136" s="55"/>
      <c r="HB136" s="55"/>
      <c r="HC136" s="55"/>
      <c r="HD136" s="55"/>
    </row>
    <row r="137" s="52" customFormat="1" ht="20.1" customHeight="1" spans="1:212">
      <c r="A137" s="58">
        <v>44256</v>
      </c>
      <c r="B137" s="58"/>
      <c r="C137" s="58"/>
      <c r="D137" s="58"/>
      <c r="E137" s="58"/>
      <c r="F137" s="58"/>
      <c r="G137" s="58"/>
      <c r="H137" s="58"/>
      <c r="I137" s="58"/>
      <c r="J137" s="58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  <c r="AA137" s="55"/>
      <c r="AB137" s="55"/>
      <c r="AC137" s="55"/>
      <c r="AD137" s="55"/>
      <c r="AE137" s="55"/>
      <c r="AF137" s="55"/>
      <c r="AG137" s="55"/>
      <c r="AH137" s="55"/>
      <c r="AI137" s="55"/>
      <c r="AJ137" s="55"/>
      <c r="AK137" s="55"/>
      <c r="AL137" s="55"/>
      <c r="AM137" s="55"/>
      <c r="AN137" s="55"/>
      <c r="AO137" s="55"/>
      <c r="AP137" s="55"/>
      <c r="AQ137" s="55"/>
      <c r="AR137" s="55"/>
      <c r="AS137" s="55"/>
      <c r="AT137" s="55"/>
      <c r="AU137" s="55"/>
      <c r="AV137" s="55"/>
      <c r="AW137" s="55"/>
      <c r="AX137" s="55"/>
      <c r="AY137" s="55"/>
      <c r="AZ137" s="55"/>
      <c r="BA137" s="55"/>
      <c r="BB137" s="55"/>
      <c r="BC137" s="55"/>
      <c r="BD137" s="55"/>
      <c r="BE137" s="55"/>
      <c r="BF137" s="55"/>
      <c r="BG137" s="55"/>
      <c r="BH137" s="55"/>
      <c r="BI137" s="55"/>
      <c r="BJ137" s="55"/>
      <c r="BK137" s="55"/>
      <c r="BL137" s="55"/>
      <c r="BM137" s="55"/>
      <c r="BN137" s="55"/>
      <c r="BO137" s="55"/>
      <c r="BP137" s="55"/>
      <c r="BQ137" s="55"/>
      <c r="BR137" s="55"/>
      <c r="BS137" s="55"/>
      <c r="BT137" s="55"/>
      <c r="BU137" s="55"/>
      <c r="BV137" s="55"/>
      <c r="BW137" s="55"/>
      <c r="BX137" s="55"/>
      <c r="BY137" s="55"/>
      <c r="BZ137" s="55"/>
      <c r="CA137" s="55"/>
      <c r="CB137" s="55"/>
      <c r="CC137" s="55"/>
      <c r="CD137" s="55"/>
      <c r="CE137" s="55"/>
      <c r="CF137" s="55"/>
      <c r="CG137" s="55"/>
      <c r="CH137" s="55"/>
      <c r="CI137" s="55"/>
      <c r="CJ137" s="55"/>
      <c r="CK137" s="55"/>
      <c r="CL137" s="55"/>
      <c r="CM137" s="55"/>
      <c r="CN137" s="55"/>
      <c r="CO137" s="55"/>
      <c r="CP137" s="55"/>
      <c r="CQ137" s="55"/>
      <c r="CR137" s="55"/>
      <c r="CS137" s="55"/>
      <c r="CT137" s="55"/>
      <c r="CU137" s="55"/>
      <c r="CV137" s="55"/>
      <c r="CW137" s="55"/>
      <c r="CX137" s="55"/>
      <c r="CY137" s="55"/>
      <c r="CZ137" s="55"/>
      <c r="DA137" s="55"/>
      <c r="DB137" s="55"/>
      <c r="DC137" s="55"/>
      <c r="DD137" s="55"/>
      <c r="DE137" s="55"/>
      <c r="DF137" s="55"/>
      <c r="DG137" s="55"/>
      <c r="DH137" s="55"/>
      <c r="DI137" s="55"/>
      <c r="DJ137" s="55"/>
      <c r="DK137" s="55"/>
      <c r="DL137" s="55"/>
      <c r="DM137" s="55"/>
      <c r="DN137" s="55"/>
      <c r="DO137" s="55"/>
      <c r="DP137" s="55"/>
      <c r="DQ137" s="55"/>
      <c r="DR137" s="55"/>
      <c r="DS137" s="55"/>
      <c r="DT137" s="55"/>
      <c r="DU137" s="55"/>
      <c r="DV137" s="55"/>
      <c r="DW137" s="55"/>
      <c r="DX137" s="55"/>
      <c r="DY137" s="55"/>
      <c r="DZ137" s="55"/>
      <c r="EA137" s="55"/>
      <c r="EB137" s="55"/>
      <c r="EC137" s="55"/>
      <c r="ED137" s="55"/>
      <c r="EE137" s="55"/>
      <c r="EF137" s="55"/>
      <c r="EG137" s="55"/>
      <c r="EH137" s="55"/>
      <c r="EI137" s="55"/>
      <c r="EJ137" s="55"/>
      <c r="EK137" s="55"/>
      <c r="EL137" s="55"/>
      <c r="EM137" s="55"/>
      <c r="EN137" s="55"/>
      <c r="EO137" s="55"/>
      <c r="EP137" s="55"/>
      <c r="EQ137" s="55"/>
      <c r="ER137" s="55"/>
      <c r="ES137" s="55"/>
      <c r="ET137" s="55"/>
      <c r="EU137" s="55"/>
      <c r="EV137" s="55"/>
      <c r="EW137" s="55"/>
      <c r="EX137" s="55"/>
      <c r="EY137" s="55"/>
      <c r="EZ137" s="55"/>
      <c r="FA137" s="55"/>
      <c r="FB137" s="55"/>
      <c r="FC137" s="55"/>
      <c r="FD137" s="55"/>
      <c r="FE137" s="55"/>
      <c r="FF137" s="55"/>
      <c r="FG137" s="55"/>
      <c r="FH137" s="55"/>
      <c r="FI137" s="55"/>
      <c r="FJ137" s="55"/>
      <c r="FK137" s="55"/>
      <c r="FL137" s="55"/>
      <c r="FM137" s="55"/>
      <c r="FN137" s="55"/>
      <c r="FO137" s="55"/>
      <c r="FP137" s="55"/>
      <c r="FQ137" s="55"/>
      <c r="FR137" s="55"/>
      <c r="FS137" s="55"/>
      <c r="FT137" s="55"/>
      <c r="FU137" s="55"/>
      <c r="FV137" s="55"/>
      <c r="FW137" s="55"/>
      <c r="FX137" s="55"/>
      <c r="FY137" s="55"/>
      <c r="FZ137" s="55"/>
      <c r="GA137" s="55"/>
      <c r="GB137" s="55"/>
      <c r="GC137" s="55"/>
      <c r="GD137" s="55"/>
      <c r="GE137" s="55"/>
      <c r="GF137" s="55"/>
      <c r="GG137" s="55"/>
      <c r="GH137" s="55"/>
      <c r="GI137" s="55"/>
      <c r="GJ137" s="55"/>
      <c r="GK137" s="55"/>
      <c r="GL137" s="55"/>
      <c r="GM137" s="55"/>
      <c r="GN137" s="55"/>
      <c r="GO137" s="55"/>
      <c r="GP137" s="55"/>
      <c r="GQ137" s="55"/>
      <c r="GR137" s="55"/>
      <c r="GS137" s="55"/>
      <c r="GT137" s="55"/>
      <c r="GU137" s="55"/>
      <c r="GV137" s="55"/>
      <c r="GW137" s="55"/>
      <c r="GX137" s="55"/>
      <c r="GY137" s="55"/>
      <c r="GZ137" s="55"/>
      <c r="HA137" s="55"/>
      <c r="HB137" s="55"/>
      <c r="HC137" s="55"/>
      <c r="HD137" s="55"/>
    </row>
    <row r="138" s="52" customFormat="1" ht="20.1" customHeight="1" spans="1:212">
      <c r="A138" s="6" t="s">
        <v>156</v>
      </c>
      <c r="B138" s="6" t="s">
        <v>157</v>
      </c>
      <c r="C138" s="6" t="s">
        <v>158</v>
      </c>
      <c r="D138" s="6" t="s">
        <v>159</v>
      </c>
      <c r="E138" s="59" t="s">
        <v>160</v>
      </c>
      <c r="F138" s="59" t="s">
        <v>161</v>
      </c>
      <c r="G138" s="60" t="s">
        <v>162</v>
      </c>
      <c r="H138" s="61" t="s">
        <v>163</v>
      </c>
      <c r="I138" s="59" t="s">
        <v>164</v>
      </c>
      <c r="J138" s="6" t="s">
        <v>165</v>
      </c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  <c r="AA138" s="55"/>
      <c r="AB138" s="55"/>
      <c r="AC138" s="55"/>
      <c r="AD138" s="55"/>
      <c r="AE138" s="55"/>
      <c r="AF138" s="55"/>
      <c r="AG138" s="55"/>
      <c r="AH138" s="55"/>
      <c r="AI138" s="55"/>
      <c r="AJ138" s="55"/>
      <c r="AK138" s="55"/>
      <c r="AL138" s="55"/>
      <c r="AM138" s="55"/>
      <c r="AN138" s="55"/>
      <c r="AO138" s="55"/>
      <c r="AP138" s="55"/>
      <c r="AQ138" s="55"/>
      <c r="AR138" s="55"/>
      <c r="AS138" s="55"/>
      <c r="AT138" s="55"/>
      <c r="AU138" s="55"/>
      <c r="AV138" s="55"/>
      <c r="AW138" s="55"/>
      <c r="AX138" s="55"/>
      <c r="AY138" s="55"/>
      <c r="AZ138" s="55"/>
      <c r="BA138" s="55"/>
      <c r="BB138" s="55"/>
      <c r="BC138" s="55"/>
      <c r="BD138" s="55"/>
      <c r="BE138" s="55"/>
      <c r="BF138" s="55"/>
      <c r="BG138" s="55"/>
      <c r="BH138" s="55"/>
      <c r="BI138" s="55"/>
      <c r="BJ138" s="55"/>
      <c r="BK138" s="55"/>
      <c r="BL138" s="55"/>
      <c r="BM138" s="55"/>
      <c r="BN138" s="55"/>
      <c r="BO138" s="55"/>
      <c r="BP138" s="55"/>
      <c r="BQ138" s="55"/>
      <c r="BR138" s="55"/>
      <c r="BS138" s="55"/>
      <c r="BT138" s="55"/>
      <c r="BU138" s="55"/>
      <c r="BV138" s="55"/>
      <c r="BW138" s="55"/>
      <c r="BX138" s="55"/>
      <c r="BY138" s="55"/>
      <c r="BZ138" s="55"/>
      <c r="CA138" s="55"/>
      <c r="CB138" s="55"/>
      <c r="CC138" s="55"/>
      <c r="CD138" s="55"/>
      <c r="CE138" s="55"/>
      <c r="CF138" s="55"/>
      <c r="CG138" s="55"/>
      <c r="CH138" s="55"/>
      <c r="CI138" s="55"/>
      <c r="CJ138" s="55"/>
      <c r="CK138" s="55"/>
      <c r="CL138" s="55"/>
      <c r="CM138" s="55"/>
      <c r="CN138" s="55"/>
      <c r="CO138" s="55"/>
      <c r="CP138" s="55"/>
      <c r="CQ138" s="55"/>
      <c r="CR138" s="55"/>
      <c r="CS138" s="55"/>
      <c r="CT138" s="55"/>
      <c r="CU138" s="55"/>
      <c r="CV138" s="55"/>
      <c r="CW138" s="55"/>
      <c r="CX138" s="55"/>
      <c r="CY138" s="55"/>
      <c r="CZ138" s="55"/>
      <c r="DA138" s="55"/>
      <c r="DB138" s="55"/>
      <c r="DC138" s="55"/>
      <c r="DD138" s="55"/>
      <c r="DE138" s="55"/>
      <c r="DF138" s="55"/>
      <c r="DG138" s="55"/>
      <c r="DH138" s="55"/>
      <c r="DI138" s="55"/>
      <c r="DJ138" s="55"/>
      <c r="DK138" s="55"/>
      <c r="DL138" s="55"/>
      <c r="DM138" s="55"/>
      <c r="DN138" s="55"/>
      <c r="DO138" s="55"/>
      <c r="DP138" s="55"/>
      <c r="DQ138" s="55"/>
      <c r="DR138" s="55"/>
      <c r="DS138" s="55"/>
      <c r="DT138" s="55"/>
      <c r="DU138" s="55"/>
      <c r="DV138" s="55"/>
      <c r="DW138" s="55"/>
      <c r="DX138" s="55"/>
      <c r="DY138" s="55"/>
      <c r="DZ138" s="55"/>
      <c r="EA138" s="55"/>
      <c r="EB138" s="55"/>
      <c r="EC138" s="55"/>
      <c r="ED138" s="55"/>
      <c r="EE138" s="55"/>
      <c r="EF138" s="55"/>
      <c r="EG138" s="55"/>
      <c r="EH138" s="55"/>
      <c r="EI138" s="55"/>
      <c r="EJ138" s="55"/>
      <c r="EK138" s="55"/>
      <c r="EL138" s="55"/>
      <c r="EM138" s="55"/>
      <c r="EN138" s="55"/>
      <c r="EO138" s="55"/>
      <c r="EP138" s="55"/>
      <c r="EQ138" s="55"/>
      <c r="ER138" s="55"/>
      <c r="ES138" s="55"/>
      <c r="ET138" s="55"/>
      <c r="EU138" s="55"/>
      <c r="EV138" s="55"/>
      <c r="EW138" s="55"/>
      <c r="EX138" s="55"/>
      <c r="EY138" s="55"/>
      <c r="EZ138" s="55"/>
      <c r="FA138" s="55"/>
      <c r="FB138" s="55"/>
      <c r="FC138" s="55"/>
      <c r="FD138" s="55"/>
      <c r="FE138" s="55"/>
      <c r="FF138" s="55"/>
      <c r="FG138" s="55"/>
      <c r="FH138" s="55"/>
      <c r="FI138" s="55"/>
      <c r="FJ138" s="55"/>
      <c r="FK138" s="55"/>
      <c r="FL138" s="55"/>
      <c r="FM138" s="55"/>
      <c r="FN138" s="55"/>
      <c r="FO138" s="55"/>
      <c r="FP138" s="55"/>
      <c r="FQ138" s="55"/>
      <c r="FR138" s="55"/>
      <c r="FS138" s="55"/>
      <c r="FT138" s="55"/>
      <c r="FU138" s="55"/>
      <c r="FV138" s="55"/>
      <c r="FW138" s="55"/>
      <c r="FX138" s="55"/>
      <c r="FY138" s="55"/>
      <c r="FZ138" s="55"/>
      <c r="GA138" s="55"/>
      <c r="GB138" s="55"/>
      <c r="GC138" s="55"/>
      <c r="GD138" s="55"/>
      <c r="GE138" s="55"/>
      <c r="GF138" s="55"/>
      <c r="GG138" s="55"/>
      <c r="GH138" s="55"/>
      <c r="GI138" s="55"/>
      <c r="GJ138" s="55"/>
      <c r="GK138" s="55"/>
      <c r="GL138" s="55"/>
      <c r="GM138" s="55"/>
      <c r="GN138" s="55"/>
      <c r="GO138" s="55"/>
      <c r="GP138" s="55"/>
      <c r="GQ138" s="55"/>
      <c r="GR138" s="55"/>
      <c r="GS138" s="55"/>
      <c r="GT138" s="55"/>
      <c r="GU138" s="55"/>
      <c r="GV138" s="55"/>
      <c r="GW138" s="55"/>
      <c r="GX138" s="55"/>
      <c r="GY138" s="55"/>
      <c r="GZ138" s="55"/>
      <c r="HA138" s="55"/>
      <c r="HB138" s="55"/>
      <c r="HC138" s="55"/>
      <c r="HD138" s="55"/>
    </row>
    <row r="139" customHeight="1" spans="1:10">
      <c r="A139" s="6"/>
      <c r="B139" s="6"/>
      <c r="C139" s="6"/>
      <c r="D139" s="6"/>
      <c r="E139" s="59"/>
      <c r="F139" s="59"/>
      <c r="G139" s="60"/>
      <c r="H139" s="61"/>
      <c r="I139" s="59"/>
      <c r="J139" s="6"/>
    </row>
    <row r="140" customHeight="1" spans="1:10">
      <c r="A140" s="62"/>
      <c r="B140" s="6"/>
      <c r="C140" s="62"/>
      <c r="D140" s="6" t="s">
        <v>166</v>
      </c>
      <c r="E140" s="59" t="s">
        <v>167</v>
      </c>
      <c r="F140" s="59" t="s">
        <v>168</v>
      </c>
      <c r="G140" s="60" t="s">
        <v>168</v>
      </c>
      <c r="H140" s="61" t="s">
        <v>169</v>
      </c>
      <c r="I140" s="59" t="s">
        <v>169</v>
      </c>
      <c r="J140" s="6"/>
    </row>
    <row r="141" customHeight="1" spans="1:10">
      <c r="A141" s="63" t="s">
        <v>226</v>
      </c>
      <c r="B141" s="63" t="s">
        <v>229</v>
      </c>
      <c r="C141" s="64" t="s">
        <v>208</v>
      </c>
      <c r="D141" s="64">
        <v>31</v>
      </c>
      <c r="E141" s="64">
        <v>24</v>
      </c>
      <c r="F141" s="64">
        <v>744</v>
      </c>
      <c r="G141" s="64">
        <v>744</v>
      </c>
      <c r="H141" s="65">
        <v>1</v>
      </c>
      <c r="I141" s="65">
        <v>1</v>
      </c>
      <c r="J141" s="64"/>
    </row>
    <row r="142" customHeight="1" spans="1:10">
      <c r="A142" s="64"/>
      <c r="B142" s="64"/>
      <c r="C142" s="64" t="s">
        <v>209</v>
      </c>
      <c r="D142" s="64">
        <v>31</v>
      </c>
      <c r="E142" s="64">
        <v>24</v>
      </c>
      <c r="F142" s="64">
        <v>744</v>
      </c>
      <c r="G142" s="64">
        <v>744</v>
      </c>
      <c r="H142" s="65">
        <v>1</v>
      </c>
      <c r="I142" s="65">
        <v>1</v>
      </c>
      <c r="J142" s="64"/>
    </row>
    <row r="143" customHeight="1" spans="1:10">
      <c r="A143" s="64"/>
      <c r="B143" s="64"/>
      <c r="C143" s="64" t="s">
        <v>210</v>
      </c>
      <c r="D143" s="64">
        <v>31</v>
      </c>
      <c r="E143" s="64">
        <v>24</v>
      </c>
      <c r="F143" s="64">
        <v>744</v>
      </c>
      <c r="G143" s="64">
        <v>744</v>
      </c>
      <c r="H143" s="65">
        <v>1</v>
      </c>
      <c r="I143" s="65">
        <v>1</v>
      </c>
      <c r="J143" s="64"/>
    </row>
    <row r="144" customHeight="1" spans="1:10">
      <c r="A144" s="64"/>
      <c r="B144" s="64"/>
      <c r="C144" s="64" t="s">
        <v>211</v>
      </c>
      <c r="D144" s="64">
        <v>31</v>
      </c>
      <c r="E144" s="64">
        <v>24</v>
      </c>
      <c r="F144" s="64">
        <v>744</v>
      </c>
      <c r="G144" s="64">
        <v>312</v>
      </c>
      <c r="H144" s="65">
        <v>0.419354838709677</v>
      </c>
      <c r="I144" s="65">
        <v>0.42</v>
      </c>
      <c r="J144" s="64"/>
    </row>
    <row r="145" customHeight="1" spans="1:10">
      <c r="A145" s="64"/>
      <c r="B145" s="64"/>
      <c r="C145" s="64" t="s">
        <v>212</v>
      </c>
      <c r="D145" s="64">
        <v>31</v>
      </c>
      <c r="E145" s="64">
        <v>24</v>
      </c>
      <c r="F145" s="64">
        <v>744</v>
      </c>
      <c r="G145" s="64">
        <v>312</v>
      </c>
      <c r="H145" s="65">
        <v>0.419354838709677</v>
      </c>
      <c r="I145" s="65">
        <v>0.42</v>
      </c>
      <c r="J145" s="64"/>
    </row>
    <row r="146" customHeight="1" spans="1:10">
      <c r="A146" s="64"/>
      <c r="B146" s="64"/>
      <c r="C146" s="64" t="s">
        <v>213</v>
      </c>
      <c r="D146" s="64">
        <v>31</v>
      </c>
      <c r="E146" s="64">
        <v>24</v>
      </c>
      <c r="F146" s="64">
        <v>744</v>
      </c>
      <c r="G146" s="64">
        <v>744</v>
      </c>
      <c r="H146" s="65">
        <v>1</v>
      </c>
      <c r="I146" s="65">
        <v>1</v>
      </c>
      <c r="J146" s="64"/>
    </row>
    <row r="147" customHeight="1" spans="1:10">
      <c r="A147" s="64"/>
      <c r="B147" s="63" t="s">
        <v>230</v>
      </c>
      <c r="C147" s="64" t="s">
        <v>172</v>
      </c>
      <c r="D147" s="64">
        <v>31</v>
      </c>
      <c r="E147" s="64">
        <v>24</v>
      </c>
      <c r="F147" s="64">
        <v>744</v>
      </c>
      <c r="G147" s="64">
        <v>744</v>
      </c>
      <c r="H147" s="80">
        <v>1</v>
      </c>
      <c r="I147" s="80">
        <v>1</v>
      </c>
      <c r="J147" s="64"/>
    </row>
    <row r="148" customHeight="1" spans="1:10">
      <c r="A148" s="64"/>
      <c r="B148" s="64"/>
      <c r="C148" s="64" t="s">
        <v>173</v>
      </c>
      <c r="D148" s="64">
        <v>31</v>
      </c>
      <c r="E148" s="64">
        <v>24</v>
      </c>
      <c r="F148" s="64">
        <v>744</v>
      </c>
      <c r="G148" s="64">
        <v>744</v>
      </c>
      <c r="H148" s="80">
        <v>1</v>
      </c>
      <c r="I148" s="80">
        <v>1</v>
      </c>
      <c r="J148" s="64"/>
    </row>
    <row r="149" customHeight="1" spans="1:10">
      <c r="A149" s="64"/>
      <c r="B149" s="63" t="s">
        <v>231</v>
      </c>
      <c r="C149" s="64" t="s">
        <v>172</v>
      </c>
      <c r="D149" s="64">
        <v>31</v>
      </c>
      <c r="E149" s="64">
        <v>24</v>
      </c>
      <c r="F149" s="64">
        <v>744</v>
      </c>
      <c r="G149" s="64">
        <v>499</v>
      </c>
      <c r="H149" s="65">
        <v>0.670698924731183</v>
      </c>
      <c r="I149" s="65">
        <v>1</v>
      </c>
      <c r="J149" s="64"/>
    </row>
    <row r="150" customHeight="1" spans="1:10">
      <c r="A150" s="64"/>
      <c r="B150" s="64"/>
      <c r="C150" s="64" t="s">
        <v>173</v>
      </c>
      <c r="D150" s="64">
        <v>31</v>
      </c>
      <c r="E150" s="64">
        <v>24</v>
      </c>
      <c r="F150" s="64">
        <v>744</v>
      </c>
      <c r="G150" s="64">
        <v>0</v>
      </c>
      <c r="H150" s="65">
        <v>0</v>
      </c>
      <c r="I150" s="65">
        <v>1</v>
      </c>
      <c r="J150" s="64"/>
    </row>
    <row r="151" customHeight="1" spans="1:10">
      <c r="A151" s="64"/>
      <c r="B151" s="64"/>
      <c r="C151" s="64" t="s">
        <v>177</v>
      </c>
      <c r="D151" s="64">
        <v>31</v>
      </c>
      <c r="E151" s="64">
        <v>24</v>
      </c>
      <c r="F151" s="64">
        <v>744</v>
      </c>
      <c r="G151" s="64">
        <v>154</v>
      </c>
      <c r="H151" s="65">
        <v>0.206989247311828</v>
      </c>
      <c r="I151" s="65">
        <v>1</v>
      </c>
      <c r="J151" s="64"/>
    </row>
    <row r="152" customHeight="1" spans="1:10">
      <c r="A152" s="64"/>
      <c r="B152" s="63" t="s">
        <v>232</v>
      </c>
      <c r="C152" s="64" t="s">
        <v>172</v>
      </c>
      <c r="D152" s="64">
        <v>31</v>
      </c>
      <c r="E152" s="64">
        <v>24</v>
      </c>
      <c r="F152" s="64">
        <v>744</v>
      </c>
      <c r="G152" s="64">
        <v>738</v>
      </c>
      <c r="H152" s="65">
        <v>0.991935483870968</v>
      </c>
      <c r="I152" s="65">
        <v>1</v>
      </c>
      <c r="J152" s="64"/>
    </row>
    <row r="153" customHeight="1" spans="1:10">
      <c r="A153" s="64"/>
      <c r="B153" s="64"/>
      <c r="C153" s="64" t="s">
        <v>173</v>
      </c>
      <c r="D153" s="64">
        <v>31</v>
      </c>
      <c r="E153" s="64">
        <v>24</v>
      </c>
      <c r="F153" s="64">
        <v>744</v>
      </c>
      <c r="G153" s="64">
        <v>728</v>
      </c>
      <c r="H153" s="65">
        <v>0.978494623655914</v>
      </c>
      <c r="I153" s="65">
        <v>1</v>
      </c>
      <c r="J153" s="64"/>
    </row>
    <row r="154" customHeight="1" spans="1:10">
      <c r="A154" s="64"/>
      <c r="B154" s="64"/>
      <c r="C154" s="64" t="s">
        <v>177</v>
      </c>
      <c r="D154" s="64">
        <v>31</v>
      </c>
      <c r="E154" s="64">
        <v>24</v>
      </c>
      <c r="F154" s="64">
        <v>744</v>
      </c>
      <c r="G154" s="64">
        <v>744</v>
      </c>
      <c r="H154" s="65">
        <v>1</v>
      </c>
      <c r="I154" s="65">
        <v>1</v>
      </c>
      <c r="J154" s="64"/>
    </row>
    <row r="155" customHeight="1" spans="1:10">
      <c r="A155" s="64"/>
      <c r="B155" s="88" t="s">
        <v>233</v>
      </c>
      <c r="C155" s="89" t="s">
        <v>172</v>
      </c>
      <c r="D155" s="89">
        <v>31</v>
      </c>
      <c r="E155" s="89">
        <v>24</v>
      </c>
      <c r="F155" s="89">
        <v>744</v>
      </c>
      <c r="G155" s="89">
        <v>624</v>
      </c>
      <c r="H155" s="90">
        <v>0.838709677419355</v>
      </c>
      <c r="I155" s="90">
        <v>1</v>
      </c>
      <c r="J155" s="64"/>
    </row>
    <row r="156" customHeight="1" spans="1:10">
      <c r="A156" s="64"/>
      <c r="B156" s="89"/>
      <c r="C156" s="89" t="s">
        <v>173</v>
      </c>
      <c r="D156" s="89">
        <v>31</v>
      </c>
      <c r="E156" s="89">
        <v>24</v>
      </c>
      <c r="F156" s="89">
        <v>744</v>
      </c>
      <c r="G156" s="89">
        <v>408</v>
      </c>
      <c r="H156" s="90">
        <v>0.548387096774194</v>
      </c>
      <c r="I156" s="90">
        <v>1</v>
      </c>
      <c r="J156" s="64"/>
    </row>
    <row r="157" customHeight="1" spans="1:10">
      <c r="A157" s="64"/>
      <c r="B157" s="89"/>
      <c r="C157" s="89" t="s">
        <v>177</v>
      </c>
      <c r="D157" s="89">
        <v>31</v>
      </c>
      <c r="E157" s="89">
        <v>24</v>
      </c>
      <c r="F157" s="89">
        <v>744</v>
      </c>
      <c r="G157" s="89">
        <v>744</v>
      </c>
      <c r="H157" s="90">
        <v>1</v>
      </c>
      <c r="I157" s="90">
        <v>1</v>
      </c>
      <c r="J157" s="64"/>
    </row>
    <row r="158" customHeight="1" spans="1:10">
      <c r="A158" s="64"/>
      <c r="B158" s="89"/>
      <c r="C158" s="89" t="s">
        <v>178</v>
      </c>
      <c r="D158" s="89">
        <v>31</v>
      </c>
      <c r="E158" s="89">
        <v>24</v>
      </c>
      <c r="F158" s="89">
        <v>744</v>
      </c>
      <c r="G158" s="89">
        <v>738</v>
      </c>
      <c r="H158" s="90">
        <v>0.991935483870968</v>
      </c>
      <c r="I158" s="90">
        <v>1</v>
      </c>
      <c r="J158" s="64"/>
    </row>
    <row r="159" customHeight="1" spans="1:10">
      <c r="A159" s="64"/>
      <c r="B159" s="89"/>
      <c r="C159" s="89" t="s">
        <v>179</v>
      </c>
      <c r="D159" s="89">
        <v>31</v>
      </c>
      <c r="E159" s="89">
        <v>24</v>
      </c>
      <c r="F159" s="89">
        <v>744</v>
      </c>
      <c r="G159" s="89">
        <v>310</v>
      </c>
      <c r="H159" s="90">
        <v>0.416666666666667</v>
      </c>
      <c r="I159" s="90">
        <v>0.42</v>
      </c>
      <c r="J159" s="64" t="s">
        <v>234</v>
      </c>
    </row>
    <row r="160" customHeight="1" spans="1:10">
      <c r="A160" s="64"/>
      <c r="B160" s="89"/>
      <c r="C160" s="89" t="s">
        <v>181</v>
      </c>
      <c r="D160" s="89">
        <v>31</v>
      </c>
      <c r="E160" s="89">
        <v>24</v>
      </c>
      <c r="F160" s="89">
        <v>744</v>
      </c>
      <c r="G160" s="89">
        <v>744</v>
      </c>
      <c r="H160" s="90">
        <v>1</v>
      </c>
      <c r="I160" s="90">
        <v>1</v>
      </c>
      <c r="J160" s="64"/>
    </row>
    <row r="161" customHeight="1" spans="1:10">
      <c r="A161" s="63" t="s">
        <v>235</v>
      </c>
      <c r="B161" s="63" t="s">
        <v>236</v>
      </c>
      <c r="C161" s="64" t="s">
        <v>172</v>
      </c>
      <c r="D161" s="64">
        <v>31</v>
      </c>
      <c r="E161" s="64">
        <v>24</v>
      </c>
      <c r="F161" s="64">
        <v>744</v>
      </c>
      <c r="G161" s="64">
        <v>744</v>
      </c>
      <c r="H161" s="65">
        <v>1</v>
      </c>
      <c r="I161" s="65">
        <v>1</v>
      </c>
      <c r="J161" s="64" t="s">
        <v>237</v>
      </c>
    </row>
    <row r="162" customHeight="1" spans="1:10">
      <c r="A162" s="64"/>
      <c r="B162" s="64"/>
      <c r="C162" s="64" t="s">
        <v>173</v>
      </c>
      <c r="D162" s="64">
        <v>31</v>
      </c>
      <c r="E162" s="64">
        <v>24</v>
      </c>
      <c r="F162" s="64">
        <v>744</v>
      </c>
      <c r="G162" s="64">
        <v>744</v>
      </c>
      <c r="H162" s="65">
        <v>1</v>
      </c>
      <c r="I162" s="65">
        <v>1</v>
      </c>
      <c r="J162" s="64" t="s">
        <v>237</v>
      </c>
    </row>
    <row r="163" customHeight="1" spans="1:10">
      <c r="A163" s="64"/>
      <c r="B163" s="64"/>
      <c r="C163" s="64" t="s">
        <v>177</v>
      </c>
      <c r="D163" s="64">
        <v>31</v>
      </c>
      <c r="E163" s="64">
        <v>24</v>
      </c>
      <c r="F163" s="64">
        <v>744</v>
      </c>
      <c r="G163" s="64">
        <v>744</v>
      </c>
      <c r="H163" s="65">
        <v>1</v>
      </c>
      <c r="I163" s="65">
        <v>1</v>
      </c>
      <c r="J163" s="64" t="s">
        <v>237</v>
      </c>
    </row>
    <row r="164" ht="17" customHeight="1" spans="1:10">
      <c r="A164" s="64"/>
      <c r="B164" s="64"/>
      <c r="C164" s="64" t="s">
        <v>178</v>
      </c>
      <c r="D164" s="64">
        <v>31</v>
      </c>
      <c r="E164" s="64">
        <v>24</v>
      </c>
      <c r="F164" s="64">
        <v>744</v>
      </c>
      <c r="G164" s="64">
        <v>744</v>
      </c>
      <c r="H164" s="65">
        <v>1</v>
      </c>
      <c r="I164" s="65">
        <v>1</v>
      </c>
      <c r="J164" s="64" t="s">
        <v>237</v>
      </c>
    </row>
    <row r="165" customHeight="1" spans="1:10">
      <c r="A165" s="64"/>
      <c r="B165" s="64"/>
      <c r="C165" s="64" t="s">
        <v>179</v>
      </c>
      <c r="D165" s="64">
        <v>31</v>
      </c>
      <c r="E165" s="64">
        <v>24</v>
      </c>
      <c r="F165" s="64">
        <v>744</v>
      </c>
      <c r="G165" s="64">
        <v>744</v>
      </c>
      <c r="H165" s="65">
        <v>1</v>
      </c>
      <c r="I165" s="65">
        <v>1</v>
      </c>
      <c r="J165" s="64" t="s">
        <v>237</v>
      </c>
    </row>
    <row r="166" customHeight="1" spans="1:10">
      <c r="A166" s="64"/>
      <c r="B166" s="64"/>
      <c r="C166" s="64" t="s">
        <v>181</v>
      </c>
      <c r="D166" s="64">
        <v>31</v>
      </c>
      <c r="E166" s="64">
        <v>24</v>
      </c>
      <c r="F166" s="64">
        <v>744</v>
      </c>
      <c r="G166" s="64">
        <v>504</v>
      </c>
      <c r="H166" s="65">
        <v>0.67741935483871</v>
      </c>
      <c r="I166" s="65">
        <v>1</v>
      </c>
      <c r="J166" s="64" t="s">
        <v>237</v>
      </c>
    </row>
    <row r="167" customHeight="1" spans="1:10">
      <c r="A167" s="64"/>
      <c r="B167" s="64"/>
      <c r="C167" s="64" t="s">
        <v>191</v>
      </c>
      <c r="D167" s="64">
        <v>31</v>
      </c>
      <c r="E167" s="64">
        <v>24</v>
      </c>
      <c r="F167" s="64">
        <v>744</v>
      </c>
      <c r="G167" s="64">
        <v>744</v>
      </c>
      <c r="H167" s="65">
        <v>1</v>
      </c>
      <c r="I167" s="65">
        <v>1</v>
      </c>
      <c r="J167" s="64" t="s">
        <v>237</v>
      </c>
    </row>
    <row r="168" customHeight="1" spans="1:10">
      <c r="A168" s="64"/>
      <c r="B168" s="64"/>
      <c r="C168" s="64" t="s">
        <v>192</v>
      </c>
      <c r="D168" s="64">
        <v>31</v>
      </c>
      <c r="E168" s="64">
        <v>24</v>
      </c>
      <c r="F168" s="64">
        <v>744</v>
      </c>
      <c r="G168" s="64">
        <v>744</v>
      </c>
      <c r="H168" s="65">
        <v>1</v>
      </c>
      <c r="I168" s="65">
        <v>1</v>
      </c>
      <c r="J168" s="64" t="s">
        <v>237</v>
      </c>
    </row>
    <row r="169" customHeight="1" spans="1:10">
      <c r="A169" s="64"/>
      <c r="B169" s="64"/>
      <c r="C169" s="64" t="s">
        <v>193</v>
      </c>
      <c r="D169" s="64">
        <v>31</v>
      </c>
      <c r="E169" s="64">
        <v>24</v>
      </c>
      <c r="F169" s="64">
        <v>744</v>
      </c>
      <c r="G169" s="64">
        <v>744</v>
      </c>
      <c r="H169" s="65">
        <v>1</v>
      </c>
      <c r="I169" s="65">
        <v>1</v>
      </c>
      <c r="J169" s="64" t="s">
        <v>237</v>
      </c>
    </row>
    <row r="170" customHeight="1" spans="1:10">
      <c r="A170" s="64"/>
      <c r="B170" s="64"/>
      <c r="C170" s="64" t="s">
        <v>194</v>
      </c>
      <c r="D170" s="64">
        <v>31</v>
      </c>
      <c r="E170" s="64">
        <v>24</v>
      </c>
      <c r="F170" s="64">
        <v>744</v>
      </c>
      <c r="G170" s="64">
        <v>744</v>
      </c>
      <c r="H170" s="65">
        <v>1</v>
      </c>
      <c r="I170" s="65">
        <v>1</v>
      </c>
      <c r="J170" s="64" t="s">
        <v>237</v>
      </c>
    </row>
    <row r="171" customHeight="1" spans="1:10">
      <c r="A171" s="64"/>
      <c r="B171" s="64"/>
      <c r="C171" s="64" t="s">
        <v>195</v>
      </c>
      <c r="D171" s="64">
        <v>31</v>
      </c>
      <c r="E171" s="64">
        <v>24</v>
      </c>
      <c r="F171" s="64">
        <v>744</v>
      </c>
      <c r="G171" s="64">
        <v>744</v>
      </c>
      <c r="H171" s="65">
        <v>1</v>
      </c>
      <c r="I171" s="65">
        <v>1</v>
      </c>
      <c r="J171" s="64" t="s">
        <v>237</v>
      </c>
    </row>
    <row r="172" customHeight="1" spans="1:10">
      <c r="A172" s="64"/>
      <c r="B172" s="64"/>
      <c r="C172" s="64" t="s">
        <v>196</v>
      </c>
      <c r="D172" s="64">
        <v>31</v>
      </c>
      <c r="E172" s="64">
        <v>24</v>
      </c>
      <c r="F172" s="64">
        <v>744</v>
      </c>
      <c r="G172" s="64">
        <v>744</v>
      </c>
      <c r="H172" s="65">
        <v>1</v>
      </c>
      <c r="I172" s="65">
        <v>1</v>
      </c>
      <c r="J172" s="64" t="s">
        <v>237</v>
      </c>
    </row>
    <row r="173" customHeight="1" spans="1:10">
      <c r="A173" s="64"/>
      <c r="B173" s="64"/>
      <c r="C173" s="64" t="s">
        <v>197</v>
      </c>
      <c r="D173" s="64">
        <v>31</v>
      </c>
      <c r="E173" s="64">
        <v>24</v>
      </c>
      <c r="F173" s="64">
        <v>744</v>
      </c>
      <c r="G173" s="64">
        <v>744</v>
      </c>
      <c r="H173" s="65">
        <v>1</v>
      </c>
      <c r="I173" s="65">
        <v>1</v>
      </c>
      <c r="J173" s="64" t="s">
        <v>237</v>
      </c>
    </row>
    <row r="174" customHeight="1" spans="1:10">
      <c r="A174" s="64"/>
      <c r="B174" s="64"/>
      <c r="C174" s="64" t="s">
        <v>198</v>
      </c>
      <c r="D174" s="64">
        <v>31</v>
      </c>
      <c r="E174" s="64">
        <v>24</v>
      </c>
      <c r="F174" s="64">
        <v>744</v>
      </c>
      <c r="G174" s="64">
        <v>744</v>
      </c>
      <c r="H174" s="65">
        <v>1</v>
      </c>
      <c r="I174" s="65">
        <v>1</v>
      </c>
      <c r="J174" s="64" t="s">
        <v>237</v>
      </c>
    </row>
    <row r="175" customHeight="1" spans="1:10">
      <c r="A175" s="64"/>
      <c r="B175" s="64"/>
      <c r="C175" s="64" t="s">
        <v>199</v>
      </c>
      <c r="D175" s="64">
        <v>31</v>
      </c>
      <c r="E175" s="64">
        <v>24</v>
      </c>
      <c r="F175" s="64">
        <v>744</v>
      </c>
      <c r="G175" s="64">
        <v>744</v>
      </c>
      <c r="H175" s="65">
        <v>1</v>
      </c>
      <c r="I175" s="65">
        <v>1</v>
      </c>
      <c r="J175" s="64" t="s">
        <v>237</v>
      </c>
    </row>
    <row r="176" customHeight="1" spans="1:10">
      <c r="A176" s="64"/>
      <c r="B176" s="64"/>
      <c r="C176" s="64" t="s">
        <v>200</v>
      </c>
      <c r="D176" s="64">
        <v>31</v>
      </c>
      <c r="E176" s="64">
        <v>24</v>
      </c>
      <c r="F176" s="64">
        <v>744</v>
      </c>
      <c r="G176" s="64">
        <v>744</v>
      </c>
      <c r="H176" s="65">
        <v>1</v>
      </c>
      <c r="I176" s="65">
        <v>1</v>
      </c>
      <c r="J176" s="64" t="s">
        <v>237</v>
      </c>
    </row>
    <row r="177" ht="14.25" spans="1:10">
      <c r="A177" s="64"/>
      <c r="B177" s="64"/>
      <c r="C177" s="64" t="s">
        <v>201</v>
      </c>
      <c r="D177" s="64">
        <v>31</v>
      </c>
      <c r="E177" s="64">
        <v>24</v>
      </c>
      <c r="F177" s="64">
        <v>744</v>
      </c>
      <c r="G177" s="64">
        <v>744</v>
      </c>
      <c r="H177" s="65">
        <v>1</v>
      </c>
      <c r="I177" s="65">
        <v>1</v>
      </c>
      <c r="J177" s="64" t="s">
        <v>238</v>
      </c>
    </row>
    <row r="178" ht="14.25" spans="1:10">
      <c r="A178" s="64"/>
      <c r="B178" s="64"/>
      <c r="C178" s="64" t="s">
        <v>202</v>
      </c>
      <c r="D178" s="64">
        <v>31</v>
      </c>
      <c r="E178" s="64">
        <v>24</v>
      </c>
      <c r="F178" s="64">
        <v>744</v>
      </c>
      <c r="G178" s="64">
        <v>744</v>
      </c>
      <c r="H178" s="65">
        <v>1</v>
      </c>
      <c r="I178" s="65">
        <v>1</v>
      </c>
      <c r="J178" s="64" t="s">
        <v>237</v>
      </c>
    </row>
    <row r="179" customHeight="1" spans="1:10">
      <c r="A179" s="66" t="s">
        <v>61</v>
      </c>
      <c r="B179" s="66"/>
      <c r="C179" s="67"/>
      <c r="D179" s="67"/>
      <c r="E179" s="68" t="s">
        <v>62</v>
      </c>
      <c r="F179" s="68"/>
      <c r="G179" s="69"/>
      <c r="H179" s="70" t="s">
        <v>187</v>
      </c>
      <c r="I179" s="70"/>
      <c r="J179" s="70"/>
    </row>
    <row r="180" ht="23" customHeight="1"/>
    <row r="181" ht="28" customHeight="1" spans="1:10">
      <c r="A181" s="56" t="s">
        <v>155</v>
      </c>
      <c r="B181" s="56"/>
      <c r="C181" s="56"/>
      <c r="D181" s="56"/>
      <c r="E181" s="56"/>
      <c r="F181" s="56"/>
      <c r="G181" s="56"/>
      <c r="H181" s="57"/>
      <c r="I181" s="56"/>
      <c r="J181" s="56"/>
    </row>
    <row r="182" ht="18" customHeight="1" spans="1:10">
      <c r="A182" s="58">
        <v>44256</v>
      </c>
      <c r="B182" s="58"/>
      <c r="C182" s="58"/>
      <c r="D182" s="58"/>
      <c r="E182" s="58"/>
      <c r="F182" s="58"/>
      <c r="G182" s="58"/>
      <c r="H182" s="58"/>
      <c r="I182" s="58"/>
      <c r="J182" s="58"/>
    </row>
    <row r="183" customHeight="1" spans="1:10">
      <c r="A183" s="6" t="s">
        <v>156</v>
      </c>
      <c r="B183" s="6" t="s">
        <v>157</v>
      </c>
      <c r="C183" s="6" t="s">
        <v>158</v>
      </c>
      <c r="D183" s="6" t="s">
        <v>159</v>
      </c>
      <c r="E183" s="59" t="s">
        <v>160</v>
      </c>
      <c r="F183" s="59" t="s">
        <v>161</v>
      </c>
      <c r="G183" s="60" t="s">
        <v>162</v>
      </c>
      <c r="H183" s="61" t="s">
        <v>163</v>
      </c>
      <c r="I183" s="59" t="s">
        <v>164</v>
      </c>
      <c r="J183" s="6" t="s">
        <v>165</v>
      </c>
    </row>
    <row r="184" customHeight="1" spans="1:10">
      <c r="A184" s="6"/>
      <c r="B184" s="6"/>
      <c r="C184" s="6"/>
      <c r="D184" s="6"/>
      <c r="E184" s="59"/>
      <c r="F184" s="59"/>
      <c r="G184" s="60"/>
      <c r="H184" s="61"/>
      <c r="I184" s="59"/>
      <c r="J184" s="6"/>
    </row>
    <row r="185" customHeight="1" spans="1:10">
      <c r="A185" s="62"/>
      <c r="B185" s="6"/>
      <c r="C185" s="62"/>
      <c r="D185" s="6" t="s">
        <v>166</v>
      </c>
      <c r="E185" s="59" t="s">
        <v>167</v>
      </c>
      <c r="F185" s="59" t="s">
        <v>168</v>
      </c>
      <c r="G185" s="60" t="s">
        <v>168</v>
      </c>
      <c r="H185" s="61" t="s">
        <v>169</v>
      </c>
      <c r="I185" s="59" t="s">
        <v>169</v>
      </c>
      <c r="J185" s="6"/>
    </row>
    <row r="186" customHeight="1" spans="1:10">
      <c r="A186" s="63" t="s">
        <v>235</v>
      </c>
      <c r="B186" s="63" t="s">
        <v>236</v>
      </c>
      <c r="C186" s="64" t="s">
        <v>204</v>
      </c>
      <c r="D186" s="64">
        <v>31</v>
      </c>
      <c r="E186" s="64">
        <v>24</v>
      </c>
      <c r="F186" s="64">
        <v>744</v>
      </c>
      <c r="G186" s="64">
        <v>744</v>
      </c>
      <c r="H186" s="65">
        <v>1</v>
      </c>
      <c r="I186" s="65">
        <v>1</v>
      </c>
      <c r="J186" s="64" t="s">
        <v>237</v>
      </c>
    </row>
    <row r="187" customHeight="1" spans="1:10">
      <c r="A187" s="64"/>
      <c r="B187" s="64"/>
      <c r="C187" s="64" t="s">
        <v>205</v>
      </c>
      <c r="D187" s="64">
        <v>31</v>
      </c>
      <c r="E187" s="64">
        <v>24</v>
      </c>
      <c r="F187" s="64">
        <v>744</v>
      </c>
      <c r="G187" s="64">
        <v>744</v>
      </c>
      <c r="H187" s="65">
        <v>1</v>
      </c>
      <c r="I187" s="65">
        <v>1</v>
      </c>
      <c r="J187" s="64" t="s">
        <v>237</v>
      </c>
    </row>
    <row r="188" ht="20" customHeight="1" spans="1:10">
      <c r="A188" s="64"/>
      <c r="B188" s="64"/>
      <c r="C188" s="64" t="s">
        <v>206</v>
      </c>
      <c r="D188" s="64">
        <v>31</v>
      </c>
      <c r="E188" s="64">
        <v>24</v>
      </c>
      <c r="F188" s="64">
        <v>744</v>
      </c>
      <c r="G188" s="64">
        <v>744</v>
      </c>
      <c r="H188" s="65">
        <v>1</v>
      </c>
      <c r="I188" s="65">
        <v>1</v>
      </c>
      <c r="J188" s="64" t="s">
        <v>237</v>
      </c>
    </row>
    <row r="189" customHeight="1" spans="1:10">
      <c r="A189" s="64"/>
      <c r="B189" s="64"/>
      <c r="C189" s="64" t="s">
        <v>207</v>
      </c>
      <c r="D189" s="64">
        <v>31</v>
      </c>
      <c r="E189" s="64">
        <v>24</v>
      </c>
      <c r="F189" s="64">
        <v>744</v>
      </c>
      <c r="G189" s="64">
        <v>408</v>
      </c>
      <c r="H189" s="65">
        <v>0.548387096774194</v>
      </c>
      <c r="I189" s="65">
        <v>0.55</v>
      </c>
      <c r="J189" s="64" t="s">
        <v>237</v>
      </c>
    </row>
    <row r="190" customHeight="1" spans="1:10">
      <c r="A190" s="64"/>
      <c r="B190" s="64"/>
      <c r="C190" s="64" t="s">
        <v>208</v>
      </c>
      <c r="D190" s="64">
        <v>31</v>
      </c>
      <c r="E190" s="64">
        <v>24</v>
      </c>
      <c r="F190" s="64">
        <v>744</v>
      </c>
      <c r="G190" s="64">
        <v>744</v>
      </c>
      <c r="H190" s="65">
        <v>1</v>
      </c>
      <c r="I190" s="65">
        <v>1</v>
      </c>
      <c r="J190" s="64" t="s">
        <v>237</v>
      </c>
    </row>
    <row r="191" customHeight="1" spans="1:10">
      <c r="A191" s="64"/>
      <c r="B191" s="64"/>
      <c r="C191" s="64" t="s">
        <v>209</v>
      </c>
      <c r="D191" s="64">
        <v>31</v>
      </c>
      <c r="E191" s="64">
        <v>24</v>
      </c>
      <c r="F191" s="64">
        <v>744</v>
      </c>
      <c r="G191" s="64">
        <v>744</v>
      </c>
      <c r="H191" s="65">
        <v>1</v>
      </c>
      <c r="I191" s="65">
        <v>1</v>
      </c>
      <c r="J191" s="64" t="s">
        <v>237</v>
      </c>
    </row>
    <row r="192" customHeight="1" spans="1:10">
      <c r="A192" s="64"/>
      <c r="B192" s="64"/>
      <c r="C192" s="64" t="s">
        <v>210</v>
      </c>
      <c r="D192" s="64">
        <v>31</v>
      </c>
      <c r="E192" s="64">
        <v>24</v>
      </c>
      <c r="F192" s="64">
        <v>744</v>
      </c>
      <c r="G192" s="64">
        <v>744</v>
      </c>
      <c r="H192" s="65">
        <v>1</v>
      </c>
      <c r="I192" s="65">
        <v>1</v>
      </c>
      <c r="J192" s="64" t="s">
        <v>237</v>
      </c>
    </row>
    <row r="193" customHeight="1" spans="1:10">
      <c r="A193" s="64"/>
      <c r="B193" s="64"/>
      <c r="C193" s="64" t="s">
        <v>211</v>
      </c>
      <c r="D193" s="64">
        <v>31</v>
      </c>
      <c r="E193" s="64">
        <v>24</v>
      </c>
      <c r="F193" s="64">
        <v>744</v>
      </c>
      <c r="G193" s="64">
        <v>744</v>
      </c>
      <c r="H193" s="65">
        <v>1</v>
      </c>
      <c r="I193" s="65">
        <v>1</v>
      </c>
      <c r="J193" s="64" t="s">
        <v>237</v>
      </c>
    </row>
    <row r="194" customHeight="1" spans="1:10">
      <c r="A194" s="64"/>
      <c r="B194" s="64"/>
      <c r="C194" s="64" t="s">
        <v>212</v>
      </c>
      <c r="D194" s="64">
        <v>31</v>
      </c>
      <c r="E194" s="64">
        <v>24</v>
      </c>
      <c r="F194" s="64">
        <v>744</v>
      </c>
      <c r="G194" s="64">
        <v>744</v>
      </c>
      <c r="H194" s="65">
        <v>1</v>
      </c>
      <c r="I194" s="65">
        <v>1</v>
      </c>
      <c r="J194" s="64" t="s">
        <v>237</v>
      </c>
    </row>
    <row r="195" customHeight="1" spans="1:10">
      <c r="A195" s="64"/>
      <c r="B195" s="64"/>
      <c r="C195" s="64" t="s">
        <v>213</v>
      </c>
      <c r="D195" s="64">
        <v>31</v>
      </c>
      <c r="E195" s="64">
        <v>24</v>
      </c>
      <c r="F195" s="64">
        <v>744</v>
      </c>
      <c r="G195" s="64">
        <v>744</v>
      </c>
      <c r="H195" s="65">
        <v>1</v>
      </c>
      <c r="I195" s="65">
        <v>1</v>
      </c>
      <c r="J195" s="64" t="s">
        <v>237</v>
      </c>
    </row>
    <row r="196" customHeight="1" spans="1:10">
      <c r="A196" s="64"/>
      <c r="B196" s="64"/>
      <c r="C196" s="64" t="s">
        <v>214</v>
      </c>
      <c r="D196" s="64">
        <v>31</v>
      </c>
      <c r="E196" s="64">
        <v>24</v>
      </c>
      <c r="F196" s="64">
        <v>744</v>
      </c>
      <c r="G196" s="64">
        <v>744</v>
      </c>
      <c r="H196" s="65">
        <v>1</v>
      </c>
      <c r="I196" s="65">
        <v>1</v>
      </c>
      <c r="J196" s="64" t="s">
        <v>237</v>
      </c>
    </row>
    <row r="197" customHeight="1" spans="1:10">
      <c r="A197" s="64"/>
      <c r="B197" s="64"/>
      <c r="C197" s="64" t="s">
        <v>215</v>
      </c>
      <c r="D197" s="64">
        <v>31</v>
      </c>
      <c r="E197" s="64">
        <v>24</v>
      </c>
      <c r="F197" s="64">
        <v>744</v>
      </c>
      <c r="G197" s="64">
        <v>744</v>
      </c>
      <c r="H197" s="65">
        <v>1</v>
      </c>
      <c r="I197" s="65">
        <v>1</v>
      </c>
      <c r="J197" s="64" t="s">
        <v>237</v>
      </c>
    </row>
    <row r="198" customHeight="1" spans="1:10">
      <c r="A198" s="64"/>
      <c r="B198" s="64"/>
      <c r="C198" s="64" t="s">
        <v>216</v>
      </c>
      <c r="D198" s="64">
        <v>31</v>
      </c>
      <c r="E198" s="64">
        <v>24</v>
      </c>
      <c r="F198" s="64">
        <v>744</v>
      </c>
      <c r="G198" s="64">
        <v>744</v>
      </c>
      <c r="H198" s="65">
        <v>1</v>
      </c>
      <c r="I198" s="65">
        <v>1</v>
      </c>
      <c r="J198" s="64" t="s">
        <v>237</v>
      </c>
    </row>
    <row r="199" customHeight="1" spans="1:10">
      <c r="A199" s="64"/>
      <c r="B199" s="64"/>
      <c r="C199" s="64" t="s">
        <v>217</v>
      </c>
      <c r="D199" s="64">
        <v>31</v>
      </c>
      <c r="E199" s="64">
        <v>24</v>
      </c>
      <c r="F199" s="64">
        <v>744</v>
      </c>
      <c r="G199" s="64">
        <v>744</v>
      </c>
      <c r="H199" s="65">
        <v>1</v>
      </c>
      <c r="I199" s="65">
        <v>1</v>
      </c>
      <c r="J199" s="64" t="s">
        <v>237</v>
      </c>
    </row>
    <row r="200" customHeight="1" spans="1:10">
      <c r="A200" s="64"/>
      <c r="B200" s="64"/>
      <c r="C200" s="64" t="s">
        <v>218</v>
      </c>
      <c r="D200" s="64">
        <v>31</v>
      </c>
      <c r="E200" s="64">
        <v>24</v>
      </c>
      <c r="F200" s="64">
        <v>744</v>
      </c>
      <c r="G200" s="64">
        <v>744</v>
      </c>
      <c r="H200" s="65">
        <v>1</v>
      </c>
      <c r="I200" s="65">
        <v>1</v>
      </c>
      <c r="J200" s="64" t="s">
        <v>237</v>
      </c>
    </row>
    <row r="201" customHeight="1" spans="1:10">
      <c r="A201" s="64"/>
      <c r="B201" s="64"/>
      <c r="C201" s="64" t="s">
        <v>219</v>
      </c>
      <c r="D201" s="64">
        <v>31</v>
      </c>
      <c r="E201" s="64">
        <v>24</v>
      </c>
      <c r="F201" s="64">
        <v>744</v>
      </c>
      <c r="G201" s="64">
        <v>744</v>
      </c>
      <c r="H201" s="65">
        <v>1</v>
      </c>
      <c r="I201" s="65">
        <v>1</v>
      </c>
      <c r="J201" s="64" t="s">
        <v>237</v>
      </c>
    </row>
    <row r="202" customHeight="1" spans="1:10">
      <c r="A202" s="64"/>
      <c r="B202" s="64"/>
      <c r="C202" s="64" t="s">
        <v>220</v>
      </c>
      <c r="D202" s="64">
        <v>31</v>
      </c>
      <c r="E202" s="64">
        <v>24</v>
      </c>
      <c r="F202" s="64">
        <v>744</v>
      </c>
      <c r="G202" s="64">
        <v>744</v>
      </c>
      <c r="H202" s="65">
        <v>1</v>
      </c>
      <c r="I202" s="65">
        <v>1</v>
      </c>
      <c r="J202" s="64" t="s">
        <v>237</v>
      </c>
    </row>
    <row r="203" customHeight="1" spans="1:10">
      <c r="A203" s="64"/>
      <c r="B203" s="64"/>
      <c r="C203" s="64" t="s">
        <v>221</v>
      </c>
      <c r="D203" s="64">
        <v>31</v>
      </c>
      <c r="E203" s="64">
        <v>24</v>
      </c>
      <c r="F203" s="64">
        <v>744</v>
      </c>
      <c r="G203" s="64">
        <v>744</v>
      </c>
      <c r="H203" s="65">
        <v>1</v>
      </c>
      <c r="I203" s="65">
        <v>1</v>
      </c>
      <c r="J203" s="64" t="s">
        <v>237</v>
      </c>
    </row>
    <row r="204" customHeight="1" spans="1:10">
      <c r="A204" s="64"/>
      <c r="B204" s="63" t="s">
        <v>230</v>
      </c>
      <c r="C204" s="64" t="s">
        <v>177</v>
      </c>
      <c r="D204" s="64">
        <v>31</v>
      </c>
      <c r="E204" s="64">
        <v>24</v>
      </c>
      <c r="F204" s="64">
        <v>744</v>
      </c>
      <c r="G204" s="64">
        <v>744</v>
      </c>
      <c r="H204" s="65">
        <v>1</v>
      </c>
      <c r="I204" s="65">
        <v>1</v>
      </c>
      <c r="J204" s="64"/>
    </row>
    <row r="205" customHeight="1" spans="1:10">
      <c r="A205" s="64"/>
      <c r="B205" s="64"/>
      <c r="C205" s="64" t="s">
        <v>178</v>
      </c>
      <c r="D205" s="64">
        <v>31</v>
      </c>
      <c r="E205" s="64">
        <v>24</v>
      </c>
      <c r="F205" s="64">
        <v>744</v>
      </c>
      <c r="G205" s="64">
        <v>744</v>
      </c>
      <c r="H205" s="65">
        <v>1</v>
      </c>
      <c r="I205" s="65">
        <v>1</v>
      </c>
      <c r="J205" s="64"/>
    </row>
    <row r="206" customHeight="1" spans="1:10">
      <c r="A206" s="64"/>
      <c r="B206" s="63" t="s">
        <v>232</v>
      </c>
      <c r="C206" s="64" t="s">
        <v>178</v>
      </c>
      <c r="D206" s="64">
        <v>31</v>
      </c>
      <c r="E206" s="64">
        <v>24</v>
      </c>
      <c r="F206" s="64">
        <v>744</v>
      </c>
      <c r="G206" s="64">
        <v>694</v>
      </c>
      <c r="H206" s="65">
        <v>0.932795698924731</v>
      </c>
      <c r="I206" s="65">
        <v>1</v>
      </c>
      <c r="J206" s="64"/>
    </row>
    <row r="207" customHeight="1" spans="1:10">
      <c r="A207" s="64"/>
      <c r="B207" s="64"/>
      <c r="C207" s="64" t="s">
        <v>179</v>
      </c>
      <c r="D207" s="64">
        <v>31</v>
      </c>
      <c r="E207" s="64">
        <v>24</v>
      </c>
      <c r="F207" s="64">
        <v>744</v>
      </c>
      <c r="G207" s="64">
        <v>730</v>
      </c>
      <c r="H207" s="65">
        <v>0.981182795698925</v>
      </c>
      <c r="I207" s="65">
        <v>1</v>
      </c>
      <c r="J207" s="64"/>
    </row>
    <row r="208" customHeight="1" spans="1:10">
      <c r="A208" s="64"/>
      <c r="B208" s="64"/>
      <c r="C208" s="64" t="s">
        <v>181</v>
      </c>
      <c r="D208" s="64">
        <v>31</v>
      </c>
      <c r="E208" s="64">
        <v>24</v>
      </c>
      <c r="F208" s="64">
        <v>744</v>
      </c>
      <c r="G208" s="64">
        <v>668</v>
      </c>
      <c r="H208" s="65">
        <v>0.897849462365591</v>
      </c>
      <c r="I208" s="65">
        <v>1</v>
      </c>
      <c r="J208" s="64"/>
    </row>
    <row r="209" customHeight="1" spans="1:10">
      <c r="A209" s="64"/>
      <c r="B209" s="63" t="s">
        <v>233</v>
      </c>
      <c r="C209" s="64" t="s">
        <v>172</v>
      </c>
      <c r="D209" s="64">
        <v>31</v>
      </c>
      <c r="E209" s="64">
        <v>24</v>
      </c>
      <c r="F209" s="64">
        <v>744</v>
      </c>
      <c r="G209" s="64">
        <v>552</v>
      </c>
      <c r="H209" s="65">
        <v>0.741935483870968</v>
      </c>
      <c r="I209" s="65">
        <v>1</v>
      </c>
      <c r="J209" s="64" t="s">
        <v>237</v>
      </c>
    </row>
    <row r="210" customHeight="1" spans="1:10">
      <c r="A210" s="64"/>
      <c r="B210" s="64"/>
      <c r="C210" s="64" t="s">
        <v>173</v>
      </c>
      <c r="D210" s="64">
        <v>31</v>
      </c>
      <c r="E210" s="64">
        <v>24</v>
      </c>
      <c r="F210" s="64">
        <v>744</v>
      </c>
      <c r="G210" s="64">
        <v>192</v>
      </c>
      <c r="H210" s="65">
        <v>0.258064516129032</v>
      </c>
      <c r="I210" s="65">
        <v>0.76</v>
      </c>
      <c r="J210" s="64" t="s">
        <v>237</v>
      </c>
    </row>
    <row r="211" customHeight="1" spans="1:10">
      <c r="A211" s="64"/>
      <c r="B211" s="64"/>
      <c r="C211" s="64" t="s">
        <v>177</v>
      </c>
      <c r="D211" s="64">
        <v>31</v>
      </c>
      <c r="E211" s="64">
        <v>24</v>
      </c>
      <c r="F211" s="64">
        <v>744</v>
      </c>
      <c r="G211" s="64">
        <v>744</v>
      </c>
      <c r="H211" s="65">
        <v>1</v>
      </c>
      <c r="I211" s="65">
        <v>1</v>
      </c>
      <c r="J211" s="64" t="s">
        <v>237</v>
      </c>
    </row>
    <row r="212" customHeight="1" spans="1:10">
      <c r="A212" s="64"/>
      <c r="B212" s="64"/>
      <c r="C212" s="64" t="s">
        <v>178</v>
      </c>
      <c r="D212" s="64">
        <v>31</v>
      </c>
      <c r="E212" s="64">
        <v>24</v>
      </c>
      <c r="F212" s="64">
        <v>744</v>
      </c>
      <c r="G212" s="64">
        <v>576</v>
      </c>
      <c r="H212" s="65">
        <v>0.774193548387097</v>
      </c>
      <c r="I212" s="65">
        <v>0.77</v>
      </c>
      <c r="J212" s="64" t="s">
        <v>237</v>
      </c>
    </row>
    <row r="213" customHeight="1" spans="1:10">
      <c r="A213" s="64"/>
      <c r="B213" s="64"/>
      <c r="C213" s="64" t="s">
        <v>179</v>
      </c>
      <c r="D213" s="64">
        <v>31</v>
      </c>
      <c r="E213" s="64">
        <v>24</v>
      </c>
      <c r="F213" s="64">
        <v>744</v>
      </c>
      <c r="G213" s="64">
        <v>744</v>
      </c>
      <c r="H213" s="65">
        <v>1</v>
      </c>
      <c r="I213" s="65">
        <v>1</v>
      </c>
      <c r="J213" s="64" t="s">
        <v>237</v>
      </c>
    </row>
    <row r="214" customHeight="1" spans="1:10">
      <c r="A214" s="64"/>
      <c r="B214" s="64"/>
      <c r="C214" s="64" t="s">
        <v>181</v>
      </c>
      <c r="D214" s="64">
        <v>31</v>
      </c>
      <c r="E214" s="64">
        <v>24</v>
      </c>
      <c r="F214" s="64">
        <v>744</v>
      </c>
      <c r="G214" s="64">
        <v>744</v>
      </c>
      <c r="H214" s="65">
        <v>1</v>
      </c>
      <c r="I214" s="65">
        <v>1</v>
      </c>
      <c r="J214" s="64" t="s">
        <v>237</v>
      </c>
    </row>
    <row r="215" customHeight="1" spans="1:10">
      <c r="A215" s="81" t="s">
        <v>239</v>
      </c>
      <c r="B215" s="63" t="s">
        <v>240</v>
      </c>
      <c r="C215" s="91" t="s">
        <v>172</v>
      </c>
      <c r="D215" s="64">
        <v>31</v>
      </c>
      <c r="E215" s="64">
        <v>24</v>
      </c>
      <c r="F215" s="64">
        <v>744</v>
      </c>
      <c r="G215" s="64">
        <v>744</v>
      </c>
      <c r="H215" s="65">
        <v>1</v>
      </c>
      <c r="I215" s="65">
        <v>1</v>
      </c>
      <c r="J215" s="64"/>
    </row>
    <row r="216" customHeight="1" spans="1:10">
      <c r="A216" s="82"/>
      <c r="B216" s="64"/>
      <c r="C216" s="64" t="s">
        <v>173</v>
      </c>
      <c r="D216" s="64">
        <v>31</v>
      </c>
      <c r="E216" s="64">
        <v>24</v>
      </c>
      <c r="F216" s="64">
        <v>744</v>
      </c>
      <c r="G216" s="64">
        <v>18</v>
      </c>
      <c r="H216" s="65">
        <v>0.0241935483870968</v>
      </c>
      <c r="I216" s="65">
        <v>1</v>
      </c>
      <c r="J216" s="64"/>
    </row>
    <row r="217" customHeight="1" spans="1:10">
      <c r="A217" s="82"/>
      <c r="B217" s="64"/>
      <c r="C217" s="64" t="s">
        <v>177</v>
      </c>
      <c r="D217" s="64">
        <v>31</v>
      </c>
      <c r="E217" s="64">
        <v>24</v>
      </c>
      <c r="F217" s="64">
        <v>744</v>
      </c>
      <c r="G217" s="64">
        <v>656</v>
      </c>
      <c r="H217" s="65">
        <v>0.881720430107527</v>
      </c>
      <c r="I217" s="65">
        <v>0.88</v>
      </c>
      <c r="J217" s="64" t="s">
        <v>241</v>
      </c>
    </row>
    <row r="218" customHeight="1" spans="1:10">
      <c r="A218" s="82"/>
      <c r="B218" s="64"/>
      <c r="C218" s="64" t="s">
        <v>178</v>
      </c>
      <c r="D218" s="64">
        <v>31</v>
      </c>
      <c r="E218" s="64">
        <v>24</v>
      </c>
      <c r="F218" s="64">
        <v>744</v>
      </c>
      <c r="G218" s="64">
        <v>740</v>
      </c>
      <c r="H218" s="65">
        <v>0.994623655913978</v>
      </c>
      <c r="I218" s="65">
        <v>1</v>
      </c>
      <c r="J218" s="64"/>
    </row>
    <row r="219" customHeight="1" spans="1:10">
      <c r="A219" s="82"/>
      <c r="B219" s="63" t="s">
        <v>242</v>
      </c>
      <c r="C219" s="64" t="s">
        <v>172</v>
      </c>
      <c r="D219" s="64">
        <v>31</v>
      </c>
      <c r="E219" s="64">
        <v>24</v>
      </c>
      <c r="F219" s="64">
        <v>744</v>
      </c>
      <c r="G219" s="64">
        <v>744</v>
      </c>
      <c r="H219" s="80">
        <v>1</v>
      </c>
      <c r="I219" s="80">
        <v>1</v>
      </c>
      <c r="J219" s="92"/>
    </row>
    <row r="220" customHeight="1" spans="1:10">
      <c r="A220" s="82"/>
      <c r="B220" s="64"/>
      <c r="C220" s="64" t="s">
        <v>173</v>
      </c>
      <c r="D220" s="64">
        <v>31</v>
      </c>
      <c r="E220" s="64">
        <v>24</v>
      </c>
      <c r="F220" s="64">
        <v>744</v>
      </c>
      <c r="G220" s="64">
        <v>744</v>
      </c>
      <c r="H220" s="80">
        <v>1</v>
      </c>
      <c r="I220" s="80">
        <v>1</v>
      </c>
      <c r="J220" s="92"/>
    </row>
    <row r="221" customHeight="1" spans="1:10">
      <c r="A221" s="82"/>
      <c r="B221" s="64"/>
      <c r="C221" s="64" t="s">
        <v>177</v>
      </c>
      <c r="D221" s="64">
        <v>31</v>
      </c>
      <c r="E221" s="64">
        <v>24</v>
      </c>
      <c r="F221" s="64">
        <v>744</v>
      </c>
      <c r="G221" s="64">
        <v>744</v>
      </c>
      <c r="H221" s="80">
        <v>1</v>
      </c>
      <c r="I221" s="80">
        <v>1</v>
      </c>
      <c r="J221" s="92"/>
    </row>
    <row r="222" ht="14.25" spans="1:10">
      <c r="A222" s="84"/>
      <c r="B222" s="64"/>
      <c r="C222" s="64" t="s">
        <v>178</v>
      </c>
      <c r="D222" s="64">
        <v>31</v>
      </c>
      <c r="E222" s="64">
        <v>24</v>
      </c>
      <c r="F222" s="64">
        <v>744</v>
      </c>
      <c r="G222" s="64">
        <v>744</v>
      </c>
      <c r="H222" s="80">
        <v>1</v>
      </c>
      <c r="I222" s="80">
        <v>1</v>
      </c>
      <c r="J222" s="92"/>
    </row>
    <row r="223" customHeight="1" spans="1:10">
      <c r="A223" s="66" t="s">
        <v>61</v>
      </c>
      <c r="B223" s="66"/>
      <c r="C223" s="67"/>
      <c r="D223" s="67"/>
      <c r="E223" s="68" t="s">
        <v>62</v>
      </c>
      <c r="F223" s="68"/>
      <c r="G223" s="69"/>
      <c r="H223" s="70" t="s">
        <v>187</v>
      </c>
      <c r="I223" s="70"/>
      <c r="J223" s="70"/>
    </row>
    <row r="224" ht="17" customHeight="1"/>
    <row r="225" ht="16" customHeight="1"/>
    <row r="226" ht="27" customHeight="1" spans="1:10">
      <c r="A226" s="56" t="s">
        <v>155</v>
      </c>
      <c r="B226" s="56"/>
      <c r="C226" s="56"/>
      <c r="D226" s="56"/>
      <c r="E226" s="56"/>
      <c r="F226" s="56"/>
      <c r="G226" s="56"/>
      <c r="H226" s="57"/>
      <c r="I226" s="56"/>
      <c r="J226" s="56"/>
    </row>
    <row r="227" ht="24" customHeight="1" spans="1:10">
      <c r="A227" s="71">
        <v>44256</v>
      </c>
      <c r="B227" s="71"/>
      <c r="C227" s="71"/>
      <c r="D227" s="71"/>
      <c r="E227" s="71"/>
      <c r="F227" s="71"/>
      <c r="G227" s="71"/>
      <c r="H227" s="71"/>
      <c r="I227" s="71"/>
      <c r="J227" s="71"/>
    </row>
    <row r="228" customHeight="1" spans="1:10">
      <c r="A228" s="6" t="s">
        <v>156</v>
      </c>
      <c r="B228" s="6" t="s">
        <v>157</v>
      </c>
      <c r="C228" s="6" t="s">
        <v>158</v>
      </c>
      <c r="D228" s="6" t="s">
        <v>159</v>
      </c>
      <c r="E228" s="59" t="s">
        <v>160</v>
      </c>
      <c r="F228" s="59" t="s">
        <v>161</v>
      </c>
      <c r="G228" s="60" t="s">
        <v>162</v>
      </c>
      <c r="H228" s="61" t="s">
        <v>163</v>
      </c>
      <c r="I228" s="59" t="s">
        <v>164</v>
      </c>
      <c r="J228" s="6" t="s">
        <v>165</v>
      </c>
    </row>
    <row r="229" customHeight="1" spans="1:10">
      <c r="A229" s="6"/>
      <c r="B229" s="6"/>
      <c r="C229" s="6"/>
      <c r="D229" s="6"/>
      <c r="E229" s="59"/>
      <c r="F229" s="59"/>
      <c r="G229" s="60"/>
      <c r="H229" s="61"/>
      <c r="I229" s="59"/>
      <c r="J229" s="6"/>
    </row>
    <row r="230" customHeight="1" spans="1:10">
      <c r="A230" s="62"/>
      <c r="B230" s="6"/>
      <c r="C230" s="62"/>
      <c r="D230" s="6" t="s">
        <v>166</v>
      </c>
      <c r="E230" s="59" t="s">
        <v>167</v>
      </c>
      <c r="F230" s="59" t="s">
        <v>168</v>
      </c>
      <c r="G230" s="60" t="s">
        <v>168</v>
      </c>
      <c r="H230" s="61" t="s">
        <v>169</v>
      </c>
      <c r="I230" s="59" t="s">
        <v>169</v>
      </c>
      <c r="J230" s="6"/>
    </row>
    <row r="231" customHeight="1" spans="1:10">
      <c r="A231" s="63" t="s">
        <v>239</v>
      </c>
      <c r="B231" s="63" t="s">
        <v>243</v>
      </c>
      <c r="C231" s="64" t="s">
        <v>172</v>
      </c>
      <c r="D231" s="64">
        <v>31</v>
      </c>
      <c r="E231" s="64">
        <v>24</v>
      </c>
      <c r="F231" s="64">
        <v>744</v>
      </c>
      <c r="G231" s="64">
        <v>718</v>
      </c>
      <c r="H231" s="65">
        <v>0.795698924731183</v>
      </c>
      <c r="I231" s="65">
        <v>1</v>
      </c>
      <c r="J231" s="64"/>
    </row>
    <row r="232" customHeight="1" spans="1:10">
      <c r="A232" s="63"/>
      <c r="B232" s="64"/>
      <c r="C232" s="64" t="s">
        <v>173</v>
      </c>
      <c r="D232" s="64">
        <v>31</v>
      </c>
      <c r="E232" s="64">
        <v>24</v>
      </c>
      <c r="F232" s="64">
        <v>744</v>
      </c>
      <c r="G232" s="64">
        <v>592</v>
      </c>
      <c r="H232" s="65">
        <v>0.795698924731183</v>
      </c>
      <c r="I232" s="65">
        <v>0.8</v>
      </c>
      <c r="J232" s="64"/>
    </row>
    <row r="233" customHeight="1" spans="1:10">
      <c r="A233" s="63"/>
      <c r="B233" s="64"/>
      <c r="C233" s="64" t="s">
        <v>177</v>
      </c>
      <c r="D233" s="64">
        <v>31</v>
      </c>
      <c r="E233" s="64">
        <v>24</v>
      </c>
      <c r="F233" s="64">
        <v>744</v>
      </c>
      <c r="G233" s="64">
        <v>592</v>
      </c>
      <c r="H233" s="65">
        <v>0.795698924731183</v>
      </c>
      <c r="I233" s="65">
        <v>1</v>
      </c>
      <c r="J233" s="64"/>
    </row>
    <row r="234" customHeight="1" spans="1:10">
      <c r="A234" s="63"/>
      <c r="B234" s="64"/>
      <c r="C234" s="64" t="s">
        <v>178</v>
      </c>
      <c r="D234" s="64">
        <v>31</v>
      </c>
      <c r="E234" s="64">
        <v>24</v>
      </c>
      <c r="F234" s="64">
        <v>744</v>
      </c>
      <c r="G234" s="64">
        <v>592</v>
      </c>
      <c r="H234" s="65">
        <v>0.795698924731183</v>
      </c>
      <c r="I234" s="65">
        <v>1</v>
      </c>
      <c r="J234" s="64"/>
    </row>
    <row r="235" customHeight="1" spans="1:10">
      <c r="A235" s="63"/>
      <c r="B235" s="63" t="s">
        <v>244</v>
      </c>
      <c r="C235" s="64" t="s">
        <v>172</v>
      </c>
      <c r="D235" s="64">
        <v>31</v>
      </c>
      <c r="E235" s="64">
        <v>24</v>
      </c>
      <c r="F235" s="64">
        <v>744</v>
      </c>
      <c r="G235" s="64">
        <v>608</v>
      </c>
      <c r="H235" s="65">
        <v>0.817204301075269</v>
      </c>
      <c r="I235" s="65">
        <v>1</v>
      </c>
      <c r="J235" s="64"/>
    </row>
    <row r="236" customHeight="1" spans="1:10">
      <c r="A236" s="63"/>
      <c r="B236" s="64"/>
      <c r="C236" s="64" t="s">
        <v>173</v>
      </c>
      <c r="D236" s="64">
        <v>31</v>
      </c>
      <c r="E236" s="64">
        <v>24</v>
      </c>
      <c r="F236" s="64">
        <v>744</v>
      </c>
      <c r="G236" s="64">
        <v>608</v>
      </c>
      <c r="H236" s="65">
        <v>0.817204301075269</v>
      </c>
      <c r="I236" s="65">
        <v>1</v>
      </c>
      <c r="J236" s="64"/>
    </row>
    <row r="237" customHeight="1" spans="1:10">
      <c r="A237" s="63"/>
      <c r="B237" s="64"/>
      <c r="C237" s="64" t="s">
        <v>177</v>
      </c>
      <c r="D237" s="64">
        <v>31</v>
      </c>
      <c r="E237" s="64">
        <v>24</v>
      </c>
      <c r="F237" s="64">
        <v>744</v>
      </c>
      <c r="G237" s="64">
        <v>716</v>
      </c>
      <c r="H237" s="65">
        <v>0.817204301075269</v>
      </c>
      <c r="I237" s="65">
        <v>1</v>
      </c>
      <c r="J237" s="64"/>
    </row>
    <row r="238" customHeight="1" spans="1:10">
      <c r="A238" s="63"/>
      <c r="B238" s="64"/>
      <c r="C238" s="64" t="s">
        <v>178</v>
      </c>
      <c r="D238" s="64">
        <v>31</v>
      </c>
      <c r="E238" s="64">
        <v>24</v>
      </c>
      <c r="F238" s="64">
        <v>744</v>
      </c>
      <c r="G238" s="64">
        <v>608</v>
      </c>
      <c r="H238" s="65">
        <v>0.817204301075269</v>
      </c>
      <c r="I238" s="65">
        <v>1</v>
      </c>
      <c r="J238" s="64"/>
    </row>
    <row r="239" customHeight="1" spans="1:10">
      <c r="A239" s="63"/>
      <c r="B239" s="64"/>
      <c r="C239" s="64" t="s">
        <v>179</v>
      </c>
      <c r="D239" s="64">
        <v>31</v>
      </c>
      <c r="E239" s="64">
        <v>24</v>
      </c>
      <c r="F239" s="64">
        <v>744</v>
      </c>
      <c r="G239" s="64">
        <v>0</v>
      </c>
      <c r="H239" s="65">
        <v>0</v>
      </c>
      <c r="I239" s="65">
        <v>1</v>
      </c>
      <c r="J239" s="64"/>
    </row>
    <row r="240" customHeight="1" spans="1:10">
      <c r="A240" s="63"/>
      <c r="B240" s="64"/>
      <c r="C240" s="64" t="s">
        <v>181</v>
      </c>
      <c r="D240" s="64">
        <v>31</v>
      </c>
      <c r="E240" s="64">
        <v>24</v>
      </c>
      <c r="F240" s="64">
        <v>744</v>
      </c>
      <c r="G240" s="64">
        <v>0</v>
      </c>
      <c r="H240" s="65">
        <v>0</v>
      </c>
      <c r="I240" s="65">
        <v>1</v>
      </c>
      <c r="J240" s="64"/>
    </row>
    <row r="241" customHeight="1" spans="1:10">
      <c r="A241" s="63"/>
      <c r="B241" s="63" t="s">
        <v>245</v>
      </c>
      <c r="C241" s="64" t="s">
        <v>172</v>
      </c>
      <c r="D241" s="64">
        <v>31</v>
      </c>
      <c r="E241" s="64">
        <v>24</v>
      </c>
      <c r="F241" s="64">
        <v>744</v>
      </c>
      <c r="G241" s="64">
        <v>62</v>
      </c>
      <c r="H241" s="65">
        <v>0.0833333333333333</v>
      </c>
      <c r="I241" s="65">
        <v>1</v>
      </c>
      <c r="J241" s="64"/>
    </row>
    <row r="242" customHeight="1" spans="1:10">
      <c r="A242" s="63"/>
      <c r="B242" s="64"/>
      <c r="C242" s="64" t="s">
        <v>173</v>
      </c>
      <c r="D242" s="64">
        <v>31</v>
      </c>
      <c r="E242" s="64">
        <v>24</v>
      </c>
      <c r="F242" s="64">
        <v>744</v>
      </c>
      <c r="G242" s="64">
        <v>62</v>
      </c>
      <c r="H242" s="65">
        <v>0.0833333333333333</v>
      </c>
      <c r="I242" s="65">
        <v>1</v>
      </c>
      <c r="J242" s="64"/>
    </row>
    <row r="243" customHeight="1" spans="1:10">
      <c r="A243" s="63"/>
      <c r="B243" s="64"/>
      <c r="C243" s="64" t="s">
        <v>177</v>
      </c>
      <c r="D243" s="64">
        <v>31</v>
      </c>
      <c r="E243" s="64">
        <v>24</v>
      </c>
      <c r="F243" s="64">
        <v>744</v>
      </c>
      <c r="G243" s="64">
        <v>62</v>
      </c>
      <c r="H243" s="65">
        <v>0.0833333333333333</v>
      </c>
      <c r="I243" s="65">
        <v>1</v>
      </c>
      <c r="J243" s="64"/>
    </row>
    <row r="244" customHeight="1" spans="1:10">
      <c r="A244" s="63"/>
      <c r="B244" s="64"/>
      <c r="C244" s="64" t="s">
        <v>178</v>
      </c>
      <c r="D244" s="64">
        <v>31</v>
      </c>
      <c r="E244" s="64">
        <v>24</v>
      </c>
      <c r="F244" s="64">
        <v>744</v>
      </c>
      <c r="G244" s="64">
        <v>62</v>
      </c>
      <c r="H244" s="65">
        <v>0.0833333333333333</v>
      </c>
      <c r="I244" s="65">
        <v>1</v>
      </c>
      <c r="J244" s="64"/>
    </row>
    <row r="245" customHeight="1" spans="1:10">
      <c r="A245" s="63"/>
      <c r="B245" s="63" t="s">
        <v>246</v>
      </c>
      <c r="C245" s="64" t="s">
        <v>172</v>
      </c>
      <c r="D245" s="64">
        <v>31</v>
      </c>
      <c r="E245" s="64">
        <v>24</v>
      </c>
      <c r="F245" s="64">
        <v>744</v>
      </c>
      <c r="G245" s="64">
        <v>586</v>
      </c>
      <c r="H245" s="65">
        <v>0.787634408602151</v>
      </c>
      <c r="I245" s="65">
        <v>1</v>
      </c>
      <c r="J245" s="64" t="s">
        <v>190</v>
      </c>
    </row>
    <row r="246" customHeight="1" spans="1:10">
      <c r="A246" s="63"/>
      <c r="B246" s="64"/>
      <c r="C246" s="64" t="s">
        <v>173</v>
      </c>
      <c r="D246" s="64">
        <v>31</v>
      </c>
      <c r="E246" s="64">
        <v>24</v>
      </c>
      <c r="F246" s="64">
        <v>744</v>
      </c>
      <c r="G246" s="64">
        <v>0</v>
      </c>
      <c r="H246" s="65">
        <v>0</v>
      </c>
      <c r="I246" s="65">
        <v>1</v>
      </c>
      <c r="J246" s="64" t="s">
        <v>190</v>
      </c>
    </row>
    <row r="247" customHeight="1" spans="1:10">
      <c r="A247" s="63"/>
      <c r="B247" s="64"/>
      <c r="C247" s="64" t="s">
        <v>177</v>
      </c>
      <c r="D247" s="64">
        <v>31</v>
      </c>
      <c r="E247" s="64">
        <v>24</v>
      </c>
      <c r="F247" s="64">
        <v>744</v>
      </c>
      <c r="G247" s="64">
        <v>586</v>
      </c>
      <c r="H247" s="65">
        <v>0.787634408602151</v>
      </c>
      <c r="I247" s="65">
        <v>1</v>
      </c>
      <c r="J247" s="64" t="s">
        <v>190</v>
      </c>
    </row>
    <row r="248" customHeight="1" spans="1:10">
      <c r="A248" s="63"/>
      <c r="B248" s="64"/>
      <c r="C248" s="64" t="s">
        <v>178</v>
      </c>
      <c r="D248" s="64">
        <v>31</v>
      </c>
      <c r="E248" s="64">
        <v>24</v>
      </c>
      <c r="F248" s="64">
        <v>744</v>
      </c>
      <c r="G248" s="64">
        <v>514</v>
      </c>
      <c r="H248" s="65">
        <v>0.690860215053763</v>
      </c>
      <c r="I248" s="65">
        <v>1</v>
      </c>
      <c r="J248" s="64" t="s">
        <v>190</v>
      </c>
    </row>
    <row r="249" customHeight="1" spans="1:10">
      <c r="A249" s="63"/>
      <c r="B249" s="64"/>
      <c r="C249" s="64" t="s">
        <v>179</v>
      </c>
      <c r="D249" s="64">
        <v>31</v>
      </c>
      <c r="E249" s="64">
        <v>24</v>
      </c>
      <c r="F249" s="64">
        <v>744</v>
      </c>
      <c r="G249" s="64">
        <v>586</v>
      </c>
      <c r="H249" s="65">
        <v>0.787634408602151</v>
      </c>
      <c r="I249" s="65">
        <v>0.79</v>
      </c>
      <c r="J249" s="64" t="s">
        <v>247</v>
      </c>
    </row>
    <row r="250" customHeight="1" spans="1:10">
      <c r="A250" s="63"/>
      <c r="B250" s="64"/>
      <c r="C250" s="64" t="s">
        <v>181</v>
      </c>
      <c r="D250" s="64">
        <v>31</v>
      </c>
      <c r="E250" s="64">
        <v>24</v>
      </c>
      <c r="F250" s="64">
        <v>744</v>
      </c>
      <c r="G250" s="64">
        <v>72</v>
      </c>
      <c r="H250" s="65">
        <v>0.0967741935483871</v>
      </c>
      <c r="I250" s="65">
        <v>1</v>
      </c>
      <c r="J250" s="64" t="s">
        <v>190</v>
      </c>
    </row>
    <row r="251" customHeight="1" spans="1:10">
      <c r="A251" s="63"/>
      <c r="B251" s="64"/>
      <c r="C251" s="64" t="s">
        <v>191</v>
      </c>
      <c r="D251" s="64">
        <v>31</v>
      </c>
      <c r="E251" s="64">
        <v>24</v>
      </c>
      <c r="F251" s="64">
        <v>744</v>
      </c>
      <c r="G251" s="64">
        <v>0</v>
      </c>
      <c r="H251" s="65">
        <v>0</v>
      </c>
      <c r="I251" s="65">
        <v>1</v>
      </c>
      <c r="J251" s="64"/>
    </row>
    <row r="252" customHeight="1" spans="1:10">
      <c r="A252" s="63"/>
      <c r="B252" s="64"/>
      <c r="C252" s="64" t="s">
        <v>192</v>
      </c>
      <c r="D252" s="64">
        <v>31</v>
      </c>
      <c r="E252" s="64">
        <v>24</v>
      </c>
      <c r="F252" s="64">
        <v>744</v>
      </c>
      <c r="G252" s="64">
        <v>0</v>
      </c>
      <c r="H252" s="65">
        <v>0</v>
      </c>
      <c r="I252" s="65">
        <v>1</v>
      </c>
      <c r="J252" s="64"/>
    </row>
    <row r="253" customHeight="1" spans="1:10">
      <c r="A253" s="63"/>
      <c r="B253" s="64"/>
      <c r="C253" s="64" t="s">
        <v>193</v>
      </c>
      <c r="D253" s="64">
        <v>31</v>
      </c>
      <c r="E253" s="64">
        <v>24</v>
      </c>
      <c r="F253" s="64">
        <v>744</v>
      </c>
      <c r="G253" s="64">
        <v>0</v>
      </c>
      <c r="H253" s="65">
        <v>0</v>
      </c>
      <c r="I253" s="65">
        <v>1</v>
      </c>
      <c r="J253" s="64"/>
    </row>
    <row r="254" customHeight="1" spans="1:10">
      <c r="A254" s="63"/>
      <c r="B254" s="63" t="s">
        <v>248</v>
      </c>
      <c r="C254" s="64" t="s">
        <v>172</v>
      </c>
      <c r="D254" s="64">
        <v>31</v>
      </c>
      <c r="E254" s="64">
        <v>24</v>
      </c>
      <c r="F254" s="64">
        <v>744</v>
      </c>
      <c r="G254" s="64">
        <v>580</v>
      </c>
      <c r="H254" s="65">
        <v>0.779569892473118</v>
      </c>
      <c r="I254" s="65">
        <v>1</v>
      </c>
      <c r="J254" s="64" t="s">
        <v>190</v>
      </c>
    </row>
    <row r="255" customHeight="1" spans="1:10">
      <c r="A255" s="63"/>
      <c r="B255" s="64"/>
      <c r="C255" s="64" t="s">
        <v>173</v>
      </c>
      <c r="D255" s="64">
        <v>31</v>
      </c>
      <c r="E255" s="64">
        <v>24</v>
      </c>
      <c r="F255" s="64">
        <v>744</v>
      </c>
      <c r="G255" s="64">
        <v>0</v>
      </c>
      <c r="H255" s="65">
        <v>0</v>
      </c>
      <c r="I255" s="65">
        <v>1</v>
      </c>
      <c r="J255" s="64" t="s">
        <v>190</v>
      </c>
    </row>
    <row r="256" customHeight="1" spans="1:10">
      <c r="A256" s="63"/>
      <c r="B256" s="64"/>
      <c r="C256" s="64" t="s">
        <v>177</v>
      </c>
      <c r="D256" s="64">
        <v>31</v>
      </c>
      <c r="E256" s="64">
        <v>24</v>
      </c>
      <c r="F256" s="64">
        <v>744</v>
      </c>
      <c r="G256" s="64">
        <v>0</v>
      </c>
      <c r="H256" s="65">
        <v>0</v>
      </c>
      <c r="I256" s="65">
        <v>1</v>
      </c>
      <c r="J256" s="64" t="s">
        <v>190</v>
      </c>
    </row>
    <row r="257" customHeight="1" spans="1:10">
      <c r="A257" s="63"/>
      <c r="B257" s="64"/>
      <c r="C257" s="64" t="s">
        <v>178</v>
      </c>
      <c r="D257" s="64">
        <v>31</v>
      </c>
      <c r="E257" s="64">
        <v>24</v>
      </c>
      <c r="F257" s="64">
        <v>744</v>
      </c>
      <c r="G257" s="64">
        <v>580</v>
      </c>
      <c r="H257" s="65">
        <v>0.779569892473118</v>
      </c>
      <c r="I257" s="65">
        <v>1</v>
      </c>
      <c r="J257" s="64" t="s">
        <v>190</v>
      </c>
    </row>
    <row r="258" customHeight="1" spans="1:10">
      <c r="A258" s="63"/>
      <c r="B258" s="64"/>
      <c r="C258" s="64" t="s">
        <v>179</v>
      </c>
      <c r="D258" s="64">
        <v>31</v>
      </c>
      <c r="E258" s="64">
        <v>24</v>
      </c>
      <c r="F258" s="64">
        <v>744</v>
      </c>
      <c r="G258" s="64">
        <v>580</v>
      </c>
      <c r="H258" s="65">
        <v>0.779569892473118</v>
      </c>
      <c r="I258" s="65">
        <v>1</v>
      </c>
      <c r="J258" s="64" t="s">
        <v>190</v>
      </c>
    </row>
    <row r="259" customHeight="1" spans="1:10">
      <c r="A259" s="63"/>
      <c r="B259" s="64"/>
      <c r="C259" s="64" t="s">
        <v>181</v>
      </c>
      <c r="D259" s="64">
        <v>31</v>
      </c>
      <c r="E259" s="64">
        <v>24</v>
      </c>
      <c r="F259" s="64">
        <v>744</v>
      </c>
      <c r="G259" s="64">
        <v>0</v>
      </c>
      <c r="H259" s="65">
        <v>0</v>
      </c>
      <c r="I259" s="65">
        <v>1</v>
      </c>
      <c r="J259" s="64" t="s">
        <v>190</v>
      </c>
    </row>
    <row r="260" customHeight="1" spans="1:10">
      <c r="A260" s="63"/>
      <c r="B260" s="64"/>
      <c r="C260" s="64" t="s">
        <v>191</v>
      </c>
      <c r="D260" s="64">
        <v>31</v>
      </c>
      <c r="E260" s="64">
        <v>24</v>
      </c>
      <c r="F260" s="64">
        <v>744</v>
      </c>
      <c r="G260" s="64">
        <v>0</v>
      </c>
      <c r="H260" s="65">
        <v>0</v>
      </c>
      <c r="I260" s="65">
        <v>1</v>
      </c>
      <c r="J260" s="64" t="s">
        <v>190</v>
      </c>
    </row>
    <row r="261" customHeight="1" spans="1:10">
      <c r="A261" s="63"/>
      <c r="B261" s="64"/>
      <c r="C261" s="64" t="s">
        <v>192</v>
      </c>
      <c r="D261" s="64">
        <v>31</v>
      </c>
      <c r="E261" s="64">
        <v>24</v>
      </c>
      <c r="F261" s="64">
        <v>744</v>
      </c>
      <c r="G261" s="64">
        <v>580</v>
      </c>
      <c r="H261" s="65">
        <v>0.779569892473118</v>
      </c>
      <c r="I261" s="65">
        <v>1</v>
      </c>
      <c r="J261" s="64" t="s">
        <v>190</v>
      </c>
    </row>
    <row r="262" customHeight="1" spans="1:10">
      <c r="A262" s="63"/>
      <c r="B262" s="6" t="s">
        <v>249</v>
      </c>
      <c r="C262" s="64" t="s">
        <v>172</v>
      </c>
      <c r="D262" s="64">
        <v>31</v>
      </c>
      <c r="E262" s="64">
        <v>24</v>
      </c>
      <c r="F262" s="64">
        <v>744</v>
      </c>
      <c r="G262" s="64">
        <v>720</v>
      </c>
      <c r="H262" s="65">
        <v>0.967741935483871</v>
      </c>
      <c r="I262" s="65">
        <v>1</v>
      </c>
      <c r="J262" s="64" t="s">
        <v>185</v>
      </c>
    </row>
    <row r="263" customHeight="1" spans="1:10">
      <c r="A263" s="63"/>
      <c r="B263" s="92"/>
      <c r="C263" s="64" t="s">
        <v>173</v>
      </c>
      <c r="D263" s="64">
        <v>31</v>
      </c>
      <c r="E263" s="64">
        <v>24</v>
      </c>
      <c r="F263" s="64">
        <v>744</v>
      </c>
      <c r="G263" s="64">
        <v>720</v>
      </c>
      <c r="H263" s="65">
        <v>0.97</v>
      </c>
      <c r="I263" s="65">
        <v>0.97</v>
      </c>
      <c r="J263" s="64" t="s">
        <v>185</v>
      </c>
    </row>
    <row r="264" customHeight="1" spans="1:10">
      <c r="A264" s="63"/>
      <c r="B264" s="92"/>
      <c r="C264" s="64" t="s">
        <v>177</v>
      </c>
      <c r="D264" s="64">
        <v>31</v>
      </c>
      <c r="E264" s="64">
        <v>24</v>
      </c>
      <c r="F264" s="64">
        <v>744</v>
      </c>
      <c r="G264" s="64">
        <v>0</v>
      </c>
      <c r="H264" s="65">
        <v>0</v>
      </c>
      <c r="I264" s="65">
        <v>1</v>
      </c>
      <c r="J264" s="64" t="s">
        <v>185</v>
      </c>
    </row>
    <row r="265" customHeight="1" spans="1:10">
      <c r="A265" s="63"/>
      <c r="B265" s="6" t="s">
        <v>250</v>
      </c>
      <c r="C265" s="64" t="s">
        <v>172</v>
      </c>
      <c r="D265" s="64">
        <v>31</v>
      </c>
      <c r="E265" s="64">
        <v>24</v>
      </c>
      <c r="F265" s="64">
        <v>744</v>
      </c>
      <c r="G265" s="64">
        <v>744</v>
      </c>
      <c r="H265" s="65">
        <v>1</v>
      </c>
      <c r="I265" s="65">
        <v>1</v>
      </c>
      <c r="J265" s="64" t="s">
        <v>237</v>
      </c>
    </row>
    <row r="266" customHeight="1" spans="1:10">
      <c r="A266" s="63"/>
      <c r="B266" s="92"/>
      <c r="C266" s="64" t="s">
        <v>173</v>
      </c>
      <c r="D266" s="64">
        <v>31</v>
      </c>
      <c r="E266" s="64">
        <v>24</v>
      </c>
      <c r="F266" s="64">
        <v>744</v>
      </c>
      <c r="G266" s="64">
        <v>744</v>
      </c>
      <c r="H266" s="65">
        <v>1</v>
      </c>
      <c r="I266" s="65">
        <v>1</v>
      </c>
      <c r="J266" s="64" t="s">
        <v>237</v>
      </c>
    </row>
    <row r="267" customHeight="1" spans="1:10">
      <c r="A267" s="63"/>
      <c r="B267" s="92"/>
      <c r="C267" s="64" t="s">
        <v>177</v>
      </c>
      <c r="D267" s="64">
        <v>31</v>
      </c>
      <c r="E267" s="64">
        <v>24</v>
      </c>
      <c r="F267" s="64">
        <v>744</v>
      </c>
      <c r="G267" s="64">
        <v>744</v>
      </c>
      <c r="H267" s="65">
        <v>1</v>
      </c>
      <c r="I267" s="65">
        <v>1</v>
      </c>
      <c r="J267" s="64" t="s">
        <v>237</v>
      </c>
    </row>
    <row r="268" customHeight="1" spans="1:10">
      <c r="A268" s="63"/>
      <c r="B268" s="92"/>
      <c r="C268" s="64" t="s">
        <v>178</v>
      </c>
      <c r="D268" s="64">
        <v>31</v>
      </c>
      <c r="E268" s="64">
        <v>24</v>
      </c>
      <c r="F268" s="64">
        <v>744</v>
      </c>
      <c r="G268" s="64">
        <v>744</v>
      </c>
      <c r="H268" s="65">
        <v>1</v>
      </c>
      <c r="I268" s="65">
        <v>1</v>
      </c>
      <c r="J268" s="64" t="s">
        <v>237</v>
      </c>
    </row>
    <row r="269" customHeight="1" spans="1:10">
      <c r="A269" s="63"/>
      <c r="B269" s="92"/>
      <c r="C269" s="64" t="s">
        <v>179</v>
      </c>
      <c r="D269" s="64">
        <v>31</v>
      </c>
      <c r="E269" s="64">
        <v>24</v>
      </c>
      <c r="F269" s="64">
        <v>744</v>
      </c>
      <c r="G269" s="64">
        <v>744</v>
      </c>
      <c r="H269" s="65">
        <v>1</v>
      </c>
      <c r="I269" s="65">
        <v>1</v>
      </c>
      <c r="J269" s="64" t="s">
        <v>237</v>
      </c>
    </row>
    <row r="270" ht="19" customHeight="1" spans="1:10">
      <c r="A270" s="66" t="s">
        <v>61</v>
      </c>
      <c r="B270" s="66"/>
      <c r="C270" s="67"/>
      <c r="D270" s="67"/>
      <c r="E270" s="68" t="s">
        <v>62</v>
      </c>
      <c r="F270" s="68"/>
      <c r="G270" s="69"/>
      <c r="H270" s="70" t="s">
        <v>187</v>
      </c>
      <c r="I270" s="70"/>
      <c r="J270" s="70"/>
    </row>
    <row r="271" ht="17" customHeight="1" spans="1:10">
      <c r="A271" s="56" t="s">
        <v>155</v>
      </c>
      <c r="B271" s="56"/>
      <c r="C271" s="56"/>
      <c r="D271" s="56"/>
      <c r="E271" s="56"/>
      <c r="F271" s="56"/>
      <c r="G271" s="56"/>
      <c r="H271" s="57"/>
      <c r="I271" s="56"/>
      <c r="J271" s="56"/>
    </row>
    <row r="272" customHeight="1" spans="1:10">
      <c r="A272" s="58">
        <v>44256</v>
      </c>
      <c r="B272" s="58"/>
      <c r="C272" s="58"/>
      <c r="D272" s="58"/>
      <c r="E272" s="58"/>
      <c r="F272" s="58"/>
      <c r="G272" s="58"/>
      <c r="H272" s="58"/>
      <c r="I272" s="58"/>
      <c r="J272" s="58"/>
    </row>
    <row r="273" customHeight="1" spans="1:10">
      <c r="A273" s="6" t="s">
        <v>156</v>
      </c>
      <c r="B273" s="6" t="s">
        <v>157</v>
      </c>
      <c r="C273" s="6" t="s">
        <v>158</v>
      </c>
      <c r="D273" s="6" t="s">
        <v>159</v>
      </c>
      <c r="E273" s="59" t="s">
        <v>160</v>
      </c>
      <c r="F273" s="59" t="s">
        <v>161</v>
      </c>
      <c r="G273" s="60" t="s">
        <v>162</v>
      </c>
      <c r="H273" s="61" t="s">
        <v>163</v>
      </c>
      <c r="I273" s="59" t="s">
        <v>164</v>
      </c>
      <c r="J273" s="6" t="s">
        <v>165</v>
      </c>
    </row>
    <row r="274" customHeight="1" spans="1:10">
      <c r="A274" s="6"/>
      <c r="B274" s="6"/>
      <c r="C274" s="6"/>
      <c r="D274" s="6"/>
      <c r="E274" s="59"/>
      <c r="F274" s="59"/>
      <c r="G274" s="60"/>
      <c r="H274" s="61"/>
      <c r="I274" s="59"/>
      <c r="J274" s="6"/>
    </row>
    <row r="275" customHeight="1" spans="1:10">
      <c r="A275" s="62"/>
      <c r="B275" s="6"/>
      <c r="C275" s="62"/>
      <c r="D275" s="6" t="s">
        <v>166</v>
      </c>
      <c r="E275" s="59" t="s">
        <v>167</v>
      </c>
      <c r="F275" s="59" t="s">
        <v>168</v>
      </c>
      <c r="G275" s="60" t="s">
        <v>168</v>
      </c>
      <c r="H275" s="61" t="s">
        <v>169</v>
      </c>
      <c r="I275" s="59" t="s">
        <v>169</v>
      </c>
      <c r="J275" s="6"/>
    </row>
    <row r="276" customHeight="1" spans="1:10">
      <c r="A276" s="63" t="s">
        <v>239</v>
      </c>
      <c r="B276" s="63" t="s">
        <v>250</v>
      </c>
      <c r="C276" s="64" t="s">
        <v>181</v>
      </c>
      <c r="D276" s="64">
        <v>31</v>
      </c>
      <c r="E276" s="64">
        <v>24</v>
      </c>
      <c r="F276" s="64">
        <v>744</v>
      </c>
      <c r="G276" s="64">
        <v>744</v>
      </c>
      <c r="H276" s="65">
        <v>1</v>
      </c>
      <c r="I276" s="65">
        <v>1</v>
      </c>
      <c r="J276" s="64" t="s">
        <v>237</v>
      </c>
    </row>
    <row r="277" customHeight="1" spans="1:10">
      <c r="A277" s="64"/>
      <c r="B277" s="63"/>
      <c r="C277" s="64" t="s">
        <v>191</v>
      </c>
      <c r="D277" s="64">
        <v>31</v>
      </c>
      <c r="E277" s="64">
        <v>24</v>
      </c>
      <c r="F277" s="64">
        <v>744</v>
      </c>
      <c r="G277" s="64">
        <v>744</v>
      </c>
      <c r="H277" s="65">
        <v>1</v>
      </c>
      <c r="I277" s="65">
        <v>1</v>
      </c>
      <c r="J277" s="64" t="s">
        <v>237</v>
      </c>
    </row>
    <row r="278" customHeight="1" spans="1:10">
      <c r="A278" s="64"/>
      <c r="B278" s="63"/>
      <c r="C278" s="64" t="s">
        <v>192</v>
      </c>
      <c r="D278" s="64">
        <v>31</v>
      </c>
      <c r="E278" s="64">
        <v>24</v>
      </c>
      <c r="F278" s="64">
        <v>744</v>
      </c>
      <c r="G278" s="64">
        <v>744</v>
      </c>
      <c r="H278" s="65">
        <v>1</v>
      </c>
      <c r="I278" s="65">
        <v>1</v>
      </c>
      <c r="J278" s="64" t="s">
        <v>237</v>
      </c>
    </row>
    <row r="279" customHeight="1" spans="1:10">
      <c r="A279" s="64"/>
      <c r="B279" s="63" t="s">
        <v>251</v>
      </c>
      <c r="C279" s="64" t="s">
        <v>193</v>
      </c>
      <c r="D279" s="64">
        <v>31</v>
      </c>
      <c r="E279" s="64">
        <v>24</v>
      </c>
      <c r="F279" s="64">
        <v>744</v>
      </c>
      <c r="G279" s="64">
        <v>744</v>
      </c>
      <c r="H279" s="65">
        <v>1</v>
      </c>
      <c r="I279" s="65">
        <v>1</v>
      </c>
      <c r="J279" s="64" t="s">
        <v>237</v>
      </c>
    </row>
    <row r="280" customHeight="1" spans="1:10">
      <c r="A280" s="64"/>
      <c r="B280" s="64"/>
      <c r="C280" s="64" t="s">
        <v>194</v>
      </c>
      <c r="D280" s="64">
        <v>31</v>
      </c>
      <c r="E280" s="64">
        <v>24</v>
      </c>
      <c r="F280" s="64">
        <v>744</v>
      </c>
      <c r="G280" s="64">
        <v>744</v>
      </c>
      <c r="H280" s="65">
        <v>1</v>
      </c>
      <c r="I280" s="65">
        <v>1</v>
      </c>
      <c r="J280" s="64" t="s">
        <v>237</v>
      </c>
    </row>
    <row r="281" customHeight="1" spans="1:10">
      <c r="A281" s="64"/>
      <c r="B281" s="64"/>
      <c r="C281" s="64" t="s">
        <v>195</v>
      </c>
      <c r="D281" s="64">
        <v>31</v>
      </c>
      <c r="E281" s="64">
        <v>24</v>
      </c>
      <c r="F281" s="64">
        <v>744</v>
      </c>
      <c r="G281" s="64">
        <v>744</v>
      </c>
      <c r="H281" s="65">
        <v>1</v>
      </c>
      <c r="I281" s="65">
        <v>1</v>
      </c>
      <c r="J281" s="64" t="s">
        <v>237</v>
      </c>
    </row>
    <row r="282" customHeight="1" spans="1:10">
      <c r="A282" s="64"/>
      <c r="B282" s="64"/>
      <c r="C282" s="64" t="s">
        <v>196</v>
      </c>
      <c r="D282" s="64">
        <v>31</v>
      </c>
      <c r="E282" s="64">
        <v>24</v>
      </c>
      <c r="F282" s="64">
        <v>744</v>
      </c>
      <c r="G282" s="64">
        <v>744</v>
      </c>
      <c r="H282" s="65">
        <v>1</v>
      </c>
      <c r="I282" s="65">
        <v>1</v>
      </c>
      <c r="J282" s="64" t="s">
        <v>237</v>
      </c>
    </row>
    <row r="283" customHeight="1" spans="1:10">
      <c r="A283" s="64"/>
      <c r="B283" s="64"/>
      <c r="C283" s="64" t="s">
        <v>197</v>
      </c>
      <c r="D283" s="64">
        <v>31</v>
      </c>
      <c r="E283" s="64">
        <v>24</v>
      </c>
      <c r="F283" s="64">
        <v>744</v>
      </c>
      <c r="G283" s="64">
        <v>744</v>
      </c>
      <c r="H283" s="65">
        <v>1</v>
      </c>
      <c r="I283" s="65">
        <v>1</v>
      </c>
      <c r="J283" s="64" t="s">
        <v>237</v>
      </c>
    </row>
    <row r="284" customHeight="1" spans="1:10">
      <c r="A284" s="64"/>
      <c r="B284" s="64"/>
      <c r="C284" s="64" t="s">
        <v>198</v>
      </c>
      <c r="D284" s="64">
        <v>31</v>
      </c>
      <c r="E284" s="64">
        <v>24</v>
      </c>
      <c r="F284" s="64">
        <v>744</v>
      </c>
      <c r="G284" s="64">
        <v>744</v>
      </c>
      <c r="H284" s="65">
        <v>1</v>
      </c>
      <c r="I284" s="65">
        <v>1</v>
      </c>
      <c r="J284" s="64" t="s">
        <v>237</v>
      </c>
    </row>
    <row r="285" customHeight="1" spans="1:10">
      <c r="A285" s="64"/>
      <c r="B285" s="64"/>
      <c r="C285" s="64" t="s">
        <v>199</v>
      </c>
      <c r="D285" s="64">
        <v>31</v>
      </c>
      <c r="E285" s="64">
        <v>24</v>
      </c>
      <c r="F285" s="64">
        <v>744</v>
      </c>
      <c r="G285" s="64">
        <v>744</v>
      </c>
      <c r="H285" s="65">
        <v>1</v>
      </c>
      <c r="I285" s="65">
        <v>1</v>
      </c>
      <c r="J285" s="64" t="s">
        <v>237</v>
      </c>
    </row>
    <row r="286" customHeight="1" spans="1:10">
      <c r="A286" s="64"/>
      <c r="B286" s="64"/>
      <c r="C286" s="64" t="s">
        <v>200</v>
      </c>
      <c r="D286" s="64">
        <v>31</v>
      </c>
      <c r="E286" s="64">
        <v>24</v>
      </c>
      <c r="F286" s="64">
        <v>744</v>
      </c>
      <c r="G286" s="64">
        <v>624</v>
      </c>
      <c r="H286" s="65">
        <v>0.838709677419355</v>
      </c>
      <c r="I286" s="65">
        <v>1</v>
      </c>
      <c r="J286" s="64" t="s">
        <v>237</v>
      </c>
    </row>
    <row r="287" customHeight="1" spans="1:10">
      <c r="A287" s="64"/>
      <c r="B287" s="64" t="s">
        <v>252</v>
      </c>
      <c r="C287" s="64" t="s">
        <v>172</v>
      </c>
      <c r="D287" s="64">
        <v>31</v>
      </c>
      <c r="E287" s="64">
        <v>24</v>
      </c>
      <c r="F287" s="64">
        <v>744</v>
      </c>
      <c r="G287" s="64">
        <v>53.4</v>
      </c>
      <c r="H287" s="65">
        <v>0.0717741935483871</v>
      </c>
      <c r="I287" s="65">
        <v>1</v>
      </c>
      <c r="J287" s="64"/>
    </row>
    <row r="288" customHeight="1" spans="1:10">
      <c r="A288" s="64"/>
      <c r="B288" s="64"/>
      <c r="C288" s="64" t="s">
        <v>173</v>
      </c>
      <c r="D288" s="64">
        <v>31</v>
      </c>
      <c r="E288" s="64">
        <v>24</v>
      </c>
      <c r="F288" s="64">
        <v>744</v>
      </c>
      <c r="G288" s="64">
        <v>0</v>
      </c>
      <c r="H288" s="65">
        <v>0</v>
      </c>
      <c r="I288" s="65">
        <v>1</v>
      </c>
      <c r="J288" s="64"/>
    </row>
    <row r="289" customHeight="1" spans="1:10">
      <c r="A289" s="64"/>
      <c r="B289" s="64"/>
      <c r="C289" s="64" t="s">
        <v>177</v>
      </c>
      <c r="D289" s="64">
        <v>31</v>
      </c>
      <c r="E289" s="64">
        <v>24</v>
      </c>
      <c r="F289" s="64">
        <v>744</v>
      </c>
      <c r="G289" s="64">
        <v>53.2</v>
      </c>
      <c r="H289" s="65">
        <v>0.071505376344086</v>
      </c>
      <c r="I289" s="65">
        <v>1</v>
      </c>
      <c r="J289" s="64"/>
    </row>
    <row r="290" customHeight="1" spans="1:10">
      <c r="A290" s="64"/>
      <c r="B290" s="64" t="s">
        <v>253</v>
      </c>
      <c r="C290" s="64" t="s">
        <v>172</v>
      </c>
      <c r="D290" s="64">
        <v>31</v>
      </c>
      <c r="E290" s="64">
        <v>24</v>
      </c>
      <c r="F290" s="64">
        <v>744</v>
      </c>
      <c r="G290" s="64">
        <v>40.6</v>
      </c>
      <c r="H290" s="65">
        <v>0.0545698924731183</v>
      </c>
      <c r="I290" s="65">
        <v>1</v>
      </c>
      <c r="J290" s="64"/>
    </row>
    <row r="291" customHeight="1" spans="1:10">
      <c r="A291" s="64"/>
      <c r="B291" s="64"/>
      <c r="C291" s="64" t="s">
        <v>173</v>
      </c>
      <c r="D291" s="64">
        <v>31</v>
      </c>
      <c r="E291" s="64">
        <v>24</v>
      </c>
      <c r="F291" s="64">
        <v>744</v>
      </c>
      <c r="G291" s="64">
        <v>40.6</v>
      </c>
      <c r="H291" s="65">
        <v>0.0545698924731183</v>
      </c>
      <c r="I291" s="65">
        <v>1</v>
      </c>
      <c r="J291" s="64"/>
    </row>
    <row r="292" customHeight="1" spans="1:10">
      <c r="A292" s="64"/>
      <c r="B292" s="64"/>
      <c r="C292" s="64" t="s">
        <v>177</v>
      </c>
      <c r="D292" s="64">
        <v>31</v>
      </c>
      <c r="E292" s="64">
        <v>24</v>
      </c>
      <c r="F292" s="64">
        <v>744</v>
      </c>
      <c r="G292" s="64">
        <v>38.3</v>
      </c>
      <c r="H292" s="65">
        <v>0.0514784946236559</v>
      </c>
      <c r="I292" s="65">
        <v>0.97</v>
      </c>
      <c r="J292" s="64"/>
    </row>
    <row r="293" ht="17" customHeight="1" spans="1:10">
      <c r="A293" s="63" t="s">
        <v>254</v>
      </c>
      <c r="B293" s="81" t="s">
        <v>255</v>
      </c>
      <c r="C293" s="64" t="s">
        <v>172</v>
      </c>
      <c r="D293" s="64">
        <v>31</v>
      </c>
      <c r="E293" s="64">
        <v>24</v>
      </c>
      <c r="F293" s="64">
        <v>744</v>
      </c>
      <c r="G293" s="64">
        <v>744</v>
      </c>
      <c r="H293" s="65">
        <v>1</v>
      </c>
      <c r="I293" s="65">
        <v>1</v>
      </c>
      <c r="J293" s="64"/>
    </row>
    <row r="294" customHeight="1" spans="1:10">
      <c r="A294" s="64"/>
      <c r="B294" s="83"/>
      <c r="C294" s="64" t="s">
        <v>173</v>
      </c>
      <c r="D294" s="64">
        <v>31</v>
      </c>
      <c r="E294" s="64">
        <v>24</v>
      </c>
      <c r="F294" s="64">
        <v>744</v>
      </c>
      <c r="G294" s="64">
        <v>744</v>
      </c>
      <c r="H294" s="65">
        <v>1</v>
      </c>
      <c r="I294" s="65">
        <v>1</v>
      </c>
      <c r="J294" s="64"/>
    </row>
    <row r="295" customHeight="1" spans="1:10">
      <c r="A295" s="64"/>
      <c r="B295" s="83"/>
      <c r="C295" s="64" t="s">
        <v>177</v>
      </c>
      <c r="D295" s="64">
        <v>31</v>
      </c>
      <c r="E295" s="64">
        <v>24</v>
      </c>
      <c r="F295" s="64">
        <v>744</v>
      </c>
      <c r="G295" s="64">
        <v>744</v>
      </c>
      <c r="H295" s="65">
        <v>1</v>
      </c>
      <c r="I295" s="65">
        <v>1</v>
      </c>
      <c r="J295" s="64"/>
    </row>
    <row r="296" customHeight="1" spans="1:10">
      <c r="A296" s="64"/>
      <c r="B296" s="83"/>
      <c r="C296" s="64" t="s">
        <v>178</v>
      </c>
      <c r="D296" s="64">
        <v>31</v>
      </c>
      <c r="E296" s="64">
        <v>24</v>
      </c>
      <c r="F296" s="64">
        <v>744</v>
      </c>
      <c r="G296" s="64">
        <v>744</v>
      </c>
      <c r="H296" s="65">
        <v>1</v>
      </c>
      <c r="I296" s="65">
        <v>1</v>
      </c>
      <c r="J296" s="64"/>
    </row>
    <row r="297" customHeight="1" spans="1:10">
      <c r="A297" s="64"/>
      <c r="B297" s="83"/>
      <c r="C297" s="64" t="s">
        <v>179</v>
      </c>
      <c r="D297" s="64">
        <v>31</v>
      </c>
      <c r="E297" s="64">
        <v>24</v>
      </c>
      <c r="F297" s="64">
        <v>744</v>
      </c>
      <c r="G297" s="64">
        <v>0</v>
      </c>
      <c r="H297" s="65">
        <v>0</v>
      </c>
      <c r="I297" s="65">
        <v>1</v>
      </c>
      <c r="J297" s="64"/>
    </row>
    <row r="298" customHeight="1" spans="1:10">
      <c r="A298" s="64"/>
      <c r="B298" s="83"/>
      <c r="C298" s="64" t="s">
        <v>181</v>
      </c>
      <c r="D298" s="64">
        <v>31</v>
      </c>
      <c r="E298" s="64">
        <v>24</v>
      </c>
      <c r="F298" s="64">
        <v>744</v>
      </c>
      <c r="G298" s="64">
        <v>732</v>
      </c>
      <c r="H298" s="65">
        <v>0.983870967741935</v>
      </c>
      <c r="I298" s="65">
        <v>1</v>
      </c>
      <c r="J298" s="64"/>
    </row>
    <row r="299" customHeight="1" spans="1:10">
      <c r="A299" s="64"/>
      <c r="B299" s="83"/>
      <c r="C299" s="64" t="s">
        <v>191</v>
      </c>
      <c r="D299" s="64">
        <v>31</v>
      </c>
      <c r="E299" s="64">
        <v>24</v>
      </c>
      <c r="F299" s="64">
        <v>744</v>
      </c>
      <c r="G299" s="64">
        <v>124</v>
      </c>
      <c r="H299" s="65">
        <v>0.166666666666667</v>
      </c>
      <c r="I299" s="65">
        <v>1</v>
      </c>
      <c r="J299" s="64"/>
    </row>
    <row r="300" customHeight="1" spans="1:10">
      <c r="A300" s="64"/>
      <c r="B300" s="85"/>
      <c r="C300" s="64" t="s">
        <v>192</v>
      </c>
      <c r="D300" s="64">
        <v>31</v>
      </c>
      <c r="E300" s="64">
        <v>24</v>
      </c>
      <c r="F300" s="64">
        <v>744</v>
      </c>
      <c r="G300" s="64">
        <v>50</v>
      </c>
      <c r="H300" s="65">
        <v>0.0672043010752688</v>
      </c>
      <c r="I300" s="65">
        <v>1</v>
      </c>
      <c r="J300" s="64" t="s">
        <v>256</v>
      </c>
    </row>
    <row r="301" customHeight="1" spans="1:10">
      <c r="A301" s="64"/>
      <c r="B301" s="81" t="s">
        <v>257</v>
      </c>
      <c r="C301" s="64" t="s">
        <v>193</v>
      </c>
      <c r="D301" s="64">
        <v>31</v>
      </c>
      <c r="E301" s="64">
        <v>24</v>
      </c>
      <c r="F301" s="64">
        <v>744</v>
      </c>
      <c r="G301" s="64">
        <v>150</v>
      </c>
      <c r="H301" s="65">
        <v>0.201612903225806</v>
      </c>
      <c r="I301" s="65">
        <v>1</v>
      </c>
      <c r="J301" s="64"/>
    </row>
    <row r="302" customHeight="1" spans="1:10">
      <c r="A302" s="64"/>
      <c r="B302" s="83"/>
      <c r="C302" s="64" t="s">
        <v>194</v>
      </c>
      <c r="D302" s="64">
        <v>31</v>
      </c>
      <c r="E302" s="64">
        <v>24</v>
      </c>
      <c r="F302" s="64">
        <v>744</v>
      </c>
      <c r="G302" s="64">
        <v>94</v>
      </c>
      <c r="H302" s="65">
        <v>0.126344086021505</v>
      </c>
      <c r="I302" s="65">
        <v>1</v>
      </c>
      <c r="J302" s="64"/>
    </row>
    <row r="303" customHeight="1" spans="1:10">
      <c r="A303" s="64"/>
      <c r="B303" s="83"/>
      <c r="C303" s="64" t="s">
        <v>195</v>
      </c>
      <c r="D303" s="64">
        <v>31</v>
      </c>
      <c r="E303" s="64">
        <v>24</v>
      </c>
      <c r="F303" s="64">
        <v>744</v>
      </c>
      <c r="G303" s="64">
        <v>660</v>
      </c>
      <c r="H303" s="65">
        <v>0.887096774193548</v>
      </c>
      <c r="I303" s="65">
        <v>1</v>
      </c>
      <c r="J303" s="64"/>
    </row>
    <row r="304" customHeight="1" spans="1:10">
      <c r="A304" s="64"/>
      <c r="B304" s="83"/>
      <c r="C304" s="64" t="s">
        <v>196</v>
      </c>
      <c r="D304" s="64">
        <v>31</v>
      </c>
      <c r="E304" s="64">
        <v>24</v>
      </c>
      <c r="F304" s="64">
        <v>744</v>
      </c>
      <c r="G304" s="64">
        <v>672</v>
      </c>
      <c r="H304" s="65">
        <v>0.903225806451613</v>
      </c>
      <c r="I304" s="65">
        <v>1</v>
      </c>
      <c r="J304" s="64" t="s">
        <v>258</v>
      </c>
    </row>
    <row r="305" customHeight="1" spans="1:10">
      <c r="A305" s="64"/>
      <c r="B305" s="64" t="s">
        <v>259</v>
      </c>
      <c r="C305" s="64" t="s">
        <v>172</v>
      </c>
      <c r="D305" s="64">
        <v>31</v>
      </c>
      <c r="E305" s="64">
        <v>24</v>
      </c>
      <c r="F305" s="64">
        <v>744</v>
      </c>
      <c r="G305" s="64">
        <v>0</v>
      </c>
      <c r="H305" s="65">
        <v>0</v>
      </c>
      <c r="I305" s="65">
        <v>1</v>
      </c>
      <c r="J305" s="64"/>
    </row>
    <row r="306" customHeight="1" spans="1:10">
      <c r="A306" s="64"/>
      <c r="B306" s="64"/>
      <c r="C306" s="64" t="s">
        <v>173</v>
      </c>
      <c r="D306" s="64">
        <v>31</v>
      </c>
      <c r="E306" s="64">
        <v>24</v>
      </c>
      <c r="F306" s="64">
        <v>744</v>
      </c>
      <c r="G306" s="64">
        <v>744</v>
      </c>
      <c r="H306" s="65">
        <v>1</v>
      </c>
      <c r="I306" s="65">
        <v>1</v>
      </c>
      <c r="J306" s="64"/>
    </row>
    <row r="307" customHeight="1" spans="1:10">
      <c r="A307" s="64"/>
      <c r="B307" s="64"/>
      <c r="C307" s="64" t="s">
        <v>177</v>
      </c>
      <c r="D307" s="64">
        <v>31</v>
      </c>
      <c r="E307" s="64">
        <v>24</v>
      </c>
      <c r="F307" s="64">
        <v>744</v>
      </c>
      <c r="G307" s="64">
        <v>0</v>
      </c>
      <c r="H307" s="65">
        <v>0</v>
      </c>
      <c r="I307" s="65">
        <v>1</v>
      </c>
      <c r="J307" s="64"/>
    </row>
    <row r="308" customHeight="1" spans="1:10">
      <c r="A308" s="63" t="s">
        <v>260</v>
      </c>
      <c r="B308" s="64" t="s">
        <v>261</v>
      </c>
      <c r="C308" s="64" t="s">
        <v>172</v>
      </c>
      <c r="D308" s="64">
        <v>31</v>
      </c>
      <c r="E308" s="64">
        <v>24</v>
      </c>
      <c r="F308" s="64">
        <v>744</v>
      </c>
      <c r="G308" s="64">
        <v>744</v>
      </c>
      <c r="H308" s="65">
        <v>1</v>
      </c>
      <c r="I308" s="65">
        <v>1</v>
      </c>
      <c r="J308" s="64"/>
    </row>
    <row r="309" customHeight="1" spans="1:10">
      <c r="A309" s="64"/>
      <c r="B309" s="64"/>
      <c r="C309" s="64" t="s">
        <v>173</v>
      </c>
      <c r="D309" s="64">
        <v>31</v>
      </c>
      <c r="E309" s="64">
        <v>24</v>
      </c>
      <c r="F309" s="64">
        <v>744</v>
      </c>
      <c r="G309" s="64">
        <v>744</v>
      </c>
      <c r="H309" s="65">
        <v>1</v>
      </c>
      <c r="I309" s="65">
        <v>1</v>
      </c>
      <c r="J309" s="64"/>
    </row>
    <row r="310" customHeight="1" spans="1:10">
      <c r="A310" s="64"/>
      <c r="B310" s="64" t="s">
        <v>262</v>
      </c>
      <c r="C310" s="64" t="s">
        <v>172</v>
      </c>
      <c r="D310" s="64">
        <v>31</v>
      </c>
      <c r="E310" s="64">
        <v>24</v>
      </c>
      <c r="F310" s="64">
        <v>744</v>
      </c>
      <c r="G310" s="64">
        <v>734</v>
      </c>
      <c r="H310" s="65">
        <v>0.986559139784946</v>
      </c>
      <c r="I310" s="65">
        <v>1</v>
      </c>
      <c r="J310" s="64" t="s">
        <v>263</v>
      </c>
    </row>
    <row r="311" customHeight="1" spans="1:10">
      <c r="A311" s="64"/>
      <c r="B311" s="64"/>
      <c r="C311" s="64" t="s">
        <v>173</v>
      </c>
      <c r="D311" s="64">
        <v>31</v>
      </c>
      <c r="E311" s="64">
        <v>24</v>
      </c>
      <c r="F311" s="64">
        <v>744</v>
      </c>
      <c r="G311" s="64">
        <v>0</v>
      </c>
      <c r="H311" s="65">
        <v>0</v>
      </c>
      <c r="I311" s="65">
        <v>1</v>
      </c>
      <c r="J311" s="64" t="s">
        <v>263</v>
      </c>
    </row>
    <row r="312" customHeight="1" spans="1:10">
      <c r="A312" s="64"/>
      <c r="B312" s="64"/>
      <c r="C312" s="64" t="s">
        <v>177</v>
      </c>
      <c r="D312" s="64">
        <v>31</v>
      </c>
      <c r="E312" s="64">
        <v>24</v>
      </c>
      <c r="F312" s="64">
        <v>744</v>
      </c>
      <c r="G312" s="64">
        <v>656</v>
      </c>
      <c r="H312" s="65">
        <v>0.881720430107527</v>
      </c>
      <c r="I312" s="65">
        <v>0.97</v>
      </c>
      <c r="J312" s="64" t="s">
        <v>263</v>
      </c>
    </row>
    <row r="313" ht="18" customHeight="1" spans="1:10">
      <c r="A313" s="64"/>
      <c r="B313" s="64" t="s">
        <v>264</v>
      </c>
      <c r="C313" s="64" t="s">
        <v>172</v>
      </c>
      <c r="D313" s="64">
        <v>31</v>
      </c>
      <c r="E313" s="64">
        <v>24</v>
      </c>
      <c r="F313" s="64">
        <v>744</v>
      </c>
      <c r="G313" s="64">
        <v>734</v>
      </c>
      <c r="H313" s="65">
        <v>0.986559139784946</v>
      </c>
      <c r="I313" s="65">
        <v>0.99</v>
      </c>
      <c r="J313" s="63" t="s">
        <v>265</v>
      </c>
    </row>
    <row r="314" ht="27" customHeight="1" spans="1:10">
      <c r="A314" s="64"/>
      <c r="B314" s="64"/>
      <c r="C314" s="64" t="s">
        <v>173</v>
      </c>
      <c r="D314" s="64">
        <v>31</v>
      </c>
      <c r="E314" s="64">
        <v>24</v>
      </c>
      <c r="F314" s="64">
        <v>744</v>
      </c>
      <c r="G314" s="64">
        <v>656</v>
      </c>
      <c r="H314" s="65">
        <v>0.881720430107527</v>
      </c>
      <c r="I314" s="65">
        <v>0.87</v>
      </c>
      <c r="J314" s="63" t="s">
        <v>266</v>
      </c>
    </row>
    <row r="315" ht="24" customHeight="1" spans="1:10">
      <c r="A315" s="66" t="s">
        <v>61</v>
      </c>
      <c r="B315" s="66"/>
      <c r="C315" s="67"/>
      <c r="D315" s="67"/>
      <c r="E315" s="68" t="s">
        <v>62</v>
      </c>
      <c r="F315" s="68"/>
      <c r="G315" s="69"/>
      <c r="H315" s="70" t="s">
        <v>187</v>
      </c>
      <c r="I315" s="70"/>
      <c r="J315" s="70"/>
    </row>
    <row r="316" ht="27" customHeight="1"/>
  </sheetData>
  <mergeCells count="145">
    <mergeCell ref="A1:J1"/>
    <mergeCell ref="A2:J2"/>
    <mergeCell ref="H38:J38"/>
    <mergeCell ref="A46:J46"/>
    <mergeCell ref="A47:J47"/>
    <mergeCell ref="H87:J87"/>
    <mergeCell ref="A91:J91"/>
    <mergeCell ref="A92:J92"/>
    <mergeCell ref="H133:J133"/>
    <mergeCell ref="A136:J136"/>
    <mergeCell ref="A137:J137"/>
    <mergeCell ref="H179:J179"/>
    <mergeCell ref="A181:J181"/>
    <mergeCell ref="A182:J182"/>
    <mergeCell ref="H223:J223"/>
    <mergeCell ref="A226:J226"/>
    <mergeCell ref="A227:J227"/>
    <mergeCell ref="H270:J270"/>
    <mergeCell ref="A271:J271"/>
    <mergeCell ref="A272:J272"/>
    <mergeCell ref="H315:J315"/>
    <mergeCell ref="A3:A5"/>
    <mergeCell ref="A6:A37"/>
    <mergeCell ref="A48:A50"/>
    <mergeCell ref="A51:A86"/>
    <mergeCell ref="A93:A95"/>
    <mergeCell ref="A96:A110"/>
    <mergeCell ref="A111:A132"/>
    <mergeCell ref="A138:A140"/>
    <mergeCell ref="A141:A160"/>
    <mergeCell ref="A161:A178"/>
    <mergeCell ref="A183:A185"/>
    <mergeCell ref="A186:A214"/>
    <mergeCell ref="A215:A222"/>
    <mergeCell ref="A228:A230"/>
    <mergeCell ref="A231:A269"/>
    <mergeCell ref="A273:A275"/>
    <mergeCell ref="A276:A292"/>
    <mergeCell ref="A293:A307"/>
    <mergeCell ref="A308:A314"/>
    <mergeCell ref="B3:B5"/>
    <mergeCell ref="B6:B7"/>
    <mergeCell ref="B10:B14"/>
    <mergeCell ref="B15:B20"/>
    <mergeCell ref="B21:B22"/>
    <mergeCell ref="B23:B24"/>
    <mergeCell ref="B33:B37"/>
    <mergeCell ref="B48:B50"/>
    <mergeCell ref="B51:B68"/>
    <mergeCell ref="B69:B86"/>
    <mergeCell ref="B93:B95"/>
    <mergeCell ref="B96:B97"/>
    <mergeCell ref="B98:B103"/>
    <mergeCell ref="B104:B106"/>
    <mergeCell ref="B107:B110"/>
    <mergeCell ref="B111:B132"/>
    <mergeCell ref="B138:B140"/>
    <mergeCell ref="B141:B146"/>
    <mergeCell ref="B147:B148"/>
    <mergeCell ref="B149:B151"/>
    <mergeCell ref="B152:B154"/>
    <mergeCell ref="B155:B160"/>
    <mergeCell ref="B161:B178"/>
    <mergeCell ref="B183:B185"/>
    <mergeCell ref="B186:B203"/>
    <mergeCell ref="B204:B205"/>
    <mergeCell ref="B206:B208"/>
    <mergeCell ref="B209:B214"/>
    <mergeCell ref="B215:B218"/>
    <mergeCell ref="B219:B222"/>
    <mergeCell ref="B228:B230"/>
    <mergeCell ref="B231:B234"/>
    <mergeCell ref="B235:B240"/>
    <mergeCell ref="B241:B244"/>
    <mergeCell ref="B245:B253"/>
    <mergeCell ref="B254:B261"/>
    <mergeCell ref="B262:B264"/>
    <mergeCell ref="B265:B269"/>
    <mergeCell ref="B273:B275"/>
    <mergeCell ref="B276:B278"/>
    <mergeCell ref="B279:B286"/>
    <mergeCell ref="B287:B289"/>
    <mergeCell ref="B290:B292"/>
    <mergeCell ref="B293:B300"/>
    <mergeCell ref="B301:B304"/>
    <mergeCell ref="B305:B307"/>
    <mergeCell ref="B308:B309"/>
    <mergeCell ref="B310:B312"/>
    <mergeCell ref="B313:B314"/>
    <mergeCell ref="C3:C5"/>
    <mergeCell ref="C48:C50"/>
    <mergeCell ref="C93:C95"/>
    <mergeCell ref="C138:C140"/>
    <mergeCell ref="C183:C185"/>
    <mergeCell ref="C228:C230"/>
    <mergeCell ref="C273:C275"/>
    <mergeCell ref="D3:D4"/>
    <mergeCell ref="D48:D49"/>
    <mergeCell ref="D93:D94"/>
    <mergeCell ref="D138:D139"/>
    <mergeCell ref="D183:D184"/>
    <mergeCell ref="D228:D229"/>
    <mergeCell ref="D273:D274"/>
    <mergeCell ref="E3:E4"/>
    <mergeCell ref="E48:E49"/>
    <mergeCell ref="E93:E94"/>
    <mergeCell ref="E138:E139"/>
    <mergeCell ref="E183:E184"/>
    <mergeCell ref="E228:E229"/>
    <mergeCell ref="E273:E274"/>
    <mergeCell ref="F3:F4"/>
    <mergeCell ref="F48:F49"/>
    <mergeCell ref="F93:F94"/>
    <mergeCell ref="F138:F139"/>
    <mergeCell ref="F183:F184"/>
    <mergeCell ref="F228:F229"/>
    <mergeCell ref="F273:F274"/>
    <mergeCell ref="G3:G4"/>
    <mergeCell ref="G48:G49"/>
    <mergeCell ref="G93:G94"/>
    <mergeCell ref="G138:G139"/>
    <mergeCell ref="G183:G184"/>
    <mergeCell ref="G228:G229"/>
    <mergeCell ref="G273:G274"/>
    <mergeCell ref="H3:H4"/>
    <mergeCell ref="H48:H49"/>
    <mergeCell ref="H93:H94"/>
    <mergeCell ref="H138:H139"/>
    <mergeCell ref="H183:H184"/>
    <mergeCell ref="H228:H229"/>
    <mergeCell ref="H273:H274"/>
    <mergeCell ref="I3:I4"/>
    <mergeCell ref="I48:I49"/>
    <mergeCell ref="I93:I94"/>
    <mergeCell ref="I138:I139"/>
    <mergeCell ref="I183:I184"/>
    <mergeCell ref="I228:I229"/>
    <mergeCell ref="I273:I274"/>
    <mergeCell ref="J3:J5"/>
    <mergeCell ref="J48:J50"/>
    <mergeCell ref="J93:J95"/>
    <mergeCell ref="J138:J140"/>
    <mergeCell ref="J183:J185"/>
    <mergeCell ref="J228:J230"/>
    <mergeCell ref="J273:J275"/>
  </mergeCells>
  <printOptions horizontalCentered="1" verticalCentered="1"/>
  <pageMargins left="0.39" right="0.39" top="0.39" bottom="0.39" header="0.51" footer="0.16"/>
  <pageSetup paperSize="9" orientation="portrait" horizontalDpi="300" verticalDpi="300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opLeftCell="A16" workbookViewId="0">
      <selection activeCell="G29" sqref="G29"/>
    </sheetView>
  </sheetViews>
  <sheetFormatPr defaultColWidth="8.75" defaultRowHeight="14.25"/>
  <cols>
    <col min="1" max="1" width="17" style="26" customWidth="1"/>
    <col min="2" max="2" width="15.75" style="26" customWidth="1"/>
    <col min="3" max="3" width="17.875" style="26" customWidth="1"/>
    <col min="4" max="4" width="19.875" style="26" customWidth="1"/>
    <col min="5" max="5" width="14.75" style="26" customWidth="1"/>
    <col min="6" max="7" width="17.875" style="26" customWidth="1"/>
    <col min="8" max="32" width="9" style="26"/>
    <col min="33" max="16384" width="8.75" style="26"/>
  </cols>
  <sheetData>
    <row r="1" ht="25.5" spans="1:9">
      <c r="A1" s="27" t="s">
        <v>66</v>
      </c>
      <c r="B1" s="28"/>
      <c r="C1" s="28"/>
      <c r="D1" s="28"/>
      <c r="E1" s="28"/>
      <c r="F1" s="28"/>
      <c r="G1" s="28"/>
      <c r="H1" s="29"/>
      <c r="I1" s="29"/>
    </row>
    <row r="2" spans="3:6">
      <c r="C2" s="30"/>
      <c r="D2" s="31">
        <v>44256</v>
      </c>
      <c r="E2" s="32"/>
      <c r="F2" s="30"/>
    </row>
    <row r="3" ht="20.25" customHeight="1" spans="1:7">
      <c r="A3" s="33" t="s">
        <v>267</v>
      </c>
      <c r="B3" s="33" t="s">
        <v>158</v>
      </c>
      <c r="C3" s="33" t="s">
        <v>268</v>
      </c>
      <c r="D3" s="33" t="s">
        <v>269</v>
      </c>
      <c r="E3" s="33" t="s">
        <v>270</v>
      </c>
      <c r="F3" s="33" t="s">
        <v>271</v>
      </c>
      <c r="G3" s="34" t="s">
        <v>123</v>
      </c>
    </row>
    <row r="4" ht="22.5" spans="1:8">
      <c r="A4" s="35" t="s">
        <v>272</v>
      </c>
      <c r="B4" s="36" t="s">
        <v>273</v>
      </c>
      <c r="C4" s="36" t="s">
        <v>274</v>
      </c>
      <c r="D4" s="33" t="s">
        <v>275</v>
      </c>
      <c r="E4" s="33" t="s">
        <v>276</v>
      </c>
      <c r="F4" s="37" t="s">
        <v>277</v>
      </c>
      <c r="G4" s="38" t="s">
        <v>278</v>
      </c>
      <c r="H4" s="39"/>
    </row>
    <row r="5" ht="22.5" spans="1:7">
      <c r="A5" s="40"/>
      <c r="B5" s="36" t="s">
        <v>279</v>
      </c>
      <c r="C5" s="36" t="s">
        <v>274</v>
      </c>
      <c r="D5" s="33" t="s">
        <v>275</v>
      </c>
      <c r="E5" s="33" t="s">
        <v>276</v>
      </c>
      <c r="F5" s="33" t="s">
        <v>277</v>
      </c>
      <c r="G5" s="38" t="str">
        <f>G4</f>
        <v>2021-03-05 2021-03-12 2021-03-19 2021-03-26</v>
      </c>
    </row>
    <row r="6" ht="22.5" spans="1:7">
      <c r="A6" s="40"/>
      <c r="B6" s="36" t="s">
        <v>280</v>
      </c>
      <c r="C6" s="36" t="s">
        <v>274</v>
      </c>
      <c r="D6" s="33" t="s">
        <v>275</v>
      </c>
      <c r="E6" s="33" t="s">
        <v>276</v>
      </c>
      <c r="F6" s="33" t="s">
        <v>277</v>
      </c>
      <c r="G6" s="38" t="str">
        <f t="shared" ref="G6:G20" si="0">G5</f>
        <v>2021-03-05 2021-03-12 2021-03-19 2021-03-26</v>
      </c>
    </row>
    <row r="7" ht="22.5" spans="1:7">
      <c r="A7" s="41"/>
      <c r="B7" s="36" t="s">
        <v>281</v>
      </c>
      <c r="C7" s="36" t="s">
        <v>274</v>
      </c>
      <c r="D7" s="33" t="s">
        <v>275</v>
      </c>
      <c r="E7" s="33" t="s">
        <v>276</v>
      </c>
      <c r="F7" s="33" t="s">
        <v>277</v>
      </c>
      <c r="G7" s="38" t="str">
        <f t="shared" si="0"/>
        <v>2021-03-05 2021-03-12 2021-03-19 2021-03-26</v>
      </c>
    </row>
    <row r="8" ht="22.5" spans="1:7">
      <c r="A8" s="35" t="s">
        <v>282</v>
      </c>
      <c r="B8" s="36" t="s">
        <v>273</v>
      </c>
      <c r="C8" s="36" t="s">
        <v>283</v>
      </c>
      <c r="D8" s="33" t="s">
        <v>275</v>
      </c>
      <c r="E8" s="33" t="s">
        <v>276</v>
      </c>
      <c r="F8" s="33" t="s">
        <v>277</v>
      </c>
      <c r="G8" s="38" t="str">
        <f t="shared" si="0"/>
        <v>2021-03-05 2021-03-12 2021-03-19 2021-03-26</v>
      </c>
    </row>
    <row r="9" ht="22.5" spans="1:7">
      <c r="A9" s="40"/>
      <c r="B9" s="36" t="s">
        <v>279</v>
      </c>
      <c r="C9" s="36" t="s">
        <v>283</v>
      </c>
      <c r="D9" s="33" t="s">
        <v>275</v>
      </c>
      <c r="E9" s="33" t="s">
        <v>276</v>
      </c>
      <c r="F9" s="33" t="s">
        <v>277</v>
      </c>
      <c r="G9" s="38" t="str">
        <f t="shared" si="0"/>
        <v>2021-03-05 2021-03-12 2021-03-19 2021-03-26</v>
      </c>
    </row>
    <row r="10" ht="22.5" spans="1:7">
      <c r="A10" s="40"/>
      <c r="B10" s="36" t="s">
        <v>280</v>
      </c>
      <c r="C10" s="36" t="s">
        <v>283</v>
      </c>
      <c r="D10" s="33" t="s">
        <v>275</v>
      </c>
      <c r="E10" s="33" t="s">
        <v>276</v>
      </c>
      <c r="F10" s="33" t="s">
        <v>277</v>
      </c>
      <c r="G10" s="38" t="str">
        <f t="shared" si="0"/>
        <v>2021-03-05 2021-03-12 2021-03-19 2021-03-26</v>
      </c>
    </row>
    <row r="11" ht="22.5" spans="1:7">
      <c r="A11" s="41"/>
      <c r="B11" s="36" t="s">
        <v>281</v>
      </c>
      <c r="C11" s="36" t="s">
        <v>283</v>
      </c>
      <c r="D11" s="33" t="s">
        <v>275</v>
      </c>
      <c r="E11" s="33" t="s">
        <v>276</v>
      </c>
      <c r="F11" s="33" t="s">
        <v>277</v>
      </c>
      <c r="G11" s="38" t="str">
        <f t="shared" si="0"/>
        <v>2021-03-05 2021-03-12 2021-03-19 2021-03-26</v>
      </c>
    </row>
    <row r="12" ht="24" customHeight="1" spans="1:7">
      <c r="A12" s="36" t="s">
        <v>284</v>
      </c>
      <c r="B12" s="36" t="s">
        <v>172</v>
      </c>
      <c r="C12" s="33" t="s">
        <v>285</v>
      </c>
      <c r="D12" s="33" t="s">
        <v>286</v>
      </c>
      <c r="E12" s="33" t="s">
        <v>276</v>
      </c>
      <c r="F12" s="33" t="s">
        <v>287</v>
      </c>
      <c r="G12" s="38" t="str">
        <f t="shared" si="0"/>
        <v>2021-03-05 2021-03-12 2021-03-19 2021-03-26</v>
      </c>
    </row>
    <row r="13" ht="22.5" spans="1:7">
      <c r="A13" s="35" t="s">
        <v>288</v>
      </c>
      <c r="B13" s="36" t="s">
        <v>273</v>
      </c>
      <c r="C13" s="33" t="s">
        <v>289</v>
      </c>
      <c r="D13" s="33" t="s">
        <v>290</v>
      </c>
      <c r="E13" s="33" t="s">
        <v>276</v>
      </c>
      <c r="F13" s="33" t="s">
        <v>277</v>
      </c>
      <c r="G13" s="38" t="str">
        <f t="shared" si="0"/>
        <v>2021-03-05 2021-03-12 2021-03-19 2021-03-26</v>
      </c>
    </row>
    <row r="14" ht="22.5" spans="1:7">
      <c r="A14" s="40"/>
      <c r="B14" s="36" t="s">
        <v>279</v>
      </c>
      <c r="C14" s="33" t="s">
        <v>289</v>
      </c>
      <c r="D14" s="33" t="s">
        <v>290</v>
      </c>
      <c r="E14" s="33" t="s">
        <v>276</v>
      </c>
      <c r="F14" s="33" t="s">
        <v>277</v>
      </c>
      <c r="G14" s="38" t="str">
        <f t="shared" si="0"/>
        <v>2021-03-05 2021-03-12 2021-03-19 2021-03-26</v>
      </c>
    </row>
    <row r="15" ht="22.5" spans="1:7">
      <c r="A15" s="40"/>
      <c r="B15" s="36" t="s">
        <v>280</v>
      </c>
      <c r="C15" s="33" t="s">
        <v>289</v>
      </c>
      <c r="D15" s="33" t="s">
        <v>290</v>
      </c>
      <c r="E15" s="33" t="s">
        <v>276</v>
      </c>
      <c r="F15" s="33" t="s">
        <v>277</v>
      </c>
      <c r="G15" s="38" t="str">
        <f t="shared" si="0"/>
        <v>2021-03-05 2021-03-12 2021-03-19 2021-03-26</v>
      </c>
    </row>
    <row r="16" ht="22.5" spans="1:7">
      <c r="A16" s="41"/>
      <c r="B16" s="36" t="s">
        <v>281</v>
      </c>
      <c r="C16" s="33" t="s">
        <v>289</v>
      </c>
      <c r="D16" s="33" t="s">
        <v>290</v>
      </c>
      <c r="E16" s="33" t="s">
        <v>276</v>
      </c>
      <c r="F16" s="33" t="s">
        <v>277</v>
      </c>
      <c r="G16" s="38" t="str">
        <f t="shared" si="0"/>
        <v>2021-03-05 2021-03-12 2021-03-19 2021-03-26</v>
      </c>
    </row>
    <row r="17" ht="22.5" spans="1:7">
      <c r="A17" s="33" t="s">
        <v>291</v>
      </c>
      <c r="B17" s="36" t="s">
        <v>273</v>
      </c>
      <c r="C17" s="33" t="s">
        <v>292</v>
      </c>
      <c r="D17" s="33" t="s">
        <v>290</v>
      </c>
      <c r="E17" s="33" t="s">
        <v>276</v>
      </c>
      <c r="F17" s="33" t="s">
        <v>277</v>
      </c>
      <c r="G17" s="38" t="str">
        <f t="shared" si="0"/>
        <v>2021-03-05 2021-03-12 2021-03-19 2021-03-26</v>
      </c>
    </row>
    <row r="18" ht="22.5" spans="1:7">
      <c r="A18" s="33"/>
      <c r="B18" s="36" t="s">
        <v>279</v>
      </c>
      <c r="C18" s="36" t="s">
        <v>283</v>
      </c>
      <c r="D18" s="33" t="s">
        <v>290</v>
      </c>
      <c r="E18" s="33" t="s">
        <v>276</v>
      </c>
      <c r="F18" s="33" t="s">
        <v>277</v>
      </c>
      <c r="G18" s="38" t="str">
        <f t="shared" si="0"/>
        <v>2021-03-05 2021-03-12 2021-03-19 2021-03-26</v>
      </c>
    </row>
    <row r="19" ht="22.5" spans="1:7">
      <c r="A19" s="33"/>
      <c r="B19" s="36" t="s">
        <v>280</v>
      </c>
      <c r="C19" s="33" t="s">
        <v>292</v>
      </c>
      <c r="D19" s="33" t="s">
        <v>290</v>
      </c>
      <c r="E19" s="33" t="s">
        <v>276</v>
      </c>
      <c r="F19" s="33" t="s">
        <v>277</v>
      </c>
      <c r="G19" s="38" t="str">
        <f t="shared" si="0"/>
        <v>2021-03-05 2021-03-12 2021-03-19 2021-03-26</v>
      </c>
    </row>
    <row r="20" ht="22.5" spans="1:7">
      <c r="A20" s="33"/>
      <c r="B20" s="36" t="s">
        <v>281</v>
      </c>
      <c r="C20" s="36" t="s">
        <v>283</v>
      </c>
      <c r="D20" s="33" t="s">
        <v>290</v>
      </c>
      <c r="E20" s="33" t="s">
        <v>276</v>
      </c>
      <c r="F20" s="33" t="s">
        <v>277</v>
      </c>
      <c r="G20" s="38" t="str">
        <f t="shared" si="0"/>
        <v>2021-03-05 2021-03-12 2021-03-19 2021-03-26</v>
      </c>
    </row>
    <row r="21" ht="20.25" customHeight="1" spans="1:7">
      <c r="A21" s="42" t="s">
        <v>61</v>
      </c>
      <c r="B21" s="42"/>
      <c r="C21" s="42"/>
      <c r="D21" s="42" t="s">
        <v>62</v>
      </c>
      <c r="E21" s="42"/>
      <c r="F21" s="42" t="s">
        <v>293</v>
      </c>
      <c r="G21" s="42"/>
    </row>
    <row r="22" ht="20.25" customHeight="1" spans="1:7">
      <c r="A22" s="43"/>
      <c r="B22" s="43"/>
      <c r="C22" s="43"/>
      <c r="D22" s="43"/>
      <c r="E22" s="43"/>
      <c r="F22" s="43"/>
      <c r="G22" s="43"/>
    </row>
    <row r="23" spans="1:7">
      <c r="A23" s="44"/>
      <c r="B23" s="45"/>
      <c r="C23" s="44"/>
      <c r="D23" s="44"/>
      <c r="E23" s="45"/>
      <c r="F23" s="44"/>
      <c r="G23" s="45"/>
    </row>
    <row r="24" spans="1:7">
      <c r="A24" s="46"/>
      <c r="B24" s="47"/>
      <c r="C24" s="46"/>
      <c r="D24" s="46"/>
      <c r="E24" s="47"/>
      <c r="F24" s="46"/>
      <c r="G24" s="47"/>
    </row>
    <row r="25" ht="21" customHeight="1" spans="1:7">
      <c r="A25" s="27" t="s">
        <v>66</v>
      </c>
      <c r="B25" s="28"/>
      <c r="C25" s="28"/>
      <c r="D25" s="28"/>
      <c r="E25" s="28"/>
      <c r="F25" s="28"/>
      <c r="G25" s="28"/>
    </row>
    <row r="26" spans="3:6">
      <c r="C26" s="30"/>
      <c r="D26" s="48">
        <f>D2</f>
        <v>44256</v>
      </c>
      <c r="E26" s="49"/>
      <c r="F26" s="30"/>
    </row>
    <row r="27" ht="18.75" customHeight="1" spans="1:7">
      <c r="A27" s="33" t="s">
        <v>267</v>
      </c>
      <c r="B27" s="33" t="s">
        <v>158</v>
      </c>
      <c r="C27" s="33" t="s">
        <v>268</v>
      </c>
      <c r="D27" s="33" t="s">
        <v>269</v>
      </c>
      <c r="E27" s="33" t="s">
        <v>270</v>
      </c>
      <c r="F27" s="33" t="s">
        <v>271</v>
      </c>
      <c r="G27" s="33" t="s">
        <v>123</v>
      </c>
    </row>
    <row r="28" ht="19.5" customHeight="1" spans="1:7">
      <c r="A28" s="33" t="s">
        <v>294</v>
      </c>
      <c r="B28" s="50" t="s">
        <v>273</v>
      </c>
      <c r="C28" s="50" t="s">
        <v>283</v>
      </c>
      <c r="D28" s="33" t="s">
        <v>275</v>
      </c>
      <c r="E28" s="36" t="s">
        <v>276</v>
      </c>
      <c r="F28" s="33" t="s">
        <v>287</v>
      </c>
      <c r="G28" s="51">
        <v>44258</v>
      </c>
    </row>
    <row r="29" ht="19.5" customHeight="1" spans="1:7">
      <c r="A29" s="33"/>
      <c r="B29" s="50" t="s">
        <v>281</v>
      </c>
      <c r="C29" s="50" t="s">
        <v>283</v>
      </c>
      <c r="D29" s="33" t="s">
        <v>275</v>
      </c>
      <c r="E29" s="36" t="s">
        <v>276</v>
      </c>
      <c r="F29" s="33" t="s">
        <v>287</v>
      </c>
      <c r="G29" s="51">
        <f>G28</f>
        <v>44258</v>
      </c>
    </row>
    <row r="30" ht="19.5" customHeight="1" spans="1:7">
      <c r="A30" s="33" t="s">
        <v>295</v>
      </c>
      <c r="B30" s="50" t="s">
        <v>273</v>
      </c>
      <c r="C30" s="36" t="s">
        <v>285</v>
      </c>
      <c r="D30" s="33" t="s">
        <v>290</v>
      </c>
      <c r="E30" s="36" t="s">
        <v>276</v>
      </c>
      <c r="F30" s="33" t="s">
        <v>287</v>
      </c>
      <c r="G30" s="51">
        <f>G29</f>
        <v>44258</v>
      </c>
    </row>
    <row r="31" ht="19.5" customHeight="1" spans="1:7">
      <c r="A31" s="33"/>
      <c r="B31" s="50" t="s">
        <v>281</v>
      </c>
      <c r="C31" s="36" t="s">
        <v>285</v>
      </c>
      <c r="D31" s="33" t="s">
        <v>290</v>
      </c>
      <c r="E31" s="36" t="s">
        <v>276</v>
      </c>
      <c r="F31" s="33" t="s">
        <v>287</v>
      </c>
      <c r="G31" s="51">
        <f>G30</f>
        <v>44258</v>
      </c>
    </row>
    <row r="32" ht="20.25" customHeight="1" spans="1:7">
      <c r="A32" s="42" t="s">
        <v>61</v>
      </c>
      <c r="B32" s="42"/>
      <c r="C32" s="42"/>
      <c r="D32" s="42" t="s">
        <v>62</v>
      </c>
      <c r="E32" s="42"/>
      <c r="F32" s="42" t="str">
        <f>F21</f>
        <v>制表日期：2021/4/5</v>
      </c>
      <c r="G32" s="42"/>
    </row>
  </sheetData>
  <mergeCells count="8">
    <mergeCell ref="A1:G1"/>
    <mergeCell ref="A25:G25"/>
    <mergeCell ref="A4:A7"/>
    <mergeCell ref="A8:A11"/>
    <mergeCell ref="A13:A16"/>
    <mergeCell ref="A17:A20"/>
    <mergeCell ref="A28:A29"/>
    <mergeCell ref="A30:A31"/>
  </mergeCells>
  <pageMargins left="0.71" right="0.71" top="0.39" bottom="0.39" header="0.31" footer="0.31"/>
  <pageSetup paperSize="9" orientation="landscape" horizontalDpi="300" verticalDpi="300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3"/>
  <sheetViews>
    <sheetView workbookViewId="0">
      <selection activeCell="G5" sqref="G5:H12"/>
    </sheetView>
  </sheetViews>
  <sheetFormatPr defaultColWidth="8.75" defaultRowHeight="24" customHeight="1"/>
  <cols>
    <col min="1" max="1" width="15.375" style="2" customWidth="1"/>
    <col min="2" max="2" width="13.25" style="2" customWidth="1"/>
    <col min="3" max="3" width="15" style="2" customWidth="1"/>
    <col min="4" max="4" width="14" style="2" customWidth="1"/>
    <col min="5" max="5" width="16.25" style="2" customWidth="1"/>
    <col min="6" max="6" width="15.5" style="2" customWidth="1"/>
    <col min="7" max="7" width="17.5" style="2" customWidth="1"/>
    <col min="8" max="8" width="14.5" style="2" customWidth="1"/>
    <col min="9" max="13" width="7.75" style="2" customWidth="1"/>
    <col min="14" max="14" width="11.5" style="2" customWidth="1"/>
    <col min="15" max="32" width="9" style="3"/>
    <col min="33" max="16384" width="8.75" style="3"/>
  </cols>
  <sheetData>
    <row r="1" customHeight="1" spans="1:8">
      <c r="A1" s="4" t="s">
        <v>296</v>
      </c>
      <c r="B1" s="4"/>
      <c r="C1" s="4"/>
      <c r="D1" s="4"/>
      <c r="E1" s="4"/>
      <c r="F1" s="4"/>
      <c r="G1" s="4"/>
      <c r="H1" s="4"/>
    </row>
    <row r="2" customHeight="1" spans="1:8">
      <c r="A2" s="4"/>
      <c r="B2" s="4"/>
      <c r="C2" s="4"/>
      <c r="D2" s="4"/>
      <c r="E2" s="4"/>
      <c r="F2" s="4"/>
      <c r="G2" s="4"/>
      <c r="H2" s="4"/>
    </row>
    <row r="3" customHeight="1" spans="1:9">
      <c r="A3" s="5" t="s">
        <v>297</v>
      </c>
      <c r="B3" s="5"/>
      <c r="C3" s="5"/>
      <c r="D3" s="5"/>
      <c r="E3" s="5" t="s">
        <v>298</v>
      </c>
      <c r="F3" s="5"/>
      <c r="G3" s="5"/>
      <c r="H3" s="5"/>
      <c r="I3" s="3"/>
    </row>
    <row r="4" customHeight="1" spans="1:9">
      <c r="A4" s="5" t="s">
        <v>299</v>
      </c>
      <c r="B4" s="5"/>
      <c r="C4" s="5"/>
      <c r="D4" s="5"/>
      <c r="E4" s="5" t="s">
        <v>300</v>
      </c>
      <c r="F4" s="5"/>
      <c r="G4" s="5" t="s">
        <v>301</v>
      </c>
      <c r="H4" s="5"/>
      <c r="I4" s="25"/>
    </row>
    <row r="5" customHeight="1" spans="1:8">
      <c r="A5" s="5" t="s">
        <v>302</v>
      </c>
      <c r="B5" s="5" t="s">
        <v>303</v>
      </c>
      <c r="C5" s="5" t="s">
        <v>304</v>
      </c>
      <c r="D5" s="5" t="s">
        <v>305</v>
      </c>
      <c r="E5" s="5" t="s">
        <v>302</v>
      </c>
      <c r="F5" s="5" t="s">
        <v>303</v>
      </c>
      <c r="G5" s="5" t="s">
        <v>302</v>
      </c>
      <c r="H5" s="5" t="s">
        <v>305</v>
      </c>
    </row>
    <row r="6" customHeight="1" spans="1:8">
      <c r="A6" s="6" t="s">
        <v>306</v>
      </c>
      <c r="B6" s="7">
        <v>0.67671875</v>
      </c>
      <c r="C6" s="7">
        <v>5.4995346484375</v>
      </c>
      <c r="D6" s="7">
        <v>2.4375</v>
      </c>
      <c r="E6" s="6" t="s">
        <v>306</v>
      </c>
      <c r="F6" s="7">
        <v>5.8354375</v>
      </c>
      <c r="G6" s="6" t="s">
        <v>306</v>
      </c>
      <c r="H6" s="7">
        <v>1.605375</v>
      </c>
    </row>
    <row r="7" customHeight="1" spans="1:8">
      <c r="A7" s="6" t="s">
        <v>307</v>
      </c>
      <c r="B7" s="7">
        <v>2.0970078125</v>
      </c>
      <c r="C7" s="7">
        <v>3.461482421875</v>
      </c>
      <c r="D7" s="7">
        <v>1.625</v>
      </c>
      <c r="E7" s="6" t="s">
        <v>307</v>
      </c>
      <c r="F7" s="7">
        <v>4.01359946875</v>
      </c>
      <c r="G7" s="6" t="s">
        <v>308</v>
      </c>
      <c r="H7" s="7">
        <v>2.1666125</v>
      </c>
    </row>
    <row r="8" customHeight="1" spans="1:8">
      <c r="A8" s="6" t="s">
        <v>308</v>
      </c>
      <c r="B8" s="7">
        <v>3.2265625</v>
      </c>
      <c r="C8" s="7">
        <v>1.690791875</v>
      </c>
      <c r="D8" s="7">
        <v>1.177965625</v>
      </c>
      <c r="E8" s="6" t="s">
        <v>308</v>
      </c>
      <c r="F8" s="7">
        <v>2.85625</v>
      </c>
      <c r="G8" s="6" t="s">
        <v>309</v>
      </c>
      <c r="H8" s="7">
        <v>2.47771875</v>
      </c>
    </row>
    <row r="9" customHeight="1" spans="1:8">
      <c r="A9" s="6" t="s">
        <v>309</v>
      </c>
      <c r="B9" s="7">
        <v>5.2948794140625</v>
      </c>
      <c r="C9" s="7">
        <v>0.86384765625</v>
      </c>
      <c r="D9" s="7">
        <v>0.78875</v>
      </c>
      <c r="E9" s="6" t="s">
        <v>310</v>
      </c>
      <c r="F9" s="7">
        <v>2.0423046875</v>
      </c>
      <c r="G9" s="6" t="s">
        <v>311</v>
      </c>
      <c r="H9" s="7">
        <v>3.1131875</v>
      </c>
    </row>
    <row r="10" customHeight="1" spans="1:8">
      <c r="A10" s="8" t="s">
        <v>312</v>
      </c>
      <c r="B10" s="9">
        <v>4564</v>
      </c>
      <c r="C10" s="10"/>
      <c r="D10" s="11"/>
      <c r="E10" s="6" t="s">
        <v>309</v>
      </c>
      <c r="F10" s="7">
        <v>1.19368828125</v>
      </c>
      <c r="G10" s="5" t="s">
        <v>312</v>
      </c>
      <c r="H10" s="12">
        <v>4408</v>
      </c>
    </row>
    <row r="11" customHeight="1" spans="1:8">
      <c r="A11" s="13"/>
      <c r="B11" s="14"/>
      <c r="C11" s="15"/>
      <c r="D11" s="16"/>
      <c r="E11" s="6" t="s">
        <v>311</v>
      </c>
      <c r="F11" s="7">
        <v>0.5729375</v>
      </c>
      <c r="G11" s="5"/>
      <c r="H11" s="17"/>
    </row>
    <row r="12" customHeight="1" spans="1:8">
      <c r="A12" s="18"/>
      <c r="B12" s="19"/>
      <c r="C12" s="20"/>
      <c r="D12" s="21"/>
      <c r="E12" s="6" t="s">
        <v>312</v>
      </c>
      <c r="F12" s="5">
        <v>4616</v>
      </c>
      <c r="G12" s="5"/>
      <c r="H12" s="22"/>
    </row>
    <row r="13" s="1" customFormat="1" customHeight="1" spans="1:14">
      <c r="A13" s="23" t="s">
        <v>61</v>
      </c>
      <c r="B13" s="23"/>
      <c r="C13" s="23"/>
      <c r="D13" s="23" t="s">
        <v>62</v>
      </c>
      <c r="E13" s="24"/>
      <c r="F13" s="24"/>
      <c r="G13" s="23" t="s">
        <v>293</v>
      </c>
      <c r="H13" s="24"/>
      <c r="I13" s="23"/>
      <c r="J13" s="23"/>
      <c r="K13" s="23"/>
      <c r="L13" s="23"/>
      <c r="M13" s="23"/>
      <c r="N13" s="23"/>
    </row>
  </sheetData>
  <mergeCells count="10">
    <mergeCell ref="A1:H1"/>
    <mergeCell ref="A3:D3"/>
    <mergeCell ref="E3:H3"/>
    <mergeCell ref="A4:D4"/>
    <mergeCell ref="E4:F4"/>
    <mergeCell ref="G4:H4"/>
    <mergeCell ref="A10:A12"/>
    <mergeCell ref="G10:G12"/>
    <mergeCell ref="H10:H12"/>
    <mergeCell ref="B10:D12"/>
  </mergeCells>
  <pageMargins left="0.75" right="0.75" top="1" bottom="1" header="0.51" footer="0.51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处理量</vt:lpstr>
      <vt:lpstr>汇总</vt:lpstr>
      <vt:lpstr>进出水</vt:lpstr>
      <vt:lpstr>设备</vt:lpstr>
      <vt:lpstr>仪表</vt:lpstr>
      <vt:lpstr>实验数据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Tagore</cp:lastModifiedBy>
  <cp:revision>1</cp:revision>
  <dcterms:created xsi:type="dcterms:W3CDTF">1996-12-17T01:32:00Z</dcterms:created>
  <cp:lastPrinted>2018-05-07T02:15:00Z</cp:lastPrinted>
  <dcterms:modified xsi:type="dcterms:W3CDTF">2021-05-17T06:29:37Z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2052-10.8.2.6666</vt:lpwstr>
  </property>
  <property fmtid="{D5CDD505-2E9C-101B-9397-08002B2CF9AE}" pid="3" name="ICV">
    <vt:lpwstr>F9B87A8231FC44FFBD5C9DF48DD600FC</vt:lpwstr>
  </property>
</Properties>
</file>